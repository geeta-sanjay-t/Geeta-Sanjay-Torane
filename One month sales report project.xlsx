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Ex1.xml" ContentType="application/vnd.ms-office.chartex+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4.xml" ContentType="application/vnd.ms-excel.slicer+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Ex2.xml" ContentType="application/vnd.ms-office.chartex+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A4F317D-8396-4158-AA55-26CA9B0E76AA}" xr6:coauthVersionLast="47" xr6:coauthVersionMax="47" xr10:uidLastSave="{00000000-0000-0000-0000-000000000000}"/>
  <bookViews>
    <workbookView xWindow="-108" yWindow="-108" windowWidth="23256" windowHeight="12456" firstSheet="5" activeTab="7" xr2:uid="{BC1B5045-C039-41CD-9D57-D83CD0886ECF}"/>
  </bookViews>
  <sheets>
    <sheet name="EMp Steps" sheetId="1" r:id="rId1"/>
    <sheet name="EMP RAW Data" sheetId="2" r:id="rId2"/>
    <sheet name="ETL emp " sheetId="4" r:id="rId3"/>
    <sheet name="Emp pivot T" sheetId="8" r:id="rId4"/>
    <sheet name="DASHBOARD Emp" sheetId="12" r:id="rId5"/>
    <sheet name="Sales ETL" sheetId="5" r:id="rId6"/>
    <sheet name="PIVOT T. sales" sheetId="6" r:id="rId7"/>
    <sheet name="DASHBOARD Sales 1" sheetId="10" r:id="rId8"/>
    <sheet name="Sheet1" sheetId="13" r:id="rId9"/>
  </sheets>
  <definedNames>
    <definedName name="_xlchart.v5.0" hidden="1">'PIVOT T. sales'!$D$29</definedName>
    <definedName name="_xlchart.v5.1" hidden="1">'PIVOT T. sales'!$D$30:$D$41</definedName>
    <definedName name="_xlchart.v5.2" hidden="1">'PIVOT T. sales'!$E$29</definedName>
    <definedName name="_xlchart.v5.3" hidden="1">'PIVOT T. sales'!$E$30:$E$41</definedName>
    <definedName name="_xlchart.v5.4" hidden="1">'PIVOT T. sales'!$D$29</definedName>
    <definedName name="_xlchart.v5.5" hidden="1">'PIVOT T. sales'!$D$30:$D$41</definedName>
    <definedName name="_xlchart.v5.6" hidden="1">'PIVOT T. sales'!$E$29</definedName>
    <definedName name="_xlchart.v5.7" hidden="1">'PIVOT T. sales'!$E$30:$E$41</definedName>
    <definedName name="ExternalData_1" localSheetId="2" hidden="1">'ETL emp '!$A$1:$O$1001</definedName>
    <definedName name="ExternalData_1" localSheetId="5" hidden="1">'Sales ETL'!$A$1:$J$1301</definedName>
    <definedName name="Slicer_Age_group">#N/A</definedName>
    <definedName name="Slicer_Country">#N/A</definedName>
    <definedName name="Slicer_Department">#N/A</definedName>
    <definedName name="Slicer_Gender">#N/A</definedName>
    <definedName name="Slicer_Item">#N/A</definedName>
    <definedName name="Slicer_Sales_Rep">#N/A</definedName>
    <definedName name="Slicer_State">#N/A</definedName>
  </definedNames>
  <calcPr calcId="191029"/>
  <pivotCaches>
    <pivotCache cacheId="4"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6" l="1"/>
  <c r="A1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DA2E8E-4828-4406-8D67-25916BA1E952}" keepAlive="1" name="Query - ETL EMP" description="Connection to the 'ETL EMP' query in the workbook." type="5" refreshedVersion="8" background="1" saveData="1">
    <dbPr connection="Provider=Microsoft.Mashup.OleDb.1;Data Source=$Workbook$;Location=&quot;ETL EMP&quot;;Extended Properties=&quot;&quot;" command="SELECT * FROM [ETL EMP]"/>
  </connection>
  <connection id="2" xr16:uid="{C8178E5E-8631-4A47-95C3-F82D72BCD578}" keepAlive="1" name="Query - Sales ETL" description="Connection to the 'Sales ETL' query in the workbook." type="5" refreshedVersion="8" background="1" saveData="1">
    <dbPr connection="Provider=Microsoft.Mashup.OleDb.1;Data Source=$Workbook$;Location=&quot;Sales ETL&quot;;Extended Properties=&quot;&quot;" command="SELECT * FROM [Sales ETL]"/>
  </connection>
</connections>
</file>

<file path=xl/sharedStrings.xml><?xml version="1.0" encoding="utf-8"?>
<sst xmlns="http://schemas.openxmlformats.org/spreadsheetml/2006/main" count="20356" uniqueCount="2468">
  <si>
    <t xml:space="preserve">1 - Extracted Data From Excel Workbook ( Raw Data ) </t>
  </si>
  <si>
    <t xml:space="preserve">2 - Transformation - </t>
  </si>
  <si>
    <t>a - Remove Errors</t>
  </si>
  <si>
    <t xml:space="preserve">b - Remove Blank Records </t>
  </si>
  <si>
    <t>c - Remove Duplicated Records</t>
  </si>
  <si>
    <t xml:space="preserve">d - Remove Blank/Null Values </t>
  </si>
  <si>
    <t>e - Identify PK if Not Add PK</t>
  </si>
  <si>
    <t>EmployeeID</t>
  </si>
  <si>
    <t>EMP-1</t>
  </si>
  <si>
    <t>3 - Ask Questions Add Columns if Nec</t>
  </si>
  <si>
    <t>1  - While adding a new Always Check Its Data type</t>
  </si>
  <si>
    <t xml:space="preserve">2 - Added Age Group </t>
  </si>
  <si>
    <t xml:space="preserve">3 - Total Salary </t>
  </si>
  <si>
    <t>4 - Left Status</t>
  </si>
  <si>
    <t>Job Title</t>
  </si>
  <si>
    <t>Department</t>
  </si>
  <si>
    <t>Business Unit</t>
  </si>
  <si>
    <t>Gender</t>
  </si>
  <si>
    <t>Age</t>
  </si>
  <si>
    <t>Hire Date</t>
  </si>
  <si>
    <t>Annual Salary</t>
  </si>
  <si>
    <t>Bonus %</t>
  </si>
  <si>
    <t>Country</t>
  </si>
  <si>
    <t>City</t>
  </si>
  <si>
    <t>Exit Date</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</si>
  <si>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</si>
  <si>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</si>
  <si>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</si>
  <si>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</si>
  <si>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</si>
  <si>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</si>
  <si>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</si>
  <si>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</si>
  <si>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</si>
  <si>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</si>
  <si>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</si>
  <si>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</si>
  <si>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</si>
  <si>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</si>
  <si>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</si>
  <si>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</si>
  <si>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</si>
  <si>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</si>
  <si>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</si>
  <si>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</si>
  <si>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</si>
  <si>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</si>
  <si>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</si>
  <si>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</si>
  <si>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</si>
  <si>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</si>
  <si>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</si>
  <si>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</si>
  <si>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</si>
  <si>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</si>
  <si>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</si>
  <si>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</si>
  <si>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</si>
  <si>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</si>
  <si>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</si>
  <si>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</si>
  <si>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</si>
  <si>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</si>
  <si>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</si>
  <si>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</si>
  <si>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</si>
  <si>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</si>
  <si>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</si>
  <si>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</si>
  <si>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</si>
  <si>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</si>
  <si>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</si>
  <si>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</si>
  <si>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</si>
  <si>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</si>
  <si>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</si>
  <si>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</si>
  <si>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</si>
  <si>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</si>
  <si>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</si>
  <si>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</si>
  <si>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</si>
  <si>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</si>
  <si>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</si>
  <si>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</si>
  <si>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</si>
  <si>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</si>
  <si>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</si>
  <si>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Date</t>
  </si>
  <si>
    <t>Item</t>
  </si>
  <si>
    <t>Sales Rep</t>
  </si>
  <si>
    <t>Quantity</t>
  </si>
  <si>
    <t>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</si>
  <si>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</si>
  <si>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</si>
  <si>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</si>
  <si>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</si>
  <si>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</si>
  <si>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</si>
  <si>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</si>
  <si>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</si>
  <si>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</si>
  <si>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</si>
  <si>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</si>
  <si>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</si>
  <si>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</si>
  <si>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</si>
  <si>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</si>
  <si>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</si>
  <si>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</si>
  <si>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</si>
  <si>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</si>
  <si>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</si>
  <si>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</si>
  <si>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</si>
  <si>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</si>
  <si>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</si>
  <si>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Employee ID</t>
  </si>
  <si>
    <t>Age group</t>
  </si>
  <si>
    <t>Total salary</t>
  </si>
  <si>
    <t>Left status</t>
  </si>
  <si>
    <t>Emp ID-1</t>
  </si>
  <si>
    <t>55-65</t>
  </si>
  <si>
    <t>Emp ID-2</t>
  </si>
  <si>
    <t>Emp ID-3</t>
  </si>
  <si>
    <t>45-55</t>
  </si>
  <si>
    <t>Emp ID-4</t>
  </si>
  <si>
    <t>25-35</t>
  </si>
  <si>
    <t>Emp ID-5</t>
  </si>
  <si>
    <t>Emp ID-6</t>
  </si>
  <si>
    <t>Emp ID-7</t>
  </si>
  <si>
    <t>Emp ID-8</t>
  </si>
  <si>
    <t>Emp ID-9</t>
  </si>
  <si>
    <t>Emp ID-10</t>
  </si>
  <si>
    <t>Emp ID-11</t>
  </si>
  <si>
    <t>35-45</t>
  </si>
  <si>
    <t>Emp ID-12</t>
  </si>
  <si>
    <t>Emp ID-13</t>
  </si>
  <si>
    <t>Emp ID-14</t>
  </si>
  <si>
    <t>Emp ID-15</t>
  </si>
  <si>
    <t>Emp ID-16</t>
  </si>
  <si>
    <t>Emp ID-17</t>
  </si>
  <si>
    <t>65-100</t>
  </si>
  <si>
    <t>Emp ID-18</t>
  </si>
  <si>
    <t>Emp ID-19</t>
  </si>
  <si>
    <t>Emp ID-20</t>
  </si>
  <si>
    <t>Emp ID-21</t>
  </si>
  <si>
    <t>Emp ID-22</t>
  </si>
  <si>
    <t>Emp ID-23</t>
  </si>
  <si>
    <t>Emp ID-24</t>
  </si>
  <si>
    <t>Emp ID-25</t>
  </si>
  <si>
    <t>Emp ID-26</t>
  </si>
  <si>
    <t>Emp ID-27</t>
  </si>
  <si>
    <t>Emp ID-28</t>
  </si>
  <si>
    <t>Emp ID-29</t>
  </si>
  <si>
    <t>Emp ID-30</t>
  </si>
  <si>
    <t>Emp ID-31</t>
  </si>
  <si>
    <t>Emp ID-32</t>
  </si>
  <si>
    <t>Emp ID-33</t>
  </si>
  <si>
    <t>Emp ID-34</t>
  </si>
  <si>
    <t>Emp ID-35</t>
  </si>
  <si>
    <t>Emp ID-36</t>
  </si>
  <si>
    <t>Emp ID-37</t>
  </si>
  <si>
    <t>Emp ID-38</t>
  </si>
  <si>
    <t>Emp ID-39</t>
  </si>
  <si>
    <t>Emp ID-40</t>
  </si>
  <si>
    <t>Emp ID-41</t>
  </si>
  <si>
    <t>Emp ID-42</t>
  </si>
  <si>
    <t>Emp ID-43</t>
  </si>
  <si>
    <t>Emp ID-44</t>
  </si>
  <si>
    <t>Emp ID-45</t>
  </si>
  <si>
    <t>Emp ID-46</t>
  </si>
  <si>
    <t>Emp ID-47</t>
  </si>
  <si>
    <t>Emp ID-48</t>
  </si>
  <si>
    <t>Emp ID-49</t>
  </si>
  <si>
    <t>Emp ID-50</t>
  </si>
  <si>
    <t>Emp ID-51</t>
  </si>
  <si>
    <t>Emp ID-52</t>
  </si>
  <si>
    <t>Emp ID-53</t>
  </si>
  <si>
    <t>Emp ID-54</t>
  </si>
  <si>
    <t>Emp ID-55</t>
  </si>
  <si>
    <t>Emp ID-56</t>
  </si>
  <si>
    <t>Emp ID-57</t>
  </si>
  <si>
    <t>Emp ID-58</t>
  </si>
  <si>
    <t>Emp ID-59</t>
  </si>
  <si>
    <t>Emp ID-60</t>
  </si>
  <si>
    <t>Emp ID-61</t>
  </si>
  <si>
    <t>Emp ID-62</t>
  </si>
  <si>
    <t>Emp ID-63</t>
  </si>
  <si>
    <t>Emp ID-64</t>
  </si>
  <si>
    <t>Emp ID-65</t>
  </si>
  <si>
    <t>Emp ID-66</t>
  </si>
  <si>
    <t>Emp ID-67</t>
  </si>
  <si>
    <t>Emp ID-68</t>
  </si>
  <si>
    <t>Emp ID-69</t>
  </si>
  <si>
    <t>Emp ID-70</t>
  </si>
  <si>
    <t>Emp ID-71</t>
  </si>
  <si>
    <t>Emp ID-72</t>
  </si>
  <si>
    <t>Emp ID-73</t>
  </si>
  <si>
    <t>Emp ID-74</t>
  </si>
  <si>
    <t>Emp ID-75</t>
  </si>
  <si>
    <t>Emp ID-76</t>
  </si>
  <si>
    <t>Emp ID-77</t>
  </si>
  <si>
    <t>Emp ID-78</t>
  </si>
  <si>
    <t>Emp ID-79</t>
  </si>
  <si>
    <t>Emp ID-80</t>
  </si>
  <si>
    <t>Emp ID-81</t>
  </si>
  <si>
    <t>Emp ID-82</t>
  </si>
  <si>
    <t>Emp ID-83</t>
  </si>
  <si>
    <t>Emp ID-84</t>
  </si>
  <si>
    <t>Emp ID-85</t>
  </si>
  <si>
    <t>Emp ID-86</t>
  </si>
  <si>
    <t>Emp ID-87</t>
  </si>
  <si>
    <t>Emp ID-88</t>
  </si>
  <si>
    <t>Emp ID-89</t>
  </si>
  <si>
    <t>Emp ID-90</t>
  </si>
  <si>
    <t>Emp ID-91</t>
  </si>
  <si>
    <t>Emp ID-92</t>
  </si>
  <si>
    <t>Emp ID-93</t>
  </si>
  <si>
    <t>Emp ID-94</t>
  </si>
  <si>
    <t>Emp ID-95</t>
  </si>
  <si>
    <t>Emp ID-96</t>
  </si>
  <si>
    <t>Emp ID-97</t>
  </si>
  <si>
    <t>Emp ID-98</t>
  </si>
  <si>
    <t>Emp ID-99</t>
  </si>
  <si>
    <t>Emp ID-100</t>
  </si>
  <si>
    <t>Emp ID-101</t>
  </si>
  <si>
    <t>Emp ID-102</t>
  </si>
  <si>
    <t>Emp ID-103</t>
  </si>
  <si>
    <t>Emp ID-104</t>
  </si>
  <si>
    <t>Emp ID-105</t>
  </si>
  <si>
    <t>Emp ID-106</t>
  </si>
  <si>
    <t>Emp ID-107</t>
  </si>
  <si>
    <t>Emp ID-108</t>
  </si>
  <si>
    <t>Emp ID-109</t>
  </si>
  <si>
    <t>Emp ID-110</t>
  </si>
  <si>
    <t>Emp ID-111</t>
  </si>
  <si>
    <t>Emp ID-112</t>
  </si>
  <si>
    <t>Emp ID-113</t>
  </si>
  <si>
    <t>Emp ID-114</t>
  </si>
  <si>
    <t>Emp ID-115</t>
  </si>
  <si>
    <t>Emp ID-116</t>
  </si>
  <si>
    <t>Emp ID-117</t>
  </si>
  <si>
    <t>Emp ID-118</t>
  </si>
  <si>
    <t>Emp ID-119</t>
  </si>
  <si>
    <t>Emp ID-120</t>
  </si>
  <si>
    <t>Emp ID-121</t>
  </si>
  <si>
    <t>Emp ID-122</t>
  </si>
  <si>
    <t>Emp ID-123</t>
  </si>
  <si>
    <t>Emp ID-124</t>
  </si>
  <si>
    <t>Emp ID-125</t>
  </si>
  <si>
    <t>Emp ID-126</t>
  </si>
  <si>
    <t>Emp ID-127</t>
  </si>
  <si>
    <t>Emp ID-128</t>
  </si>
  <si>
    <t>Emp ID-129</t>
  </si>
  <si>
    <t>Emp ID-130</t>
  </si>
  <si>
    <t>Emp ID-131</t>
  </si>
  <si>
    <t>Emp ID-132</t>
  </si>
  <si>
    <t>Emp ID-133</t>
  </si>
  <si>
    <t>Emp ID-134</t>
  </si>
  <si>
    <t>Emp ID-135</t>
  </si>
  <si>
    <t>Emp ID-136</t>
  </si>
  <si>
    <t>Emp ID-137</t>
  </si>
  <si>
    <t>Emp ID-138</t>
  </si>
  <si>
    <t>Emp ID-139</t>
  </si>
  <si>
    <t>Emp ID-140</t>
  </si>
  <si>
    <t>Emp ID-141</t>
  </si>
  <si>
    <t>Emp ID-142</t>
  </si>
  <si>
    <t>Emp ID-143</t>
  </si>
  <si>
    <t>Emp ID-144</t>
  </si>
  <si>
    <t>Emp ID-145</t>
  </si>
  <si>
    <t>Emp ID-146</t>
  </si>
  <si>
    <t>Emp ID-147</t>
  </si>
  <si>
    <t>Emp ID-148</t>
  </si>
  <si>
    <t>Emp ID-149</t>
  </si>
  <si>
    <t>Emp ID-150</t>
  </si>
  <si>
    <t>Emp ID-151</t>
  </si>
  <si>
    <t>Emp ID-152</t>
  </si>
  <si>
    <t>Emp ID-153</t>
  </si>
  <si>
    <t>Emp ID-154</t>
  </si>
  <si>
    <t>Emp ID-155</t>
  </si>
  <si>
    <t>Emp ID-156</t>
  </si>
  <si>
    <t>Emp ID-157</t>
  </si>
  <si>
    <t>Emp ID-158</t>
  </si>
  <si>
    <t>Emp ID-159</t>
  </si>
  <si>
    <t>Emp ID-160</t>
  </si>
  <si>
    <t>Emp ID-161</t>
  </si>
  <si>
    <t>Emp ID-162</t>
  </si>
  <si>
    <t>Emp ID-163</t>
  </si>
  <si>
    <t>Emp ID-164</t>
  </si>
  <si>
    <t>Emp ID-165</t>
  </si>
  <si>
    <t>Emp ID-166</t>
  </si>
  <si>
    <t>Emp ID-167</t>
  </si>
  <si>
    <t>Emp ID-168</t>
  </si>
  <si>
    <t>Emp ID-169</t>
  </si>
  <si>
    <t>Emp ID-170</t>
  </si>
  <si>
    <t>Emp ID-171</t>
  </si>
  <si>
    <t>Emp ID-172</t>
  </si>
  <si>
    <t>Emp ID-173</t>
  </si>
  <si>
    <t>Emp ID-174</t>
  </si>
  <si>
    <t>Emp ID-175</t>
  </si>
  <si>
    <t>Emp ID-176</t>
  </si>
  <si>
    <t>Emp ID-177</t>
  </si>
  <si>
    <t>Emp ID-178</t>
  </si>
  <si>
    <t>Emp ID-179</t>
  </si>
  <si>
    <t>Emp ID-180</t>
  </si>
  <si>
    <t>Emp ID-181</t>
  </si>
  <si>
    <t>Emp ID-182</t>
  </si>
  <si>
    <t>Emp ID-183</t>
  </si>
  <si>
    <t>Emp ID-184</t>
  </si>
  <si>
    <t>Emp ID-185</t>
  </si>
  <si>
    <t>Emp ID-186</t>
  </si>
  <si>
    <t>Emp ID-187</t>
  </si>
  <si>
    <t>Emp ID-188</t>
  </si>
  <si>
    <t>Emp ID-189</t>
  </si>
  <si>
    <t>Emp ID-190</t>
  </si>
  <si>
    <t>Emp ID-191</t>
  </si>
  <si>
    <t>Emp ID-192</t>
  </si>
  <si>
    <t>Emp ID-193</t>
  </si>
  <si>
    <t>Emp ID-194</t>
  </si>
  <si>
    <t>Emp ID-195</t>
  </si>
  <si>
    <t>Emp ID-196</t>
  </si>
  <si>
    <t>Emp ID-197</t>
  </si>
  <si>
    <t>Emp ID-198</t>
  </si>
  <si>
    <t>Emp ID-199</t>
  </si>
  <si>
    <t>Emp ID-200</t>
  </si>
  <si>
    <t>Emp ID-201</t>
  </si>
  <si>
    <t>Emp ID-202</t>
  </si>
  <si>
    <t>Emp ID-203</t>
  </si>
  <si>
    <t>Emp ID-204</t>
  </si>
  <si>
    <t>Emp ID-205</t>
  </si>
  <si>
    <t>Emp ID-206</t>
  </si>
  <si>
    <t>Emp ID-207</t>
  </si>
  <si>
    <t>Emp ID-208</t>
  </si>
  <si>
    <t>Emp ID-209</t>
  </si>
  <si>
    <t>Emp ID-210</t>
  </si>
  <si>
    <t>Emp ID-211</t>
  </si>
  <si>
    <t>Emp ID-212</t>
  </si>
  <si>
    <t>Emp ID-213</t>
  </si>
  <si>
    <t>Emp ID-214</t>
  </si>
  <si>
    <t>Emp ID-215</t>
  </si>
  <si>
    <t>Emp ID-216</t>
  </si>
  <si>
    <t>Emp ID-217</t>
  </si>
  <si>
    <t>Emp ID-218</t>
  </si>
  <si>
    <t>Emp ID-219</t>
  </si>
  <si>
    <t>Emp ID-220</t>
  </si>
  <si>
    <t>Emp ID-221</t>
  </si>
  <si>
    <t>Emp ID-222</t>
  </si>
  <si>
    <t>Emp ID-223</t>
  </si>
  <si>
    <t>Emp ID-224</t>
  </si>
  <si>
    <t>Emp ID-225</t>
  </si>
  <si>
    <t>Emp ID-226</t>
  </si>
  <si>
    <t>Emp ID-227</t>
  </si>
  <si>
    <t>Emp ID-228</t>
  </si>
  <si>
    <t>Emp ID-229</t>
  </si>
  <si>
    <t>Emp ID-230</t>
  </si>
  <si>
    <t>Emp ID-231</t>
  </si>
  <si>
    <t>Emp ID-232</t>
  </si>
  <si>
    <t>Emp ID-233</t>
  </si>
  <si>
    <t>Emp ID-234</t>
  </si>
  <si>
    <t>Emp ID-235</t>
  </si>
  <si>
    <t>Emp ID-236</t>
  </si>
  <si>
    <t>Emp ID-237</t>
  </si>
  <si>
    <t>Emp ID-238</t>
  </si>
  <si>
    <t>Emp ID-239</t>
  </si>
  <si>
    <t>Emp ID-240</t>
  </si>
  <si>
    <t>Emp ID-241</t>
  </si>
  <si>
    <t>Emp ID-242</t>
  </si>
  <si>
    <t>Emp ID-243</t>
  </si>
  <si>
    <t>Emp ID-244</t>
  </si>
  <si>
    <t>Emp ID-245</t>
  </si>
  <si>
    <t>Emp ID-246</t>
  </si>
  <si>
    <t>Emp ID-247</t>
  </si>
  <si>
    <t>Emp ID-248</t>
  </si>
  <si>
    <t>Emp ID-249</t>
  </si>
  <si>
    <t>Emp ID-250</t>
  </si>
  <si>
    <t>Emp ID-251</t>
  </si>
  <si>
    <t>Emp ID-252</t>
  </si>
  <si>
    <t>Emp ID-253</t>
  </si>
  <si>
    <t>Emp ID-254</t>
  </si>
  <si>
    <t>Emp ID-255</t>
  </si>
  <si>
    <t>Emp ID-256</t>
  </si>
  <si>
    <t>Emp ID-257</t>
  </si>
  <si>
    <t>Emp ID-258</t>
  </si>
  <si>
    <t>Emp ID-259</t>
  </si>
  <si>
    <t>Emp ID-260</t>
  </si>
  <si>
    <t>Emp ID-261</t>
  </si>
  <si>
    <t>Emp ID-262</t>
  </si>
  <si>
    <t>Emp ID-263</t>
  </si>
  <si>
    <t>Emp ID-264</t>
  </si>
  <si>
    <t>Emp ID-265</t>
  </si>
  <si>
    <t>Emp ID-266</t>
  </si>
  <si>
    <t>Emp ID-267</t>
  </si>
  <si>
    <t>Emp ID-268</t>
  </si>
  <si>
    <t>Emp ID-269</t>
  </si>
  <si>
    <t>Emp ID-270</t>
  </si>
  <si>
    <t>Emp ID-271</t>
  </si>
  <si>
    <t>Emp ID-272</t>
  </si>
  <si>
    <t>Emp ID-273</t>
  </si>
  <si>
    <t>Emp ID-274</t>
  </si>
  <si>
    <t>Emp ID-275</t>
  </si>
  <si>
    <t>Emp ID-276</t>
  </si>
  <si>
    <t>Emp ID-277</t>
  </si>
  <si>
    <t>Emp ID-278</t>
  </si>
  <si>
    <t>Emp ID-279</t>
  </si>
  <si>
    <t>Emp ID-280</t>
  </si>
  <si>
    <t>Emp ID-281</t>
  </si>
  <si>
    <t>Emp ID-282</t>
  </si>
  <si>
    <t>Emp ID-283</t>
  </si>
  <si>
    <t>Emp ID-284</t>
  </si>
  <si>
    <t>Emp ID-285</t>
  </si>
  <si>
    <t>Emp ID-286</t>
  </si>
  <si>
    <t>Emp ID-287</t>
  </si>
  <si>
    <t>Emp ID-288</t>
  </si>
  <si>
    <t>Emp ID-289</t>
  </si>
  <si>
    <t>Emp ID-290</t>
  </si>
  <si>
    <t>Emp ID-291</t>
  </si>
  <si>
    <t>Emp ID-292</t>
  </si>
  <si>
    <t>Emp ID-293</t>
  </si>
  <si>
    <t>Emp ID-294</t>
  </si>
  <si>
    <t>Emp ID-295</t>
  </si>
  <si>
    <t>Emp ID-296</t>
  </si>
  <si>
    <t>Emp ID-297</t>
  </si>
  <si>
    <t>Emp ID-298</t>
  </si>
  <si>
    <t>Emp ID-299</t>
  </si>
  <si>
    <t>Emp ID-300</t>
  </si>
  <si>
    <t>Emp ID-301</t>
  </si>
  <si>
    <t>Emp ID-302</t>
  </si>
  <si>
    <t>Emp ID-303</t>
  </si>
  <si>
    <t>Emp ID-304</t>
  </si>
  <si>
    <t>Emp ID-305</t>
  </si>
  <si>
    <t>Emp ID-306</t>
  </si>
  <si>
    <t>Emp ID-307</t>
  </si>
  <si>
    <t>Emp ID-308</t>
  </si>
  <si>
    <t>Emp ID-309</t>
  </si>
  <si>
    <t>Emp ID-310</t>
  </si>
  <si>
    <t>Emp ID-311</t>
  </si>
  <si>
    <t>Emp ID-312</t>
  </si>
  <si>
    <t>Emp ID-313</t>
  </si>
  <si>
    <t>Emp ID-314</t>
  </si>
  <si>
    <t>Emp ID-315</t>
  </si>
  <si>
    <t>Emp ID-316</t>
  </si>
  <si>
    <t>Emp ID-317</t>
  </si>
  <si>
    <t>Emp ID-318</t>
  </si>
  <si>
    <t>Emp ID-319</t>
  </si>
  <si>
    <t>Emp ID-320</t>
  </si>
  <si>
    <t>Emp ID-321</t>
  </si>
  <si>
    <t>Emp ID-322</t>
  </si>
  <si>
    <t>Emp ID-323</t>
  </si>
  <si>
    <t>Emp ID-324</t>
  </si>
  <si>
    <t>Emp ID-325</t>
  </si>
  <si>
    <t>Emp ID-326</t>
  </si>
  <si>
    <t>Emp ID-327</t>
  </si>
  <si>
    <t>Emp ID-328</t>
  </si>
  <si>
    <t>Emp ID-329</t>
  </si>
  <si>
    <t>Emp ID-330</t>
  </si>
  <si>
    <t>Emp ID-331</t>
  </si>
  <si>
    <t>Emp ID-332</t>
  </si>
  <si>
    <t>Emp ID-333</t>
  </si>
  <si>
    <t>Emp ID-334</t>
  </si>
  <si>
    <t>Emp ID-335</t>
  </si>
  <si>
    <t>Emp ID-336</t>
  </si>
  <si>
    <t>Emp ID-337</t>
  </si>
  <si>
    <t>Emp ID-338</t>
  </si>
  <si>
    <t>Emp ID-339</t>
  </si>
  <si>
    <t>Emp ID-340</t>
  </si>
  <si>
    <t>Emp ID-341</t>
  </si>
  <si>
    <t>Emp ID-342</t>
  </si>
  <si>
    <t>Emp ID-343</t>
  </si>
  <si>
    <t>Emp ID-344</t>
  </si>
  <si>
    <t>Emp ID-345</t>
  </si>
  <si>
    <t>Emp ID-346</t>
  </si>
  <si>
    <t>Emp ID-347</t>
  </si>
  <si>
    <t>Emp ID-348</t>
  </si>
  <si>
    <t>Emp ID-349</t>
  </si>
  <si>
    <t>Emp ID-350</t>
  </si>
  <si>
    <t>Emp ID-351</t>
  </si>
  <si>
    <t>Emp ID-352</t>
  </si>
  <si>
    <t>Emp ID-353</t>
  </si>
  <si>
    <t>Emp ID-354</t>
  </si>
  <si>
    <t>Emp ID-355</t>
  </si>
  <si>
    <t>Emp ID-356</t>
  </si>
  <si>
    <t>Emp ID-357</t>
  </si>
  <si>
    <t>Emp ID-358</t>
  </si>
  <si>
    <t>Emp ID-359</t>
  </si>
  <si>
    <t>Emp ID-360</t>
  </si>
  <si>
    <t>Emp ID-361</t>
  </si>
  <si>
    <t>Emp ID-362</t>
  </si>
  <si>
    <t>Emp ID-363</t>
  </si>
  <si>
    <t>Emp ID-364</t>
  </si>
  <si>
    <t>Emp ID-365</t>
  </si>
  <si>
    <t>Emp ID-366</t>
  </si>
  <si>
    <t>Emp ID-367</t>
  </si>
  <si>
    <t>Emp ID-368</t>
  </si>
  <si>
    <t>Emp ID-369</t>
  </si>
  <si>
    <t>Emp ID-370</t>
  </si>
  <si>
    <t>Emp ID-371</t>
  </si>
  <si>
    <t>Emp ID-372</t>
  </si>
  <si>
    <t>Emp ID-373</t>
  </si>
  <si>
    <t>Emp ID-374</t>
  </si>
  <si>
    <t>Emp ID-375</t>
  </si>
  <si>
    <t>Emp ID-376</t>
  </si>
  <si>
    <t>Emp ID-377</t>
  </si>
  <si>
    <t>Emp ID-378</t>
  </si>
  <si>
    <t>Emp ID-379</t>
  </si>
  <si>
    <t>Emp ID-380</t>
  </si>
  <si>
    <t>Emp ID-381</t>
  </si>
  <si>
    <t>Emp ID-382</t>
  </si>
  <si>
    <t>Emp ID-383</t>
  </si>
  <si>
    <t>Emp ID-384</t>
  </si>
  <si>
    <t>Emp ID-385</t>
  </si>
  <si>
    <t>Emp ID-386</t>
  </si>
  <si>
    <t>Emp ID-387</t>
  </si>
  <si>
    <t>Emp ID-388</t>
  </si>
  <si>
    <t>Emp ID-389</t>
  </si>
  <si>
    <t>Emp ID-390</t>
  </si>
  <si>
    <t>Emp ID-391</t>
  </si>
  <si>
    <t>Emp ID-392</t>
  </si>
  <si>
    <t>Emp ID-393</t>
  </si>
  <si>
    <t>Emp ID-394</t>
  </si>
  <si>
    <t>Emp ID-395</t>
  </si>
  <si>
    <t>Emp ID-396</t>
  </si>
  <si>
    <t>Emp ID-397</t>
  </si>
  <si>
    <t>Emp ID-398</t>
  </si>
  <si>
    <t>Emp ID-399</t>
  </si>
  <si>
    <t>Emp ID-400</t>
  </si>
  <si>
    <t>Emp ID-401</t>
  </si>
  <si>
    <t>Emp ID-402</t>
  </si>
  <si>
    <t>Emp ID-403</t>
  </si>
  <si>
    <t>Emp ID-404</t>
  </si>
  <si>
    <t>Emp ID-405</t>
  </si>
  <si>
    <t>Emp ID-406</t>
  </si>
  <si>
    <t>Emp ID-407</t>
  </si>
  <si>
    <t>Emp ID-408</t>
  </si>
  <si>
    <t>Emp ID-409</t>
  </si>
  <si>
    <t>Emp ID-410</t>
  </si>
  <si>
    <t>Emp ID-411</t>
  </si>
  <si>
    <t>Emp ID-412</t>
  </si>
  <si>
    <t>Emp ID-413</t>
  </si>
  <si>
    <t>Emp ID-414</t>
  </si>
  <si>
    <t>Emp ID-415</t>
  </si>
  <si>
    <t>Emp ID-416</t>
  </si>
  <si>
    <t>Emp ID-417</t>
  </si>
  <si>
    <t>Emp ID-418</t>
  </si>
  <si>
    <t>Emp ID-419</t>
  </si>
  <si>
    <t>Emp ID-420</t>
  </si>
  <si>
    <t>Emp ID-421</t>
  </si>
  <si>
    <t>Emp ID-422</t>
  </si>
  <si>
    <t>Emp ID-423</t>
  </si>
  <si>
    <t>Emp ID-424</t>
  </si>
  <si>
    <t>Emp ID-425</t>
  </si>
  <si>
    <t>Emp ID-426</t>
  </si>
  <si>
    <t>Emp ID-427</t>
  </si>
  <si>
    <t>Emp ID-428</t>
  </si>
  <si>
    <t>Emp ID-429</t>
  </si>
  <si>
    <t>Emp ID-430</t>
  </si>
  <si>
    <t>Emp ID-431</t>
  </si>
  <si>
    <t>Emp ID-432</t>
  </si>
  <si>
    <t>Emp ID-433</t>
  </si>
  <si>
    <t>Emp ID-434</t>
  </si>
  <si>
    <t>Emp ID-435</t>
  </si>
  <si>
    <t>Emp ID-436</t>
  </si>
  <si>
    <t>Emp ID-437</t>
  </si>
  <si>
    <t>Emp ID-438</t>
  </si>
  <si>
    <t>Emp ID-439</t>
  </si>
  <si>
    <t>Emp ID-440</t>
  </si>
  <si>
    <t>Emp ID-441</t>
  </si>
  <si>
    <t>Emp ID-442</t>
  </si>
  <si>
    <t>Emp ID-443</t>
  </si>
  <si>
    <t>Emp ID-444</t>
  </si>
  <si>
    <t>Emp ID-445</t>
  </si>
  <si>
    <t>Emp ID-446</t>
  </si>
  <si>
    <t>Emp ID-447</t>
  </si>
  <si>
    <t>Emp ID-448</t>
  </si>
  <si>
    <t>Emp ID-449</t>
  </si>
  <si>
    <t>Emp ID-450</t>
  </si>
  <si>
    <t>Emp ID-451</t>
  </si>
  <si>
    <t>Emp ID-452</t>
  </si>
  <si>
    <t>Emp ID-453</t>
  </si>
  <si>
    <t>Emp ID-454</t>
  </si>
  <si>
    <t>Emp ID-455</t>
  </si>
  <si>
    <t>Emp ID-456</t>
  </si>
  <si>
    <t>Emp ID-457</t>
  </si>
  <si>
    <t>Emp ID-458</t>
  </si>
  <si>
    <t>Emp ID-459</t>
  </si>
  <si>
    <t>Emp ID-460</t>
  </si>
  <si>
    <t>Emp ID-461</t>
  </si>
  <si>
    <t>Emp ID-462</t>
  </si>
  <si>
    <t>Emp ID-463</t>
  </si>
  <si>
    <t>Emp ID-464</t>
  </si>
  <si>
    <t>Emp ID-465</t>
  </si>
  <si>
    <t>Emp ID-466</t>
  </si>
  <si>
    <t>Emp ID-467</t>
  </si>
  <si>
    <t>Emp ID-468</t>
  </si>
  <si>
    <t>Emp ID-469</t>
  </si>
  <si>
    <t>Emp ID-470</t>
  </si>
  <si>
    <t>Emp ID-471</t>
  </si>
  <si>
    <t>Emp ID-472</t>
  </si>
  <si>
    <t>Emp ID-473</t>
  </si>
  <si>
    <t>Emp ID-474</t>
  </si>
  <si>
    <t>Emp ID-475</t>
  </si>
  <si>
    <t>Emp ID-476</t>
  </si>
  <si>
    <t>Emp ID-477</t>
  </si>
  <si>
    <t>Emp ID-478</t>
  </si>
  <si>
    <t>Emp ID-479</t>
  </si>
  <si>
    <t>Emp ID-480</t>
  </si>
  <si>
    <t>Emp ID-481</t>
  </si>
  <si>
    <t>Emp ID-482</t>
  </si>
  <si>
    <t>Emp ID-483</t>
  </si>
  <si>
    <t>Emp ID-484</t>
  </si>
  <si>
    <t>Emp ID-485</t>
  </si>
  <si>
    <t>Emp ID-486</t>
  </si>
  <si>
    <t>Emp ID-487</t>
  </si>
  <si>
    <t>Emp ID-488</t>
  </si>
  <si>
    <t>Emp ID-489</t>
  </si>
  <si>
    <t>Emp ID-490</t>
  </si>
  <si>
    <t>Emp ID-491</t>
  </si>
  <si>
    <t>Emp ID-492</t>
  </si>
  <si>
    <t>Emp ID-493</t>
  </si>
  <si>
    <t>Emp ID-494</t>
  </si>
  <si>
    <t>Emp ID-495</t>
  </si>
  <si>
    <t>Emp ID-496</t>
  </si>
  <si>
    <t>Emp ID-497</t>
  </si>
  <si>
    <t>Emp ID-498</t>
  </si>
  <si>
    <t>Emp ID-499</t>
  </si>
  <si>
    <t>Emp ID-500</t>
  </si>
  <si>
    <t>Emp ID-501</t>
  </si>
  <si>
    <t>Emp ID-502</t>
  </si>
  <si>
    <t>Emp ID-503</t>
  </si>
  <si>
    <t>Emp ID-504</t>
  </si>
  <si>
    <t>Emp ID-505</t>
  </si>
  <si>
    <t>Emp ID-506</t>
  </si>
  <si>
    <t>Emp ID-507</t>
  </si>
  <si>
    <t>Emp ID-508</t>
  </si>
  <si>
    <t>Emp ID-509</t>
  </si>
  <si>
    <t>Emp ID-510</t>
  </si>
  <si>
    <t>Emp ID-511</t>
  </si>
  <si>
    <t>Emp ID-512</t>
  </si>
  <si>
    <t>Emp ID-513</t>
  </si>
  <si>
    <t>Emp ID-514</t>
  </si>
  <si>
    <t>Emp ID-515</t>
  </si>
  <si>
    <t>Emp ID-516</t>
  </si>
  <si>
    <t>Emp ID-517</t>
  </si>
  <si>
    <t>Emp ID-518</t>
  </si>
  <si>
    <t>Emp ID-519</t>
  </si>
  <si>
    <t>Emp ID-520</t>
  </si>
  <si>
    <t>Emp ID-521</t>
  </si>
  <si>
    <t>Emp ID-522</t>
  </si>
  <si>
    <t>Emp ID-523</t>
  </si>
  <si>
    <t>Emp ID-524</t>
  </si>
  <si>
    <t>Emp ID-525</t>
  </si>
  <si>
    <t>Emp ID-526</t>
  </si>
  <si>
    <t>Emp ID-527</t>
  </si>
  <si>
    <t>Emp ID-528</t>
  </si>
  <si>
    <t>Emp ID-529</t>
  </si>
  <si>
    <t>Emp ID-530</t>
  </si>
  <si>
    <t>Emp ID-531</t>
  </si>
  <si>
    <t>Emp ID-532</t>
  </si>
  <si>
    <t>Emp ID-533</t>
  </si>
  <si>
    <t>Emp ID-534</t>
  </si>
  <si>
    <t>Emp ID-535</t>
  </si>
  <si>
    <t>Emp ID-536</t>
  </si>
  <si>
    <t>Emp ID-537</t>
  </si>
  <si>
    <t>Emp ID-538</t>
  </si>
  <si>
    <t>Emp ID-539</t>
  </si>
  <si>
    <t>Emp ID-540</t>
  </si>
  <si>
    <t>Emp ID-541</t>
  </si>
  <si>
    <t>Emp ID-542</t>
  </si>
  <si>
    <t>Emp ID-543</t>
  </si>
  <si>
    <t>Emp ID-544</t>
  </si>
  <si>
    <t>Emp ID-545</t>
  </si>
  <si>
    <t>Emp ID-546</t>
  </si>
  <si>
    <t>Emp ID-547</t>
  </si>
  <si>
    <t>Emp ID-548</t>
  </si>
  <si>
    <t>Emp ID-549</t>
  </si>
  <si>
    <t>Emp ID-550</t>
  </si>
  <si>
    <t>Emp ID-551</t>
  </si>
  <si>
    <t>Emp ID-552</t>
  </si>
  <si>
    <t>Emp ID-553</t>
  </si>
  <si>
    <t>Emp ID-554</t>
  </si>
  <si>
    <t>Emp ID-555</t>
  </si>
  <si>
    <t>Emp ID-556</t>
  </si>
  <si>
    <t>Emp ID-557</t>
  </si>
  <si>
    <t>Emp ID-558</t>
  </si>
  <si>
    <t>Emp ID-559</t>
  </si>
  <si>
    <t>Emp ID-560</t>
  </si>
  <si>
    <t>Emp ID-561</t>
  </si>
  <si>
    <t>Emp ID-562</t>
  </si>
  <si>
    <t>Emp ID-563</t>
  </si>
  <si>
    <t>Emp ID-564</t>
  </si>
  <si>
    <t>Emp ID-565</t>
  </si>
  <si>
    <t>Emp ID-566</t>
  </si>
  <si>
    <t>Emp ID-567</t>
  </si>
  <si>
    <t>Emp ID-568</t>
  </si>
  <si>
    <t>Emp ID-569</t>
  </si>
  <si>
    <t>Emp ID-570</t>
  </si>
  <si>
    <t>Emp ID-571</t>
  </si>
  <si>
    <t>Emp ID-572</t>
  </si>
  <si>
    <t>Emp ID-573</t>
  </si>
  <si>
    <t>Emp ID-574</t>
  </si>
  <si>
    <t>Emp ID-575</t>
  </si>
  <si>
    <t>Emp ID-576</t>
  </si>
  <si>
    <t>Emp ID-577</t>
  </si>
  <si>
    <t>Emp ID-578</t>
  </si>
  <si>
    <t>Emp ID-579</t>
  </si>
  <si>
    <t>Emp ID-580</t>
  </si>
  <si>
    <t>Emp ID-581</t>
  </si>
  <si>
    <t>Emp ID-582</t>
  </si>
  <si>
    <t>Emp ID-583</t>
  </si>
  <si>
    <t>Emp ID-584</t>
  </si>
  <si>
    <t>Emp ID-585</t>
  </si>
  <si>
    <t>Emp ID-586</t>
  </si>
  <si>
    <t>Emp ID-587</t>
  </si>
  <si>
    <t>Emp ID-588</t>
  </si>
  <si>
    <t>Emp ID-589</t>
  </si>
  <si>
    <t>Emp ID-590</t>
  </si>
  <si>
    <t>Emp ID-591</t>
  </si>
  <si>
    <t>Emp ID-592</t>
  </si>
  <si>
    <t>Emp ID-593</t>
  </si>
  <si>
    <t>Emp ID-594</t>
  </si>
  <si>
    <t>Emp ID-595</t>
  </si>
  <si>
    <t>Emp ID-596</t>
  </si>
  <si>
    <t>Emp ID-597</t>
  </si>
  <si>
    <t>Emp ID-598</t>
  </si>
  <si>
    <t>Emp ID-599</t>
  </si>
  <si>
    <t>Emp ID-600</t>
  </si>
  <si>
    <t>Emp ID-601</t>
  </si>
  <si>
    <t>Emp ID-602</t>
  </si>
  <si>
    <t>Emp ID-603</t>
  </si>
  <si>
    <t>Emp ID-604</t>
  </si>
  <si>
    <t>Emp ID-605</t>
  </si>
  <si>
    <t>Emp ID-606</t>
  </si>
  <si>
    <t>Emp ID-607</t>
  </si>
  <si>
    <t>Emp ID-608</t>
  </si>
  <si>
    <t>Emp ID-609</t>
  </si>
  <si>
    <t>Emp ID-610</t>
  </si>
  <si>
    <t>Emp ID-611</t>
  </si>
  <si>
    <t>Emp ID-612</t>
  </si>
  <si>
    <t>Emp ID-613</t>
  </si>
  <si>
    <t>Emp ID-614</t>
  </si>
  <si>
    <t>Emp ID-615</t>
  </si>
  <si>
    <t>Emp ID-616</t>
  </si>
  <si>
    <t>Emp ID-617</t>
  </si>
  <si>
    <t>Emp ID-618</t>
  </si>
  <si>
    <t>Emp ID-619</t>
  </si>
  <si>
    <t>Emp ID-620</t>
  </si>
  <si>
    <t>Emp ID-621</t>
  </si>
  <si>
    <t>Emp ID-622</t>
  </si>
  <si>
    <t>Emp ID-623</t>
  </si>
  <si>
    <t>Emp ID-624</t>
  </si>
  <si>
    <t>Emp ID-625</t>
  </si>
  <si>
    <t>Emp ID-626</t>
  </si>
  <si>
    <t>Emp ID-627</t>
  </si>
  <si>
    <t>Emp ID-628</t>
  </si>
  <si>
    <t>Emp ID-629</t>
  </si>
  <si>
    <t>Emp ID-630</t>
  </si>
  <si>
    <t>Emp ID-631</t>
  </si>
  <si>
    <t>Emp ID-632</t>
  </si>
  <si>
    <t>Emp ID-633</t>
  </si>
  <si>
    <t>Emp ID-634</t>
  </si>
  <si>
    <t>Emp ID-635</t>
  </si>
  <si>
    <t>Emp ID-636</t>
  </si>
  <si>
    <t>Emp ID-637</t>
  </si>
  <si>
    <t>Emp ID-638</t>
  </si>
  <si>
    <t>Emp ID-639</t>
  </si>
  <si>
    <t>Emp ID-640</t>
  </si>
  <si>
    <t>Emp ID-641</t>
  </si>
  <si>
    <t>Emp ID-642</t>
  </si>
  <si>
    <t>Emp ID-643</t>
  </si>
  <si>
    <t>Emp ID-644</t>
  </si>
  <si>
    <t>Emp ID-645</t>
  </si>
  <si>
    <t>Emp ID-646</t>
  </si>
  <si>
    <t>Emp ID-647</t>
  </si>
  <si>
    <t>Emp ID-648</t>
  </si>
  <si>
    <t>Emp ID-649</t>
  </si>
  <si>
    <t>Emp ID-650</t>
  </si>
  <si>
    <t>Emp ID-651</t>
  </si>
  <si>
    <t>Emp ID-652</t>
  </si>
  <si>
    <t>Emp ID-653</t>
  </si>
  <si>
    <t>Emp ID-654</t>
  </si>
  <si>
    <t>Emp ID-655</t>
  </si>
  <si>
    <t>Emp ID-656</t>
  </si>
  <si>
    <t>Emp ID-657</t>
  </si>
  <si>
    <t>Emp ID-658</t>
  </si>
  <si>
    <t>Emp ID-659</t>
  </si>
  <si>
    <t>Emp ID-660</t>
  </si>
  <si>
    <t>Emp ID-661</t>
  </si>
  <si>
    <t>Emp ID-662</t>
  </si>
  <si>
    <t>Emp ID-663</t>
  </si>
  <si>
    <t>Emp ID-664</t>
  </si>
  <si>
    <t>Emp ID-665</t>
  </si>
  <si>
    <t>Emp ID-666</t>
  </si>
  <si>
    <t>Emp ID-667</t>
  </si>
  <si>
    <t>Emp ID-668</t>
  </si>
  <si>
    <t>Emp ID-669</t>
  </si>
  <si>
    <t>Emp ID-670</t>
  </si>
  <si>
    <t>Emp ID-671</t>
  </si>
  <si>
    <t>Emp ID-672</t>
  </si>
  <si>
    <t>Emp ID-673</t>
  </si>
  <si>
    <t>Emp ID-674</t>
  </si>
  <si>
    <t>Emp ID-675</t>
  </si>
  <si>
    <t>Emp ID-676</t>
  </si>
  <si>
    <t>Emp ID-677</t>
  </si>
  <si>
    <t>Emp ID-678</t>
  </si>
  <si>
    <t>Emp ID-679</t>
  </si>
  <si>
    <t>Emp ID-680</t>
  </si>
  <si>
    <t>Emp ID-681</t>
  </si>
  <si>
    <t>Emp ID-682</t>
  </si>
  <si>
    <t>Emp ID-683</t>
  </si>
  <si>
    <t>Emp ID-684</t>
  </si>
  <si>
    <t>Emp ID-685</t>
  </si>
  <si>
    <t>Emp ID-686</t>
  </si>
  <si>
    <t>Emp ID-687</t>
  </si>
  <si>
    <t>Emp ID-688</t>
  </si>
  <si>
    <t>Emp ID-689</t>
  </si>
  <si>
    <t>Emp ID-690</t>
  </si>
  <si>
    <t>Emp ID-691</t>
  </si>
  <si>
    <t>Emp ID-692</t>
  </si>
  <si>
    <t>Emp ID-693</t>
  </si>
  <si>
    <t>Emp ID-694</t>
  </si>
  <si>
    <t>Emp ID-695</t>
  </si>
  <si>
    <t>Emp ID-696</t>
  </si>
  <si>
    <t>Emp ID-697</t>
  </si>
  <si>
    <t>Emp ID-698</t>
  </si>
  <si>
    <t>Emp ID-699</t>
  </si>
  <si>
    <t>Emp ID-700</t>
  </si>
  <si>
    <t>Emp ID-701</t>
  </si>
  <si>
    <t>Emp ID-702</t>
  </si>
  <si>
    <t>Emp ID-703</t>
  </si>
  <si>
    <t>Emp ID-704</t>
  </si>
  <si>
    <t>Emp ID-705</t>
  </si>
  <si>
    <t>Emp ID-706</t>
  </si>
  <si>
    <t>Emp ID-707</t>
  </si>
  <si>
    <t>Emp ID-708</t>
  </si>
  <si>
    <t>Emp ID-709</t>
  </si>
  <si>
    <t>Emp ID-710</t>
  </si>
  <si>
    <t>Emp ID-711</t>
  </si>
  <si>
    <t>Emp ID-712</t>
  </si>
  <si>
    <t>Emp ID-713</t>
  </si>
  <si>
    <t>Emp ID-714</t>
  </si>
  <si>
    <t>Emp ID-715</t>
  </si>
  <si>
    <t>Emp ID-716</t>
  </si>
  <si>
    <t>Emp ID-717</t>
  </si>
  <si>
    <t>Emp ID-718</t>
  </si>
  <si>
    <t>Emp ID-719</t>
  </si>
  <si>
    <t>Emp ID-720</t>
  </si>
  <si>
    <t>Emp ID-721</t>
  </si>
  <si>
    <t>Emp ID-722</t>
  </si>
  <si>
    <t>Emp ID-723</t>
  </si>
  <si>
    <t>Emp ID-724</t>
  </si>
  <si>
    <t>Emp ID-725</t>
  </si>
  <si>
    <t>Emp ID-726</t>
  </si>
  <si>
    <t>Emp ID-727</t>
  </si>
  <si>
    <t>Emp ID-728</t>
  </si>
  <si>
    <t>Emp ID-729</t>
  </si>
  <si>
    <t>Emp ID-730</t>
  </si>
  <si>
    <t>Emp ID-731</t>
  </si>
  <si>
    <t>Emp ID-732</t>
  </si>
  <si>
    <t>Emp ID-733</t>
  </si>
  <si>
    <t>Emp ID-734</t>
  </si>
  <si>
    <t>Emp ID-735</t>
  </si>
  <si>
    <t>Emp ID-736</t>
  </si>
  <si>
    <t>Emp ID-737</t>
  </si>
  <si>
    <t>Emp ID-738</t>
  </si>
  <si>
    <t>Emp ID-739</t>
  </si>
  <si>
    <t>Emp ID-740</t>
  </si>
  <si>
    <t>Emp ID-741</t>
  </si>
  <si>
    <t>Emp ID-742</t>
  </si>
  <si>
    <t>Emp ID-743</t>
  </si>
  <si>
    <t>Emp ID-744</t>
  </si>
  <si>
    <t>Emp ID-745</t>
  </si>
  <si>
    <t>Emp ID-746</t>
  </si>
  <si>
    <t>Emp ID-747</t>
  </si>
  <si>
    <t>Emp ID-748</t>
  </si>
  <si>
    <t>Emp ID-749</t>
  </si>
  <si>
    <t>Emp ID-750</t>
  </si>
  <si>
    <t>Emp ID-751</t>
  </si>
  <si>
    <t>Emp ID-752</t>
  </si>
  <si>
    <t>Emp ID-753</t>
  </si>
  <si>
    <t>Emp ID-754</t>
  </si>
  <si>
    <t>Emp ID-755</t>
  </si>
  <si>
    <t>Emp ID-756</t>
  </si>
  <si>
    <t>Emp ID-757</t>
  </si>
  <si>
    <t>Emp ID-758</t>
  </si>
  <si>
    <t>Emp ID-759</t>
  </si>
  <si>
    <t>Emp ID-760</t>
  </si>
  <si>
    <t>Emp ID-761</t>
  </si>
  <si>
    <t>Emp ID-762</t>
  </si>
  <si>
    <t>Emp ID-763</t>
  </si>
  <si>
    <t>Emp ID-764</t>
  </si>
  <si>
    <t>Emp ID-765</t>
  </si>
  <si>
    <t>Emp ID-766</t>
  </si>
  <si>
    <t>Emp ID-767</t>
  </si>
  <si>
    <t>Emp ID-768</t>
  </si>
  <si>
    <t>Emp ID-769</t>
  </si>
  <si>
    <t>Emp ID-770</t>
  </si>
  <si>
    <t>Emp ID-771</t>
  </si>
  <si>
    <t>Emp ID-772</t>
  </si>
  <si>
    <t>Emp ID-773</t>
  </si>
  <si>
    <t>Emp ID-774</t>
  </si>
  <si>
    <t>Emp ID-775</t>
  </si>
  <si>
    <t>Emp ID-776</t>
  </si>
  <si>
    <t>Emp ID-777</t>
  </si>
  <si>
    <t>Emp ID-778</t>
  </si>
  <si>
    <t>Emp ID-779</t>
  </si>
  <si>
    <t>Emp ID-780</t>
  </si>
  <si>
    <t>Emp ID-781</t>
  </si>
  <si>
    <t>Emp ID-782</t>
  </si>
  <si>
    <t>Emp ID-783</t>
  </si>
  <si>
    <t>Emp ID-784</t>
  </si>
  <si>
    <t>Emp ID-785</t>
  </si>
  <si>
    <t>Emp ID-786</t>
  </si>
  <si>
    <t>Emp ID-787</t>
  </si>
  <si>
    <t>Emp ID-788</t>
  </si>
  <si>
    <t>Emp ID-789</t>
  </si>
  <si>
    <t>Emp ID-790</t>
  </si>
  <si>
    <t>Emp ID-791</t>
  </si>
  <si>
    <t>Emp ID-792</t>
  </si>
  <si>
    <t>Emp ID-793</t>
  </si>
  <si>
    <t>Emp ID-794</t>
  </si>
  <si>
    <t>Emp ID-795</t>
  </si>
  <si>
    <t>Emp ID-796</t>
  </si>
  <si>
    <t>Emp ID-797</t>
  </si>
  <si>
    <t>Emp ID-798</t>
  </si>
  <si>
    <t>Emp ID-799</t>
  </si>
  <si>
    <t>Emp ID-800</t>
  </si>
  <si>
    <t>Emp ID-801</t>
  </si>
  <si>
    <t>Emp ID-802</t>
  </si>
  <si>
    <t>Emp ID-803</t>
  </si>
  <si>
    <t>Emp ID-804</t>
  </si>
  <si>
    <t>Emp ID-805</t>
  </si>
  <si>
    <t>Emp ID-806</t>
  </si>
  <si>
    <t>Emp ID-807</t>
  </si>
  <si>
    <t>Emp ID-808</t>
  </si>
  <si>
    <t>Emp ID-809</t>
  </si>
  <si>
    <t>Emp ID-810</t>
  </si>
  <si>
    <t>Emp ID-811</t>
  </si>
  <si>
    <t>Emp ID-812</t>
  </si>
  <si>
    <t>Emp ID-813</t>
  </si>
  <si>
    <t>Emp ID-814</t>
  </si>
  <si>
    <t>Emp ID-815</t>
  </si>
  <si>
    <t>Emp ID-816</t>
  </si>
  <si>
    <t>Emp ID-817</t>
  </si>
  <si>
    <t>Emp ID-818</t>
  </si>
  <si>
    <t>Emp ID-819</t>
  </si>
  <si>
    <t>Emp ID-820</t>
  </si>
  <si>
    <t>Emp ID-821</t>
  </si>
  <si>
    <t>Emp ID-822</t>
  </si>
  <si>
    <t>Emp ID-823</t>
  </si>
  <si>
    <t>Emp ID-824</t>
  </si>
  <si>
    <t>Emp ID-825</t>
  </si>
  <si>
    <t>Emp ID-826</t>
  </si>
  <si>
    <t>Emp ID-827</t>
  </si>
  <si>
    <t>Emp ID-828</t>
  </si>
  <si>
    <t>Emp ID-829</t>
  </si>
  <si>
    <t>Emp ID-830</t>
  </si>
  <si>
    <t>Emp ID-831</t>
  </si>
  <si>
    <t>Emp ID-832</t>
  </si>
  <si>
    <t>Emp ID-833</t>
  </si>
  <si>
    <t>Emp ID-834</t>
  </si>
  <si>
    <t>Emp ID-835</t>
  </si>
  <si>
    <t>Emp ID-836</t>
  </si>
  <si>
    <t>Emp ID-837</t>
  </si>
  <si>
    <t>Emp ID-838</t>
  </si>
  <si>
    <t>Emp ID-839</t>
  </si>
  <si>
    <t>Emp ID-840</t>
  </si>
  <si>
    <t>Emp ID-841</t>
  </si>
  <si>
    <t>Emp ID-842</t>
  </si>
  <si>
    <t>Emp ID-843</t>
  </si>
  <si>
    <t>Emp ID-844</t>
  </si>
  <si>
    <t>Emp ID-845</t>
  </si>
  <si>
    <t>Emp ID-846</t>
  </si>
  <si>
    <t>Emp ID-847</t>
  </si>
  <si>
    <t>Emp ID-848</t>
  </si>
  <si>
    <t>Emp ID-849</t>
  </si>
  <si>
    <t>Emp ID-850</t>
  </si>
  <si>
    <t>Emp ID-851</t>
  </si>
  <si>
    <t>Emp ID-852</t>
  </si>
  <si>
    <t>Emp ID-853</t>
  </si>
  <si>
    <t>Emp ID-854</t>
  </si>
  <si>
    <t>Emp ID-855</t>
  </si>
  <si>
    <t>Emp ID-856</t>
  </si>
  <si>
    <t>Emp ID-857</t>
  </si>
  <si>
    <t>Emp ID-858</t>
  </si>
  <si>
    <t>Emp ID-859</t>
  </si>
  <si>
    <t>Emp ID-860</t>
  </si>
  <si>
    <t>Emp ID-861</t>
  </si>
  <si>
    <t>Emp ID-862</t>
  </si>
  <si>
    <t>Emp ID-863</t>
  </si>
  <si>
    <t>Emp ID-864</t>
  </si>
  <si>
    <t>Emp ID-865</t>
  </si>
  <si>
    <t>Emp ID-866</t>
  </si>
  <si>
    <t>Emp ID-867</t>
  </si>
  <si>
    <t>Emp ID-868</t>
  </si>
  <si>
    <t>Emp ID-869</t>
  </si>
  <si>
    <t>Emp ID-870</t>
  </si>
  <si>
    <t>Emp ID-871</t>
  </si>
  <si>
    <t>Emp ID-872</t>
  </si>
  <si>
    <t>Emp ID-873</t>
  </si>
  <si>
    <t>Emp ID-874</t>
  </si>
  <si>
    <t>Emp ID-875</t>
  </si>
  <si>
    <t>Emp ID-876</t>
  </si>
  <si>
    <t>Emp ID-877</t>
  </si>
  <si>
    <t>Emp ID-878</t>
  </si>
  <si>
    <t>Emp ID-879</t>
  </si>
  <si>
    <t>Emp ID-880</t>
  </si>
  <si>
    <t>Emp ID-881</t>
  </si>
  <si>
    <t>Emp ID-882</t>
  </si>
  <si>
    <t>Emp ID-883</t>
  </si>
  <si>
    <t>Emp ID-884</t>
  </si>
  <si>
    <t>Emp ID-885</t>
  </si>
  <si>
    <t>Emp ID-886</t>
  </si>
  <si>
    <t>Emp ID-887</t>
  </si>
  <si>
    <t>Emp ID-888</t>
  </si>
  <si>
    <t>Emp ID-889</t>
  </si>
  <si>
    <t>Emp ID-890</t>
  </si>
  <si>
    <t>Emp ID-891</t>
  </si>
  <si>
    <t>Emp ID-892</t>
  </si>
  <si>
    <t>Emp ID-893</t>
  </si>
  <si>
    <t>Emp ID-894</t>
  </si>
  <si>
    <t>Emp ID-895</t>
  </si>
  <si>
    <t>Emp ID-896</t>
  </si>
  <si>
    <t>Emp ID-897</t>
  </si>
  <si>
    <t>Emp ID-898</t>
  </si>
  <si>
    <t>Emp ID-899</t>
  </si>
  <si>
    <t>Emp ID-900</t>
  </si>
  <si>
    <t>Emp ID-901</t>
  </si>
  <si>
    <t>Emp ID-902</t>
  </si>
  <si>
    <t>Emp ID-903</t>
  </si>
  <si>
    <t>Emp ID-904</t>
  </si>
  <si>
    <t>Emp ID-905</t>
  </si>
  <si>
    <t>Emp ID-906</t>
  </si>
  <si>
    <t>Emp ID-907</t>
  </si>
  <si>
    <t>Emp ID-908</t>
  </si>
  <si>
    <t>Emp ID-909</t>
  </si>
  <si>
    <t>Emp ID-910</t>
  </si>
  <si>
    <t>Emp ID-911</t>
  </si>
  <si>
    <t>Emp ID-912</t>
  </si>
  <si>
    <t>Emp ID-913</t>
  </si>
  <si>
    <t>Emp ID-914</t>
  </si>
  <si>
    <t>Emp ID-915</t>
  </si>
  <si>
    <t>Emp ID-916</t>
  </si>
  <si>
    <t>Emp ID-917</t>
  </si>
  <si>
    <t>Emp ID-918</t>
  </si>
  <si>
    <t>Emp ID-919</t>
  </si>
  <si>
    <t>Emp ID-920</t>
  </si>
  <si>
    <t>Emp ID-921</t>
  </si>
  <si>
    <t>Emp ID-922</t>
  </si>
  <si>
    <t>Emp ID-923</t>
  </si>
  <si>
    <t>Emp ID-924</t>
  </si>
  <si>
    <t>Emp ID-925</t>
  </si>
  <si>
    <t>Emp ID-926</t>
  </si>
  <si>
    <t>Emp ID-927</t>
  </si>
  <si>
    <t>Emp ID-928</t>
  </si>
  <si>
    <t>Emp ID-929</t>
  </si>
  <si>
    <t>Emp ID-930</t>
  </si>
  <si>
    <t>Emp ID-931</t>
  </si>
  <si>
    <t>Emp ID-932</t>
  </si>
  <si>
    <t>Emp ID-933</t>
  </si>
  <si>
    <t>Emp ID-934</t>
  </si>
  <si>
    <t>Emp ID-935</t>
  </si>
  <si>
    <t>Emp ID-936</t>
  </si>
  <si>
    <t>Emp ID-937</t>
  </si>
  <si>
    <t>Emp ID-938</t>
  </si>
  <si>
    <t>Emp ID-939</t>
  </si>
  <si>
    <t>Emp ID-940</t>
  </si>
  <si>
    <t>Emp ID-941</t>
  </si>
  <si>
    <t>Emp ID-942</t>
  </si>
  <si>
    <t>Emp ID-943</t>
  </si>
  <si>
    <t>Emp ID-944</t>
  </si>
  <si>
    <t>Emp ID-945</t>
  </si>
  <si>
    <t>Emp ID-946</t>
  </si>
  <si>
    <t>Emp ID-947</t>
  </si>
  <si>
    <t>Emp ID-948</t>
  </si>
  <si>
    <t>Emp ID-949</t>
  </si>
  <si>
    <t>Emp ID-950</t>
  </si>
  <si>
    <t>Emp ID-951</t>
  </si>
  <si>
    <t>Emp ID-952</t>
  </si>
  <si>
    <t>Emp ID-953</t>
  </si>
  <si>
    <t>Emp ID-954</t>
  </si>
  <si>
    <t>Emp ID-955</t>
  </si>
  <si>
    <t>Emp ID-956</t>
  </si>
  <si>
    <t>Emp ID-957</t>
  </si>
  <si>
    <t>Emp ID-958</t>
  </si>
  <si>
    <t>Emp ID-959</t>
  </si>
  <si>
    <t>Emp ID-960</t>
  </si>
  <si>
    <t>Emp ID-961</t>
  </si>
  <si>
    <t>Emp ID-962</t>
  </si>
  <si>
    <t>Emp ID-963</t>
  </si>
  <si>
    <t>Emp ID-964</t>
  </si>
  <si>
    <t>Emp ID-965</t>
  </si>
  <si>
    <t>Emp ID-966</t>
  </si>
  <si>
    <t>Emp ID-967</t>
  </si>
  <si>
    <t>Emp ID-968</t>
  </si>
  <si>
    <t>Emp ID-969</t>
  </si>
  <si>
    <t>Emp ID-970</t>
  </si>
  <si>
    <t>Emp ID-971</t>
  </si>
  <si>
    <t>Emp ID-972</t>
  </si>
  <si>
    <t>Emp ID-973</t>
  </si>
  <si>
    <t>Emp ID-974</t>
  </si>
  <si>
    <t>Emp ID-975</t>
  </si>
  <si>
    <t>Emp ID-976</t>
  </si>
  <si>
    <t>Emp ID-977</t>
  </si>
  <si>
    <t>Emp ID-978</t>
  </si>
  <si>
    <t>Emp ID-979</t>
  </si>
  <si>
    <t>Emp ID-980</t>
  </si>
  <si>
    <t>Emp ID-981</t>
  </si>
  <si>
    <t>Emp ID-982</t>
  </si>
  <si>
    <t>Emp ID-983</t>
  </si>
  <si>
    <t>Emp ID-984</t>
  </si>
  <si>
    <t>Emp ID-985</t>
  </si>
  <si>
    <t>Emp ID-986</t>
  </si>
  <si>
    <t>Emp ID-987</t>
  </si>
  <si>
    <t>Emp ID-988</t>
  </si>
  <si>
    <t>Emp ID-989</t>
  </si>
  <si>
    <t>Emp ID-990</t>
  </si>
  <si>
    <t>Emp ID-991</t>
  </si>
  <si>
    <t>Emp ID-992</t>
  </si>
  <si>
    <t>Emp ID-993</t>
  </si>
  <si>
    <t>Emp ID-994</t>
  </si>
  <si>
    <t>Emp ID-995</t>
  </si>
  <si>
    <t>Emp ID-996</t>
  </si>
  <si>
    <t>Emp ID-997</t>
  </si>
  <si>
    <t>Emp ID-998</t>
  </si>
  <si>
    <t>Emp ID-999</t>
  </si>
  <si>
    <t>Emp ID-1000</t>
  </si>
  <si>
    <t>Total sales</t>
  </si>
  <si>
    <t xml:space="preserve">Total commission </t>
  </si>
  <si>
    <t>Count of Employee ID</t>
  </si>
  <si>
    <t>Row Labels</t>
  </si>
  <si>
    <t>Grand Total</t>
  </si>
  <si>
    <t>Order ID</t>
  </si>
  <si>
    <t>Ord-ID-1</t>
  </si>
  <si>
    <t>Ord-ID-2</t>
  </si>
  <si>
    <t>Ord-ID-3</t>
  </si>
  <si>
    <t>Ord-ID-4</t>
  </si>
  <si>
    <t>Ord-ID-5</t>
  </si>
  <si>
    <t>Ord-ID-6</t>
  </si>
  <si>
    <t>Ord-ID-7</t>
  </si>
  <si>
    <t>Ord-ID-8</t>
  </si>
  <si>
    <t>Ord-ID-9</t>
  </si>
  <si>
    <t>Ord-ID-10</t>
  </si>
  <si>
    <t>Ord-ID-11</t>
  </si>
  <si>
    <t>Ord-ID-12</t>
  </si>
  <si>
    <t>Ord-ID-13</t>
  </si>
  <si>
    <t>Ord-ID-14</t>
  </si>
  <si>
    <t>Ord-ID-15</t>
  </si>
  <si>
    <t>Ord-ID-16</t>
  </si>
  <si>
    <t>Ord-ID-17</t>
  </si>
  <si>
    <t>Ord-ID-18</t>
  </si>
  <si>
    <t>Ord-ID-19</t>
  </si>
  <si>
    <t>Ord-ID-20</t>
  </si>
  <si>
    <t>Ord-ID-21</t>
  </si>
  <si>
    <t>Ord-ID-22</t>
  </si>
  <si>
    <t>Ord-ID-23</t>
  </si>
  <si>
    <t>Ord-ID-24</t>
  </si>
  <si>
    <t>Ord-ID-25</t>
  </si>
  <si>
    <t>Ord-ID-26</t>
  </si>
  <si>
    <t>Ord-ID-27</t>
  </si>
  <si>
    <t>Ord-ID-28</t>
  </si>
  <si>
    <t>Ord-ID-29</t>
  </si>
  <si>
    <t>Ord-ID-30</t>
  </si>
  <si>
    <t>Ord-ID-31</t>
  </si>
  <si>
    <t>Ord-ID-32</t>
  </si>
  <si>
    <t>Ord-ID-33</t>
  </si>
  <si>
    <t>Ord-ID-34</t>
  </si>
  <si>
    <t>Ord-ID-35</t>
  </si>
  <si>
    <t>Ord-ID-36</t>
  </si>
  <si>
    <t>Ord-ID-37</t>
  </si>
  <si>
    <t>Ord-ID-38</t>
  </si>
  <si>
    <t>Ord-ID-39</t>
  </si>
  <si>
    <t>Ord-ID-40</t>
  </si>
  <si>
    <t>Ord-ID-41</t>
  </si>
  <si>
    <t>Ord-ID-42</t>
  </si>
  <si>
    <t>Ord-ID-43</t>
  </si>
  <si>
    <t>Ord-ID-44</t>
  </si>
  <si>
    <t>Ord-ID-45</t>
  </si>
  <si>
    <t>Ord-ID-46</t>
  </si>
  <si>
    <t>Ord-ID-47</t>
  </si>
  <si>
    <t>Ord-ID-48</t>
  </si>
  <si>
    <t>Ord-ID-49</t>
  </si>
  <si>
    <t>Ord-ID-50</t>
  </si>
  <si>
    <t>Ord-ID-51</t>
  </si>
  <si>
    <t>Ord-ID-52</t>
  </si>
  <si>
    <t>Ord-ID-53</t>
  </si>
  <si>
    <t>Ord-ID-54</t>
  </si>
  <si>
    <t>Ord-ID-55</t>
  </si>
  <si>
    <t>Ord-ID-56</t>
  </si>
  <si>
    <t>Ord-ID-57</t>
  </si>
  <si>
    <t>Ord-ID-58</t>
  </si>
  <si>
    <t>Ord-ID-59</t>
  </si>
  <si>
    <t>Ord-ID-60</t>
  </si>
  <si>
    <t>Ord-ID-61</t>
  </si>
  <si>
    <t>Ord-ID-62</t>
  </si>
  <si>
    <t>Ord-ID-63</t>
  </si>
  <si>
    <t>Ord-ID-64</t>
  </si>
  <si>
    <t>Ord-ID-65</t>
  </si>
  <si>
    <t>Ord-ID-66</t>
  </si>
  <si>
    <t>Ord-ID-67</t>
  </si>
  <si>
    <t>Ord-ID-68</t>
  </si>
  <si>
    <t>Ord-ID-69</t>
  </si>
  <si>
    <t>Ord-ID-70</t>
  </si>
  <si>
    <t>Ord-ID-71</t>
  </si>
  <si>
    <t>Ord-ID-72</t>
  </si>
  <si>
    <t>Ord-ID-73</t>
  </si>
  <si>
    <t>Ord-ID-74</t>
  </si>
  <si>
    <t>Ord-ID-75</t>
  </si>
  <si>
    <t>Ord-ID-76</t>
  </si>
  <si>
    <t>Ord-ID-77</t>
  </si>
  <si>
    <t>Ord-ID-78</t>
  </si>
  <si>
    <t>Ord-ID-79</t>
  </si>
  <si>
    <t>Ord-ID-80</t>
  </si>
  <si>
    <t>Ord-ID-81</t>
  </si>
  <si>
    <t>Ord-ID-82</t>
  </si>
  <si>
    <t>Ord-ID-83</t>
  </si>
  <si>
    <t>Ord-ID-84</t>
  </si>
  <si>
    <t>Ord-ID-85</t>
  </si>
  <si>
    <t>Ord-ID-86</t>
  </si>
  <si>
    <t>Ord-ID-87</t>
  </si>
  <si>
    <t>Ord-ID-88</t>
  </si>
  <si>
    <t>Ord-ID-89</t>
  </si>
  <si>
    <t>Ord-ID-90</t>
  </si>
  <si>
    <t>Ord-ID-91</t>
  </si>
  <si>
    <t>Ord-ID-92</t>
  </si>
  <si>
    <t>Ord-ID-93</t>
  </si>
  <si>
    <t>Ord-ID-94</t>
  </si>
  <si>
    <t>Ord-ID-95</t>
  </si>
  <si>
    <t>Ord-ID-96</t>
  </si>
  <si>
    <t>Ord-ID-97</t>
  </si>
  <si>
    <t>Ord-ID-98</t>
  </si>
  <si>
    <t>Ord-ID-99</t>
  </si>
  <si>
    <t>Ord-ID-100</t>
  </si>
  <si>
    <t>Ord-ID-101</t>
  </si>
  <si>
    <t>Ord-ID-102</t>
  </si>
  <si>
    <t>Ord-ID-103</t>
  </si>
  <si>
    <t>Ord-ID-104</t>
  </si>
  <si>
    <t>Ord-ID-105</t>
  </si>
  <si>
    <t>Ord-ID-106</t>
  </si>
  <si>
    <t>Ord-ID-107</t>
  </si>
  <si>
    <t>Ord-ID-108</t>
  </si>
  <si>
    <t>Ord-ID-109</t>
  </si>
  <si>
    <t>Ord-ID-110</t>
  </si>
  <si>
    <t>Ord-ID-111</t>
  </si>
  <si>
    <t>Ord-ID-112</t>
  </si>
  <si>
    <t>Ord-ID-113</t>
  </si>
  <si>
    <t>Ord-ID-114</t>
  </si>
  <si>
    <t>Ord-ID-115</t>
  </si>
  <si>
    <t>Ord-ID-116</t>
  </si>
  <si>
    <t>Ord-ID-117</t>
  </si>
  <si>
    <t>Ord-ID-118</t>
  </si>
  <si>
    <t>Ord-ID-119</t>
  </si>
  <si>
    <t>Ord-ID-120</t>
  </si>
  <si>
    <t>Ord-ID-121</t>
  </si>
  <si>
    <t>Ord-ID-122</t>
  </si>
  <si>
    <t>Ord-ID-123</t>
  </si>
  <si>
    <t>Ord-ID-124</t>
  </si>
  <si>
    <t>Ord-ID-125</t>
  </si>
  <si>
    <t>Ord-ID-126</t>
  </si>
  <si>
    <t>Ord-ID-127</t>
  </si>
  <si>
    <t>Ord-ID-128</t>
  </si>
  <si>
    <t>Ord-ID-129</t>
  </si>
  <si>
    <t>Ord-ID-130</t>
  </si>
  <si>
    <t>Ord-ID-131</t>
  </si>
  <si>
    <t>Ord-ID-132</t>
  </si>
  <si>
    <t>Ord-ID-133</t>
  </si>
  <si>
    <t>Ord-ID-134</t>
  </si>
  <si>
    <t>Ord-ID-135</t>
  </si>
  <si>
    <t>Ord-ID-136</t>
  </si>
  <si>
    <t>Ord-ID-137</t>
  </si>
  <si>
    <t>Ord-ID-138</t>
  </si>
  <si>
    <t>Ord-ID-139</t>
  </si>
  <si>
    <t>Ord-ID-140</t>
  </si>
  <si>
    <t>Ord-ID-141</t>
  </si>
  <si>
    <t>Ord-ID-142</t>
  </si>
  <si>
    <t>Ord-ID-143</t>
  </si>
  <si>
    <t>Ord-ID-144</t>
  </si>
  <si>
    <t>Ord-ID-145</t>
  </si>
  <si>
    <t>Ord-ID-146</t>
  </si>
  <si>
    <t>Ord-ID-147</t>
  </si>
  <si>
    <t>Ord-ID-148</t>
  </si>
  <si>
    <t>Ord-ID-149</t>
  </si>
  <si>
    <t>Ord-ID-150</t>
  </si>
  <si>
    <t>Ord-ID-151</t>
  </si>
  <si>
    <t>Ord-ID-152</t>
  </si>
  <si>
    <t>Ord-ID-153</t>
  </si>
  <si>
    <t>Ord-ID-154</t>
  </si>
  <si>
    <t>Ord-ID-155</t>
  </si>
  <si>
    <t>Ord-ID-156</t>
  </si>
  <si>
    <t>Ord-ID-157</t>
  </si>
  <si>
    <t>Ord-ID-158</t>
  </si>
  <si>
    <t>Ord-ID-159</t>
  </si>
  <si>
    <t>Ord-ID-160</t>
  </si>
  <si>
    <t>Ord-ID-161</t>
  </si>
  <si>
    <t>Ord-ID-162</t>
  </si>
  <si>
    <t>Ord-ID-163</t>
  </si>
  <si>
    <t>Ord-ID-164</t>
  </si>
  <si>
    <t>Ord-ID-165</t>
  </si>
  <si>
    <t>Ord-ID-166</t>
  </si>
  <si>
    <t>Ord-ID-167</t>
  </si>
  <si>
    <t>Ord-ID-168</t>
  </si>
  <si>
    <t>Ord-ID-169</t>
  </si>
  <si>
    <t>Ord-ID-170</t>
  </si>
  <si>
    <t>Ord-ID-171</t>
  </si>
  <si>
    <t>Ord-ID-172</t>
  </si>
  <si>
    <t>Ord-ID-173</t>
  </si>
  <si>
    <t>Ord-ID-174</t>
  </si>
  <si>
    <t>Ord-ID-175</t>
  </si>
  <si>
    <t>Ord-ID-176</t>
  </si>
  <si>
    <t>Ord-ID-177</t>
  </si>
  <si>
    <t>Ord-ID-178</t>
  </si>
  <si>
    <t>Ord-ID-179</t>
  </si>
  <si>
    <t>Ord-ID-180</t>
  </si>
  <si>
    <t>Ord-ID-181</t>
  </si>
  <si>
    <t>Ord-ID-182</t>
  </si>
  <si>
    <t>Ord-ID-183</t>
  </si>
  <si>
    <t>Ord-ID-184</t>
  </si>
  <si>
    <t>Ord-ID-185</t>
  </si>
  <si>
    <t>Ord-ID-186</t>
  </si>
  <si>
    <t>Ord-ID-187</t>
  </si>
  <si>
    <t>Ord-ID-188</t>
  </si>
  <si>
    <t>Ord-ID-189</t>
  </si>
  <si>
    <t>Ord-ID-190</t>
  </si>
  <si>
    <t>Ord-ID-191</t>
  </si>
  <si>
    <t>Ord-ID-192</t>
  </si>
  <si>
    <t>Ord-ID-193</t>
  </si>
  <si>
    <t>Ord-ID-194</t>
  </si>
  <si>
    <t>Ord-ID-195</t>
  </si>
  <si>
    <t>Ord-ID-196</t>
  </si>
  <si>
    <t>Ord-ID-197</t>
  </si>
  <si>
    <t>Ord-ID-198</t>
  </si>
  <si>
    <t>Ord-ID-199</t>
  </si>
  <si>
    <t>Ord-ID-200</t>
  </si>
  <si>
    <t>Ord-ID-201</t>
  </si>
  <si>
    <t>Ord-ID-202</t>
  </si>
  <si>
    <t>Ord-ID-203</t>
  </si>
  <si>
    <t>Ord-ID-204</t>
  </si>
  <si>
    <t>Ord-ID-205</t>
  </si>
  <si>
    <t>Ord-ID-206</t>
  </si>
  <si>
    <t>Ord-ID-207</t>
  </si>
  <si>
    <t>Ord-ID-208</t>
  </si>
  <si>
    <t>Ord-ID-209</t>
  </si>
  <si>
    <t>Ord-ID-210</t>
  </si>
  <si>
    <t>Ord-ID-211</t>
  </si>
  <si>
    <t>Ord-ID-212</t>
  </si>
  <si>
    <t>Ord-ID-213</t>
  </si>
  <si>
    <t>Ord-ID-214</t>
  </si>
  <si>
    <t>Ord-ID-215</t>
  </si>
  <si>
    <t>Ord-ID-216</t>
  </si>
  <si>
    <t>Ord-ID-217</t>
  </si>
  <si>
    <t>Ord-ID-218</t>
  </si>
  <si>
    <t>Ord-ID-219</t>
  </si>
  <si>
    <t>Ord-ID-220</t>
  </si>
  <si>
    <t>Ord-ID-221</t>
  </si>
  <si>
    <t>Ord-ID-222</t>
  </si>
  <si>
    <t>Ord-ID-223</t>
  </si>
  <si>
    <t>Ord-ID-224</t>
  </si>
  <si>
    <t>Ord-ID-225</t>
  </si>
  <si>
    <t>Ord-ID-226</t>
  </si>
  <si>
    <t>Ord-ID-227</t>
  </si>
  <si>
    <t>Ord-ID-228</t>
  </si>
  <si>
    <t>Ord-ID-229</t>
  </si>
  <si>
    <t>Ord-ID-230</t>
  </si>
  <si>
    <t>Ord-ID-231</t>
  </si>
  <si>
    <t>Ord-ID-232</t>
  </si>
  <si>
    <t>Ord-ID-233</t>
  </si>
  <si>
    <t>Ord-ID-234</t>
  </si>
  <si>
    <t>Ord-ID-235</t>
  </si>
  <si>
    <t>Ord-ID-236</t>
  </si>
  <si>
    <t>Ord-ID-237</t>
  </si>
  <si>
    <t>Ord-ID-238</t>
  </si>
  <si>
    <t>Ord-ID-239</t>
  </si>
  <si>
    <t>Ord-ID-240</t>
  </si>
  <si>
    <t>Ord-ID-241</t>
  </si>
  <si>
    <t>Ord-ID-242</t>
  </si>
  <si>
    <t>Ord-ID-243</t>
  </si>
  <si>
    <t>Ord-ID-244</t>
  </si>
  <si>
    <t>Ord-ID-245</t>
  </si>
  <si>
    <t>Ord-ID-246</t>
  </si>
  <si>
    <t>Ord-ID-247</t>
  </si>
  <si>
    <t>Ord-ID-248</t>
  </si>
  <si>
    <t>Ord-ID-249</t>
  </si>
  <si>
    <t>Ord-ID-250</t>
  </si>
  <si>
    <t>Ord-ID-251</t>
  </si>
  <si>
    <t>Ord-ID-252</t>
  </si>
  <si>
    <t>Ord-ID-253</t>
  </si>
  <si>
    <t>Ord-ID-254</t>
  </si>
  <si>
    <t>Ord-ID-255</t>
  </si>
  <si>
    <t>Ord-ID-256</t>
  </si>
  <si>
    <t>Ord-ID-257</t>
  </si>
  <si>
    <t>Ord-ID-258</t>
  </si>
  <si>
    <t>Ord-ID-259</t>
  </si>
  <si>
    <t>Ord-ID-260</t>
  </si>
  <si>
    <t>Ord-ID-261</t>
  </si>
  <si>
    <t>Ord-ID-262</t>
  </si>
  <si>
    <t>Ord-ID-263</t>
  </si>
  <si>
    <t>Ord-ID-264</t>
  </si>
  <si>
    <t>Ord-ID-265</t>
  </si>
  <si>
    <t>Ord-ID-266</t>
  </si>
  <si>
    <t>Ord-ID-267</t>
  </si>
  <si>
    <t>Ord-ID-268</t>
  </si>
  <si>
    <t>Ord-ID-269</t>
  </si>
  <si>
    <t>Ord-ID-270</t>
  </si>
  <si>
    <t>Ord-ID-271</t>
  </si>
  <si>
    <t>Ord-ID-272</t>
  </si>
  <si>
    <t>Ord-ID-273</t>
  </si>
  <si>
    <t>Ord-ID-274</t>
  </si>
  <si>
    <t>Ord-ID-275</t>
  </si>
  <si>
    <t>Ord-ID-276</t>
  </si>
  <si>
    <t>Ord-ID-277</t>
  </si>
  <si>
    <t>Ord-ID-278</t>
  </si>
  <si>
    <t>Ord-ID-279</t>
  </si>
  <si>
    <t>Ord-ID-280</t>
  </si>
  <si>
    <t>Ord-ID-281</t>
  </si>
  <si>
    <t>Ord-ID-282</t>
  </si>
  <si>
    <t>Ord-ID-283</t>
  </si>
  <si>
    <t>Ord-ID-284</t>
  </si>
  <si>
    <t>Ord-ID-285</t>
  </si>
  <si>
    <t>Ord-ID-286</t>
  </si>
  <si>
    <t>Ord-ID-287</t>
  </si>
  <si>
    <t>Ord-ID-288</t>
  </si>
  <si>
    <t>Ord-ID-289</t>
  </si>
  <si>
    <t>Ord-ID-290</t>
  </si>
  <si>
    <t>Ord-ID-291</t>
  </si>
  <si>
    <t>Ord-ID-292</t>
  </si>
  <si>
    <t>Ord-ID-293</t>
  </si>
  <si>
    <t>Ord-ID-294</t>
  </si>
  <si>
    <t>Ord-ID-295</t>
  </si>
  <si>
    <t>Ord-ID-296</t>
  </si>
  <si>
    <t>Ord-ID-297</t>
  </si>
  <si>
    <t>Ord-ID-298</t>
  </si>
  <si>
    <t>Ord-ID-299</t>
  </si>
  <si>
    <t>Ord-ID-300</t>
  </si>
  <si>
    <t>Ord-ID-301</t>
  </si>
  <si>
    <t>Ord-ID-302</t>
  </si>
  <si>
    <t>Ord-ID-303</t>
  </si>
  <si>
    <t>Ord-ID-304</t>
  </si>
  <si>
    <t>Ord-ID-305</t>
  </si>
  <si>
    <t>Ord-ID-306</t>
  </si>
  <si>
    <t>Ord-ID-307</t>
  </si>
  <si>
    <t>Ord-ID-308</t>
  </si>
  <si>
    <t>Ord-ID-309</t>
  </si>
  <si>
    <t>Ord-ID-310</t>
  </si>
  <si>
    <t>Ord-ID-311</t>
  </si>
  <si>
    <t>Ord-ID-312</t>
  </si>
  <si>
    <t>Ord-ID-313</t>
  </si>
  <si>
    <t>Ord-ID-314</t>
  </si>
  <si>
    <t>Ord-ID-315</t>
  </si>
  <si>
    <t>Ord-ID-316</t>
  </si>
  <si>
    <t>Ord-ID-317</t>
  </si>
  <si>
    <t>Ord-ID-318</t>
  </si>
  <si>
    <t>Ord-ID-319</t>
  </si>
  <si>
    <t>Ord-ID-320</t>
  </si>
  <si>
    <t>Ord-ID-321</t>
  </si>
  <si>
    <t>Ord-ID-322</t>
  </si>
  <si>
    <t>Ord-ID-323</t>
  </si>
  <si>
    <t>Ord-ID-324</t>
  </si>
  <si>
    <t>Ord-ID-325</t>
  </si>
  <si>
    <t>Ord-ID-326</t>
  </si>
  <si>
    <t>Ord-ID-327</t>
  </si>
  <si>
    <t>Ord-ID-328</t>
  </si>
  <si>
    <t>Ord-ID-329</t>
  </si>
  <si>
    <t>Ord-ID-330</t>
  </si>
  <si>
    <t>Ord-ID-331</t>
  </si>
  <si>
    <t>Ord-ID-332</t>
  </si>
  <si>
    <t>Ord-ID-333</t>
  </si>
  <si>
    <t>Ord-ID-334</t>
  </si>
  <si>
    <t>Ord-ID-335</t>
  </si>
  <si>
    <t>Ord-ID-336</t>
  </si>
  <si>
    <t>Ord-ID-337</t>
  </si>
  <si>
    <t>Ord-ID-338</t>
  </si>
  <si>
    <t>Ord-ID-339</t>
  </si>
  <si>
    <t>Ord-ID-340</t>
  </si>
  <si>
    <t>Ord-ID-341</t>
  </si>
  <si>
    <t>Ord-ID-342</t>
  </si>
  <si>
    <t>Ord-ID-343</t>
  </si>
  <si>
    <t>Ord-ID-344</t>
  </si>
  <si>
    <t>Ord-ID-345</t>
  </si>
  <si>
    <t>Ord-ID-346</t>
  </si>
  <si>
    <t>Ord-ID-347</t>
  </si>
  <si>
    <t>Ord-ID-348</t>
  </si>
  <si>
    <t>Ord-ID-349</t>
  </si>
  <si>
    <t>Ord-ID-350</t>
  </si>
  <si>
    <t>Ord-ID-351</t>
  </si>
  <si>
    <t>Ord-ID-352</t>
  </si>
  <si>
    <t>Ord-ID-353</t>
  </si>
  <si>
    <t>Ord-ID-354</t>
  </si>
  <si>
    <t>Ord-ID-355</t>
  </si>
  <si>
    <t>Ord-ID-356</t>
  </si>
  <si>
    <t>Ord-ID-357</t>
  </si>
  <si>
    <t>Ord-ID-358</t>
  </si>
  <si>
    <t>Ord-ID-359</t>
  </si>
  <si>
    <t>Ord-ID-360</t>
  </si>
  <si>
    <t>Ord-ID-361</t>
  </si>
  <si>
    <t>Ord-ID-362</t>
  </si>
  <si>
    <t>Ord-ID-363</t>
  </si>
  <si>
    <t>Ord-ID-364</t>
  </si>
  <si>
    <t>Ord-ID-365</t>
  </si>
  <si>
    <t>Ord-ID-366</t>
  </si>
  <si>
    <t>Ord-ID-367</t>
  </si>
  <si>
    <t>Ord-ID-368</t>
  </si>
  <si>
    <t>Ord-ID-369</t>
  </si>
  <si>
    <t>Ord-ID-370</t>
  </si>
  <si>
    <t>Ord-ID-371</t>
  </si>
  <si>
    <t>Ord-ID-372</t>
  </si>
  <si>
    <t>Ord-ID-373</t>
  </si>
  <si>
    <t>Ord-ID-374</t>
  </si>
  <si>
    <t>Ord-ID-375</t>
  </si>
  <si>
    <t>Ord-ID-376</t>
  </si>
  <si>
    <t>Ord-ID-377</t>
  </si>
  <si>
    <t>Ord-ID-378</t>
  </si>
  <si>
    <t>Ord-ID-379</t>
  </si>
  <si>
    <t>Ord-ID-380</t>
  </si>
  <si>
    <t>Ord-ID-381</t>
  </si>
  <si>
    <t>Ord-ID-382</t>
  </si>
  <si>
    <t>Ord-ID-383</t>
  </si>
  <si>
    <t>Ord-ID-384</t>
  </si>
  <si>
    <t>Ord-ID-385</t>
  </si>
  <si>
    <t>Ord-ID-386</t>
  </si>
  <si>
    <t>Ord-ID-387</t>
  </si>
  <si>
    <t>Ord-ID-388</t>
  </si>
  <si>
    <t>Ord-ID-389</t>
  </si>
  <si>
    <t>Ord-ID-390</t>
  </si>
  <si>
    <t>Ord-ID-391</t>
  </si>
  <si>
    <t>Ord-ID-392</t>
  </si>
  <si>
    <t>Ord-ID-393</t>
  </si>
  <si>
    <t>Ord-ID-394</t>
  </si>
  <si>
    <t>Ord-ID-395</t>
  </si>
  <si>
    <t>Ord-ID-396</t>
  </si>
  <si>
    <t>Ord-ID-397</t>
  </si>
  <si>
    <t>Ord-ID-398</t>
  </si>
  <si>
    <t>Ord-ID-399</t>
  </si>
  <si>
    <t>Ord-ID-400</t>
  </si>
  <si>
    <t>Ord-ID-401</t>
  </si>
  <si>
    <t>Ord-ID-402</t>
  </si>
  <si>
    <t>Ord-ID-403</t>
  </si>
  <si>
    <t>Ord-ID-404</t>
  </si>
  <si>
    <t>Ord-ID-405</t>
  </si>
  <si>
    <t>Ord-ID-406</t>
  </si>
  <si>
    <t>Ord-ID-407</t>
  </si>
  <si>
    <t>Ord-ID-408</t>
  </si>
  <si>
    <t>Ord-ID-409</t>
  </si>
  <si>
    <t>Ord-ID-410</t>
  </si>
  <si>
    <t>Ord-ID-411</t>
  </si>
  <si>
    <t>Ord-ID-412</t>
  </si>
  <si>
    <t>Ord-ID-413</t>
  </si>
  <si>
    <t>Ord-ID-414</t>
  </si>
  <si>
    <t>Ord-ID-415</t>
  </si>
  <si>
    <t>Ord-ID-416</t>
  </si>
  <si>
    <t>Ord-ID-417</t>
  </si>
  <si>
    <t>Ord-ID-418</t>
  </si>
  <si>
    <t>Ord-ID-419</t>
  </si>
  <si>
    <t>Ord-ID-420</t>
  </si>
  <si>
    <t>Ord-ID-421</t>
  </si>
  <si>
    <t>Ord-ID-422</t>
  </si>
  <si>
    <t>Ord-ID-423</t>
  </si>
  <si>
    <t>Ord-ID-424</t>
  </si>
  <si>
    <t>Ord-ID-425</t>
  </si>
  <si>
    <t>Ord-ID-426</t>
  </si>
  <si>
    <t>Ord-ID-427</t>
  </si>
  <si>
    <t>Ord-ID-428</t>
  </si>
  <si>
    <t>Ord-ID-429</t>
  </si>
  <si>
    <t>Ord-ID-430</t>
  </si>
  <si>
    <t>Ord-ID-431</t>
  </si>
  <si>
    <t>Ord-ID-432</t>
  </si>
  <si>
    <t>Ord-ID-433</t>
  </si>
  <si>
    <t>Ord-ID-434</t>
  </si>
  <si>
    <t>Ord-ID-435</t>
  </si>
  <si>
    <t>Ord-ID-436</t>
  </si>
  <si>
    <t>Ord-ID-437</t>
  </si>
  <si>
    <t>Ord-ID-438</t>
  </si>
  <si>
    <t>Ord-ID-439</t>
  </si>
  <si>
    <t>Ord-ID-440</t>
  </si>
  <si>
    <t>Ord-ID-441</t>
  </si>
  <si>
    <t>Ord-ID-442</t>
  </si>
  <si>
    <t>Ord-ID-443</t>
  </si>
  <si>
    <t>Ord-ID-444</t>
  </si>
  <si>
    <t>Ord-ID-445</t>
  </si>
  <si>
    <t>Ord-ID-446</t>
  </si>
  <si>
    <t>Ord-ID-447</t>
  </si>
  <si>
    <t>Ord-ID-448</t>
  </si>
  <si>
    <t>Ord-ID-449</t>
  </si>
  <si>
    <t>Ord-ID-450</t>
  </si>
  <si>
    <t>Ord-ID-451</t>
  </si>
  <si>
    <t>Ord-ID-452</t>
  </si>
  <si>
    <t>Ord-ID-453</t>
  </si>
  <si>
    <t>Ord-ID-454</t>
  </si>
  <si>
    <t>Ord-ID-455</t>
  </si>
  <si>
    <t>Ord-ID-456</t>
  </si>
  <si>
    <t>Ord-ID-457</t>
  </si>
  <si>
    <t>Ord-ID-458</t>
  </si>
  <si>
    <t>Ord-ID-459</t>
  </si>
  <si>
    <t>Ord-ID-460</t>
  </si>
  <si>
    <t>Ord-ID-461</t>
  </si>
  <si>
    <t>Ord-ID-462</t>
  </si>
  <si>
    <t>Ord-ID-463</t>
  </si>
  <si>
    <t>Ord-ID-464</t>
  </si>
  <si>
    <t>Ord-ID-465</t>
  </si>
  <si>
    <t>Ord-ID-466</t>
  </si>
  <si>
    <t>Ord-ID-467</t>
  </si>
  <si>
    <t>Ord-ID-468</t>
  </si>
  <si>
    <t>Ord-ID-469</t>
  </si>
  <si>
    <t>Ord-ID-470</t>
  </si>
  <si>
    <t>Ord-ID-471</t>
  </si>
  <si>
    <t>Ord-ID-472</t>
  </si>
  <si>
    <t>Ord-ID-473</t>
  </si>
  <si>
    <t>Ord-ID-474</t>
  </si>
  <si>
    <t>Ord-ID-475</t>
  </si>
  <si>
    <t>Ord-ID-476</t>
  </si>
  <si>
    <t>Ord-ID-477</t>
  </si>
  <si>
    <t>Ord-ID-478</t>
  </si>
  <si>
    <t>Ord-ID-479</t>
  </si>
  <si>
    <t>Ord-ID-480</t>
  </si>
  <si>
    <t>Ord-ID-481</t>
  </si>
  <si>
    <t>Ord-ID-482</t>
  </si>
  <si>
    <t>Ord-ID-483</t>
  </si>
  <si>
    <t>Ord-ID-484</t>
  </si>
  <si>
    <t>Ord-ID-485</t>
  </si>
  <si>
    <t>Ord-ID-486</t>
  </si>
  <si>
    <t>Ord-ID-487</t>
  </si>
  <si>
    <t>Ord-ID-488</t>
  </si>
  <si>
    <t>Ord-ID-489</t>
  </si>
  <si>
    <t>Ord-ID-490</t>
  </si>
  <si>
    <t>Ord-ID-491</t>
  </si>
  <si>
    <t>Ord-ID-492</t>
  </si>
  <si>
    <t>Ord-ID-493</t>
  </si>
  <si>
    <t>Ord-ID-494</t>
  </si>
  <si>
    <t>Ord-ID-495</t>
  </si>
  <si>
    <t>Ord-ID-496</t>
  </si>
  <si>
    <t>Ord-ID-497</t>
  </si>
  <si>
    <t>Ord-ID-498</t>
  </si>
  <si>
    <t>Ord-ID-499</t>
  </si>
  <si>
    <t>Ord-ID-500</t>
  </si>
  <si>
    <t>Ord-ID-501</t>
  </si>
  <si>
    <t>Ord-ID-502</t>
  </si>
  <si>
    <t>Ord-ID-503</t>
  </si>
  <si>
    <t>Ord-ID-504</t>
  </si>
  <si>
    <t>Ord-ID-505</t>
  </si>
  <si>
    <t>Ord-ID-506</t>
  </si>
  <si>
    <t>Ord-ID-507</t>
  </si>
  <si>
    <t>Ord-ID-508</t>
  </si>
  <si>
    <t>Ord-ID-509</t>
  </si>
  <si>
    <t>Ord-ID-510</t>
  </si>
  <si>
    <t>Ord-ID-511</t>
  </si>
  <si>
    <t>Ord-ID-512</t>
  </si>
  <si>
    <t>Ord-ID-513</t>
  </si>
  <si>
    <t>Ord-ID-514</t>
  </si>
  <si>
    <t>Ord-ID-515</t>
  </si>
  <si>
    <t>Ord-ID-516</t>
  </si>
  <si>
    <t>Ord-ID-517</t>
  </si>
  <si>
    <t>Ord-ID-518</t>
  </si>
  <si>
    <t>Ord-ID-519</t>
  </si>
  <si>
    <t>Ord-ID-520</t>
  </si>
  <si>
    <t>Ord-ID-521</t>
  </si>
  <si>
    <t>Ord-ID-522</t>
  </si>
  <si>
    <t>Ord-ID-523</t>
  </si>
  <si>
    <t>Ord-ID-524</t>
  </si>
  <si>
    <t>Ord-ID-525</t>
  </si>
  <si>
    <t>Ord-ID-526</t>
  </si>
  <si>
    <t>Ord-ID-527</t>
  </si>
  <si>
    <t>Ord-ID-528</t>
  </si>
  <si>
    <t>Ord-ID-529</t>
  </si>
  <si>
    <t>Ord-ID-530</t>
  </si>
  <si>
    <t>Ord-ID-531</t>
  </si>
  <si>
    <t>Ord-ID-532</t>
  </si>
  <si>
    <t>Ord-ID-533</t>
  </si>
  <si>
    <t>Ord-ID-534</t>
  </si>
  <si>
    <t>Ord-ID-535</t>
  </si>
  <si>
    <t>Ord-ID-536</t>
  </si>
  <si>
    <t>Ord-ID-537</t>
  </si>
  <si>
    <t>Ord-ID-538</t>
  </si>
  <si>
    <t>Ord-ID-539</t>
  </si>
  <si>
    <t>Ord-ID-540</t>
  </si>
  <si>
    <t>Ord-ID-541</t>
  </si>
  <si>
    <t>Ord-ID-542</t>
  </si>
  <si>
    <t>Ord-ID-543</t>
  </si>
  <si>
    <t>Ord-ID-544</t>
  </si>
  <si>
    <t>Ord-ID-545</t>
  </si>
  <si>
    <t>Ord-ID-546</t>
  </si>
  <si>
    <t>Ord-ID-547</t>
  </si>
  <si>
    <t>Ord-ID-548</t>
  </si>
  <si>
    <t>Ord-ID-549</t>
  </si>
  <si>
    <t>Ord-ID-550</t>
  </si>
  <si>
    <t>Ord-ID-551</t>
  </si>
  <si>
    <t>Ord-ID-552</t>
  </si>
  <si>
    <t>Ord-ID-553</t>
  </si>
  <si>
    <t>Ord-ID-554</t>
  </si>
  <si>
    <t>Ord-ID-555</t>
  </si>
  <si>
    <t>Ord-ID-556</t>
  </si>
  <si>
    <t>Ord-ID-557</t>
  </si>
  <si>
    <t>Ord-ID-558</t>
  </si>
  <si>
    <t>Ord-ID-559</t>
  </si>
  <si>
    <t>Ord-ID-560</t>
  </si>
  <si>
    <t>Ord-ID-561</t>
  </si>
  <si>
    <t>Ord-ID-562</t>
  </si>
  <si>
    <t>Ord-ID-563</t>
  </si>
  <si>
    <t>Ord-ID-564</t>
  </si>
  <si>
    <t>Ord-ID-565</t>
  </si>
  <si>
    <t>Ord-ID-566</t>
  </si>
  <si>
    <t>Ord-ID-567</t>
  </si>
  <si>
    <t>Ord-ID-568</t>
  </si>
  <si>
    <t>Ord-ID-569</t>
  </si>
  <si>
    <t>Ord-ID-570</t>
  </si>
  <si>
    <t>Ord-ID-571</t>
  </si>
  <si>
    <t>Ord-ID-572</t>
  </si>
  <si>
    <t>Ord-ID-573</t>
  </si>
  <si>
    <t>Ord-ID-574</t>
  </si>
  <si>
    <t>Ord-ID-575</t>
  </si>
  <si>
    <t>Ord-ID-576</t>
  </si>
  <si>
    <t>Ord-ID-577</t>
  </si>
  <si>
    <t>Ord-ID-578</t>
  </si>
  <si>
    <t>Ord-ID-579</t>
  </si>
  <si>
    <t>Ord-ID-580</t>
  </si>
  <si>
    <t>Ord-ID-581</t>
  </si>
  <si>
    <t>Ord-ID-582</t>
  </si>
  <si>
    <t>Ord-ID-583</t>
  </si>
  <si>
    <t>Ord-ID-584</t>
  </si>
  <si>
    <t>Ord-ID-585</t>
  </si>
  <si>
    <t>Ord-ID-586</t>
  </si>
  <si>
    <t>Ord-ID-587</t>
  </si>
  <si>
    <t>Ord-ID-588</t>
  </si>
  <si>
    <t>Ord-ID-589</t>
  </si>
  <si>
    <t>Ord-ID-590</t>
  </si>
  <si>
    <t>Ord-ID-591</t>
  </si>
  <si>
    <t>Ord-ID-592</t>
  </si>
  <si>
    <t>Ord-ID-593</t>
  </si>
  <si>
    <t>Ord-ID-594</t>
  </si>
  <si>
    <t>Ord-ID-595</t>
  </si>
  <si>
    <t>Ord-ID-596</t>
  </si>
  <si>
    <t>Ord-ID-597</t>
  </si>
  <si>
    <t>Ord-ID-598</t>
  </si>
  <si>
    <t>Ord-ID-599</t>
  </si>
  <si>
    <t>Ord-ID-600</t>
  </si>
  <si>
    <t>Ord-ID-601</t>
  </si>
  <si>
    <t>Ord-ID-602</t>
  </si>
  <si>
    <t>Ord-ID-603</t>
  </si>
  <si>
    <t>Ord-ID-604</t>
  </si>
  <si>
    <t>Ord-ID-605</t>
  </si>
  <si>
    <t>Ord-ID-606</t>
  </si>
  <si>
    <t>Ord-ID-607</t>
  </si>
  <si>
    <t>Ord-ID-608</t>
  </si>
  <si>
    <t>Ord-ID-609</t>
  </si>
  <si>
    <t>Ord-ID-610</t>
  </si>
  <si>
    <t>Ord-ID-611</t>
  </si>
  <si>
    <t>Ord-ID-612</t>
  </si>
  <si>
    <t>Ord-ID-613</t>
  </si>
  <si>
    <t>Ord-ID-614</t>
  </si>
  <si>
    <t>Ord-ID-615</t>
  </si>
  <si>
    <t>Ord-ID-616</t>
  </si>
  <si>
    <t>Ord-ID-617</t>
  </si>
  <si>
    <t>Ord-ID-618</t>
  </si>
  <si>
    <t>Ord-ID-619</t>
  </si>
  <si>
    <t>Ord-ID-620</t>
  </si>
  <si>
    <t>Ord-ID-621</t>
  </si>
  <si>
    <t>Ord-ID-622</t>
  </si>
  <si>
    <t>Ord-ID-623</t>
  </si>
  <si>
    <t>Ord-ID-624</t>
  </si>
  <si>
    <t>Ord-ID-625</t>
  </si>
  <si>
    <t>Ord-ID-626</t>
  </si>
  <si>
    <t>Ord-ID-627</t>
  </si>
  <si>
    <t>Ord-ID-628</t>
  </si>
  <si>
    <t>Ord-ID-629</t>
  </si>
  <si>
    <t>Ord-ID-630</t>
  </si>
  <si>
    <t>Ord-ID-631</t>
  </si>
  <si>
    <t>Ord-ID-632</t>
  </si>
  <si>
    <t>Ord-ID-633</t>
  </si>
  <si>
    <t>Ord-ID-634</t>
  </si>
  <si>
    <t>Ord-ID-635</t>
  </si>
  <si>
    <t>Ord-ID-636</t>
  </si>
  <si>
    <t>Ord-ID-637</t>
  </si>
  <si>
    <t>Ord-ID-638</t>
  </si>
  <si>
    <t>Ord-ID-639</t>
  </si>
  <si>
    <t>Ord-ID-640</t>
  </si>
  <si>
    <t>Ord-ID-641</t>
  </si>
  <si>
    <t>Ord-ID-642</t>
  </si>
  <si>
    <t>Ord-ID-643</t>
  </si>
  <si>
    <t>Ord-ID-644</t>
  </si>
  <si>
    <t>Ord-ID-645</t>
  </si>
  <si>
    <t>Ord-ID-646</t>
  </si>
  <si>
    <t>Ord-ID-647</t>
  </si>
  <si>
    <t>Ord-ID-648</t>
  </si>
  <si>
    <t>Ord-ID-649</t>
  </si>
  <si>
    <t>Ord-ID-650</t>
  </si>
  <si>
    <t>Ord-ID-651</t>
  </si>
  <si>
    <t>Ord-ID-652</t>
  </si>
  <si>
    <t>Ord-ID-653</t>
  </si>
  <si>
    <t>Ord-ID-654</t>
  </si>
  <si>
    <t>Ord-ID-655</t>
  </si>
  <si>
    <t>Ord-ID-656</t>
  </si>
  <si>
    <t>Ord-ID-657</t>
  </si>
  <si>
    <t>Ord-ID-658</t>
  </si>
  <si>
    <t>Ord-ID-659</t>
  </si>
  <si>
    <t>Ord-ID-660</t>
  </si>
  <si>
    <t>Ord-ID-661</t>
  </si>
  <si>
    <t>Ord-ID-662</t>
  </si>
  <si>
    <t>Ord-ID-663</t>
  </si>
  <si>
    <t>Ord-ID-664</t>
  </si>
  <si>
    <t>Ord-ID-665</t>
  </si>
  <si>
    <t>Ord-ID-666</t>
  </si>
  <si>
    <t>Ord-ID-667</t>
  </si>
  <si>
    <t>Ord-ID-668</t>
  </si>
  <si>
    <t>Ord-ID-669</t>
  </si>
  <si>
    <t>Ord-ID-670</t>
  </si>
  <si>
    <t>Ord-ID-671</t>
  </si>
  <si>
    <t>Ord-ID-672</t>
  </si>
  <si>
    <t>Ord-ID-673</t>
  </si>
  <si>
    <t>Ord-ID-674</t>
  </si>
  <si>
    <t>Ord-ID-675</t>
  </si>
  <si>
    <t>Ord-ID-676</t>
  </si>
  <si>
    <t>Ord-ID-677</t>
  </si>
  <si>
    <t>Ord-ID-678</t>
  </si>
  <si>
    <t>Ord-ID-679</t>
  </si>
  <si>
    <t>Ord-ID-680</t>
  </si>
  <si>
    <t>Ord-ID-681</t>
  </si>
  <si>
    <t>Ord-ID-682</t>
  </si>
  <si>
    <t>Ord-ID-683</t>
  </si>
  <si>
    <t>Ord-ID-684</t>
  </si>
  <si>
    <t>Ord-ID-685</t>
  </si>
  <si>
    <t>Ord-ID-686</t>
  </si>
  <si>
    <t>Ord-ID-687</t>
  </si>
  <si>
    <t>Ord-ID-688</t>
  </si>
  <si>
    <t>Ord-ID-689</t>
  </si>
  <si>
    <t>Ord-ID-690</t>
  </si>
  <si>
    <t>Ord-ID-691</t>
  </si>
  <si>
    <t>Ord-ID-692</t>
  </si>
  <si>
    <t>Ord-ID-693</t>
  </si>
  <si>
    <t>Ord-ID-694</t>
  </si>
  <si>
    <t>Ord-ID-695</t>
  </si>
  <si>
    <t>Ord-ID-696</t>
  </si>
  <si>
    <t>Ord-ID-697</t>
  </si>
  <si>
    <t>Ord-ID-698</t>
  </si>
  <si>
    <t>Ord-ID-699</t>
  </si>
  <si>
    <t>Ord-ID-700</t>
  </si>
  <si>
    <t>Ord-ID-701</t>
  </si>
  <si>
    <t>Ord-ID-702</t>
  </si>
  <si>
    <t>Ord-ID-703</t>
  </si>
  <si>
    <t>Ord-ID-704</t>
  </si>
  <si>
    <t>Ord-ID-705</t>
  </si>
  <si>
    <t>Ord-ID-706</t>
  </si>
  <si>
    <t>Ord-ID-707</t>
  </si>
  <si>
    <t>Ord-ID-708</t>
  </si>
  <si>
    <t>Ord-ID-709</t>
  </si>
  <si>
    <t>Ord-ID-710</t>
  </si>
  <si>
    <t>Ord-ID-711</t>
  </si>
  <si>
    <t>Ord-ID-712</t>
  </si>
  <si>
    <t>Ord-ID-713</t>
  </si>
  <si>
    <t>Ord-ID-714</t>
  </si>
  <si>
    <t>Ord-ID-715</t>
  </si>
  <si>
    <t>Ord-ID-716</t>
  </si>
  <si>
    <t>Ord-ID-717</t>
  </si>
  <si>
    <t>Ord-ID-718</t>
  </si>
  <si>
    <t>Ord-ID-719</t>
  </si>
  <si>
    <t>Ord-ID-720</t>
  </si>
  <si>
    <t>Ord-ID-721</t>
  </si>
  <si>
    <t>Ord-ID-722</t>
  </si>
  <si>
    <t>Ord-ID-723</t>
  </si>
  <si>
    <t>Ord-ID-724</t>
  </si>
  <si>
    <t>Ord-ID-725</t>
  </si>
  <si>
    <t>Ord-ID-726</t>
  </si>
  <si>
    <t>Ord-ID-727</t>
  </si>
  <si>
    <t>Ord-ID-728</t>
  </si>
  <si>
    <t>Ord-ID-729</t>
  </si>
  <si>
    <t>Ord-ID-730</t>
  </si>
  <si>
    <t>Ord-ID-731</t>
  </si>
  <si>
    <t>Ord-ID-732</t>
  </si>
  <si>
    <t>Ord-ID-733</t>
  </si>
  <si>
    <t>Ord-ID-734</t>
  </si>
  <si>
    <t>Ord-ID-735</t>
  </si>
  <si>
    <t>Ord-ID-736</t>
  </si>
  <si>
    <t>Ord-ID-737</t>
  </si>
  <si>
    <t>Ord-ID-738</t>
  </si>
  <si>
    <t>Ord-ID-739</t>
  </si>
  <si>
    <t>Ord-ID-740</t>
  </si>
  <si>
    <t>Ord-ID-741</t>
  </si>
  <si>
    <t>Ord-ID-742</t>
  </si>
  <si>
    <t>Ord-ID-743</t>
  </si>
  <si>
    <t>Ord-ID-744</t>
  </si>
  <si>
    <t>Ord-ID-745</t>
  </si>
  <si>
    <t>Ord-ID-746</t>
  </si>
  <si>
    <t>Ord-ID-747</t>
  </si>
  <si>
    <t>Ord-ID-748</t>
  </si>
  <si>
    <t>Ord-ID-749</t>
  </si>
  <si>
    <t>Ord-ID-750</t>
  </si>
  <si>
    <t>Ord-ID-751</t>
  </si>
  <si>
    <t>Ord-ID-752</t>
  </si>
  <si>
    <t>Ord-ID-753</t>
  </si>
  <si>
    <t>Ord-ID-754</t>
  </si>
  <si>
    <t>Ord-ID-755</t>
  </si>
  <si>
    <t>Ord-ID-756</t>
  </si>
  <si>
    <t>Ord-ID-757</t>
  </si>
  <si>
    <t>Ord-ID-758</t>
  </si>
  <si>
    <t>Ord-ID-759</t>
  </si>
  <si>
    <t>Ord-ID-760</t>
  </si>
  <si>
    <t>Ord-ID-761</t>
  </si>
  <si>
    <t>Ord-ID-762</t>
  </si>
  <si>
    <t>Ord-ID-763</t>
  </si>
  <si>
    <t>Ord-ID-764</t>
  </si>
  <si>
    <t>Ord-ID-765</t>
  </si>
  <si>
    <t>Ord-ID-766</t>
  </si>
  <si>
    <t>Ord-ID-767</t>
  </si>
  <si>
    <t>Ord-ID-768</t>
  </si>
  <si>
    <t>Ord-ID-769</t>
  </si>
  <si>
    <t>Ord-ID-770</t>
  </si>
  <si>
    <t>Ord-ID-771</t>
  </si>
  <si>
    <t>Ord-ID-772</t>
  </si>
  <si>
    <t>Ord-ID-773</t>
  </si>
  <si>
    <t>Ord-ID-774</t>
  </si>
  <si>
    <t>Ord-ID-775</t>
  </si>
  <si>
    <t>Ord-ID-776</t>
  </si>
  <si>
    <t>Ord-ID-777</t>
  </si>
  <si>
    <t>Ord-ID-778</t>
  </si>
  <si>
    <t>Ord-ID-779</t>
  </si>
  <si>
    <t>Ord-ID-780</t>
  </si>
  <si>
    <t>Ord-ID-781</t>
  </si>
  <si>
    <t>Ord-ID-782</t>
  </si>
  <si>
    <t>Ord-ID-783</t>
  </si>
  <si>
    <t>Ord-ID-784</t>
  </si>
  <si>
    <t>Ord-ID-785</t>
  </si>
  <si>
    <t>Ord-ID-786</t>
  </si>
  <si>
    <t>Ord-ID-787</t>
  </si>
  <si>
    <t>Ord-ID-788</t>
  </si>
  <si>
    <t>Ord-ID-789</t>
  </si>
  <si>
    <t>Ord-ID-790</t>
  </si>
  <si>
    <t>Ord-ID-791</t>
  </si>
  <si>
    <t>Ord-ID-792</t>
  </si>
  <si>
    <t>Ord-ID-793</t>
  </si>
  <si>
    <t>Ord-ID-794</t>
  </si>
  <si>
    <t>Ord-ID-795</t>
  </si>
  <si>
    <t>Ord-ID-796</t>
  </si>
  <si>
    <t>Ord-ID-797</t>
  </si>
  <si>
    <t>Ord-ID-798</t>
  </si>
  <si>
    <t>Ord-ID-799</t>
  </si>
  <si>
    <t>Ord-ID-800</t>
  </si>
  <si>
    <t>Ord-ID-801</t>
  </si>
  <si>
    <t>Ord-ID-802</t>
  </si>
  <si>
    <t>Ord-ID-803</t>
  </si>
  <si>
    <t>Ord-ID-804</t>
  </si>
  <si>
    <t>Ord-ID-805</t>
  </si>
  <si>
    <t>Ord-ID-806</t>
  </si>
  <si>
    <t>Ord-ID-807</t>
  </si>
  <si>
    <t>Ord-ID-808</t>
  </si>
  <si>
    <t>Ord-ID-809</t>
  </si>
  <si>
    <t>Ord-ID-810</t>
  </si>
  <si>
    <t>Ord-ID-811</t>
  </si>
  <si>
    <t>Ord-ID-812</t>
  </si>
  <si>
    <t>Ord-ID-813</t>
  </si>
  <si>
    <t>Ord-ID-814</t>
  </si>
  <si>
    <t>Ord-ID-815</t>
  </si>
  <si>
    <t>Ord-ID-816</t>
  </si>
  <si>
    <t>Ord-ID-817</t>
  </si>
  <si>
    <t>Ord-ID-818</t>
  </si>
  <si>
    <t>Ord-ID-819</t>
  </si>
  <si>
    <t>Ord-ID-820</t>
  </si>
  <si>
    <t>Ord-ID-821</t>
  </si>
  <si>
    <t>Ord-ID-822</t>
  </si>
  <si>
    <t>Ord-ID-823</t>
  </si>
  <si>
    <t>Ord-ID-824</t>
  </si>
  <si>
    <t>Ord-ID-825</t>
  </si>
  <si>
    <t>Ord-ID-826</t>
  </si>
  <si>
    <t>Ord-ID-827</t>
  </si>
  <si>
    <t>Ord-ID-828</t>
  </si>
  <si>
    <t>Ord-ID-829</t>
  </si>
  <si>
    <t>Ord-ID-830</t>
  </si>
  <si>
    <t>Ord-ID-831</t>
  </si>
  <si>
    <t>Ord-ID-832</t>
  </si>
  <si>
    <t>Ord-ID-833</t>
  </si>
  <si>
    <t>Ord-ID-834</t>
  </si>
  <si>
    <t>Ord-ID-835</t>
  </si>
  <si>
    <t>Ord-ID-836</t>
  </si>
  <si>
    <t>Ord-ID-837</t>
  </si>
  <si>
    <t>Ord-ID-838</t>
  </si>
  <si>
    <t>Ord-ID-839</t>
  </si>
  <si>
    <t>Ord-ID-840</t>
  </si>
  <si>
    <t>Ord-ID-841</t>
  </si>
  <si>
    <t>Ord-ID-842</t>
  </si>
  <si>
    <t>Ord-ID-843</t>
  </si>
  <si>
    <t>Ord-ID-844</t>
  </si>
  <si>
    <t>Ord-ID-845</t>
  </si>
  <si>
    <t>Ord-ID-846</t>
  </si>
  <si>
    <t>Ord-ID-847</t>
  </si>
  <si>
    <t>Ord-ID-848</t>
  </si>
  <si>
    <t>Ord-ID-849</t>
  </si>
  <si>
    <t>Ord-ID-850</t>
  </si>
  <si>
    <t>Ord-ID-851</t>
  </si>
  <si>
    <t>Ord-ID-852</t>
  </si>
  <si>
    <t>Ord-ID-853</t>
  </si>
  <si>
    <t>Ord-ID-854</t>
  </si>
  <si>
    <t>Ord-ID-855</t>
  </si>
  <si>
    <t>Ord-ID-856</t>
  </si>
  <si>
    <t>Ord-ID-857</t>
  </si>
  <si>
    <t>Ord-ID-858</t>
  </si>
  <si>
    <t>Ord-ID-859</t>
  </si>
  <si>
    <t>Ord-ID-860</t>
  </si>
  <si>
    <t>Ord-ID-861</t>
  </si>
  <si>
    <t>Ord-ID-862</t>
  </si>
  <si>
    <t>Ord-ID-863</t>
  </si>
  <si>
    <t>Ord-ID-864</t>
  </si>
  <si>
    <t>Ord-ID-865</t>
  </si>
  <si>
    <t>Ord-ID-866</t>
  </si>
  <si>
    <t>Ord-ID-867</t>
  </si>
  <si>
    <t>Ord-ID-868</t>
  </si>
  <si>
    <t>Ord-ID-869</t>
  </si>
  <si>
    <t>Ord-ID-870</t>
  </si>
  <si>
    <t>Ord-ID-871</t>
  </si>
  <si>
    <t>Ord-ID-872</t>
  </si>
  <si>
    <t>Ord-ID-873</t>
  </si>
  <si>
    <t>Ord-ID-874</t>
  </si>
  <si>
    <t>Ord-ID-875</t>
  </si>
  <si>
    <t>Ord-ID-876</t>
  </si>
  <si>
    <t>Ord-ID-877</t>
  </si>
  <si>
    <t>Ord-ID-878</t>
  </si>
  <si>
    <t>Ord-ID-879</t>
  </si>
  <si>
    <t>Ord-ID-880</t>
  </si>
  <si>
    <t>Ord-ID-881</t>
  </si>
  <si>
    <t>Ord-ID-882</t>
  </si>
  <si>
    <t>Ord-ID-883</t>
  </si>
  <si>
    <t>Ord-ID-884</t>
  </si>
  <si>
    <t>Ord-ID-885</t>
  </si>
  <si>
    <t>Ord-ID-886</t>
  </si>
  <si>
    <t>Ord-ID-887</t>
  </si>
  <si>
    <t>Ord-ID-888</t>
  </si>
  <si>
    <t>Ord-ID-889</t>
  </si>
  <si>
    <t>Ord-ID-890</t>
  </si>
  <si>
    <t>Ord-ID-891</t>
  </si>
  <si>
    <t>Ord-ID-892</t>
  </si>
  <si>
    <t>Ord-ID-893</t>
  </si>
  <si>
    <t>Ord-ID-894</t>
  </si>
  <si>
    <t>Ord-ID-895</t>
  </si>
  <si>
    <t>Ord-ID-896</t>
  </si>
  <si>
    <t>Ord-ID-897</t>
  </si>
  <si>
    <t>Ord-ID-898</t>
  </si>
  <si>
    <t>Ord-ID-899</t>
  </si>
  <si>
    <t>Ord-ID-900</t>
  </si>
  <si>
    <t>Ord-ID-901</t>
  </si>
  <si>
    <t>Ord-ID-902</t>
  </si>
  <si>
    <t>Ord-ID-903</t>
  </si>
  <si>
    <t>Ord-ID-904</t>
  </si>
  <si>
    <t>Ord-ID-905</t>
  </si>
  <si>
    <t>Ord-ID-906</t>
  </si>
  <si>
    <t>Ord-ID-907</t>
  </si>
  <si>
    <t>Ord-ID-908</t>
  </si>
  <si>
    <t>Ord-ID-909</t>
  </si>
  <si>
    <t>Ord-ID-910</t>
  </si>
  <si>
    <t>Ord-ID-911</t>
  </si>
  <si>
    <t>Ord-ID-912</t>
  </si>
  <si>
    <t>Ord-ID-913</t>
  </si>
  <si>
    <t>Ord-ID-914</t>
  </si>
  <si>
    <t>Ord-ID-915</t>
  </si>
  <si>
    <t>Ord-ID-916</t>
  </si>
  <si>
    <t>Ord-ID-917</t>
  </si>
  <si>
    <t>Ord-ID-918</t>
  </si>
  <si>
    <t>Ord-ID-919</t>
  </si>
  <si>
    <t>Ord-ID-920</t>
  </si>
  <si>
    <t>Ord-ID-921</t>
  </si>
  <si>
    <t>Ord-ID-922</t>
  </si>
  <si>
    <t>Ord-ID-923</t>
  </si>
  <si>
    <t>Ord-ID-924</t>
  </si>
  <si>
    <t>Ord-ID-925</t>
  </si>
  <si>
    <t>Ord-ID-926</t>
  </si>
  <si>
    <t>Ord-ID-927</t>
  </si>
  <si>
    <t>Ord-ID-928</t>
  </si>
  <si>
    <t>Ord-ID-929</t>
  </si>
  <si>
    <t>Ord-ID-930</t>
  </si>
  <si>
    <t>Ord-ID-931</t>
  </si>
  <si>
    <t>Ord-ID-932</t>
  </si>
  <si>
    <t>Ord-ID-933</t>
  </si>
  <si>
    <t>Ord-ID-934</t>
  </si>
  <si>
    <t>Ord-ID-935</t>
  </si>
  <si>
    <t>Ord-ID-936</t>
  </si>
  <si>
    <t>Ord-ID-937</t>
  </si>
  <si>
    <t>Ord-ID-938</t>
  </si>
  <si>
    <t>Ord-ID-939</t>
  </si>
  <si>
    <t>Ord-ID-940</t>
  </si>
  <si>
    <t>Ord-ID-941</t>
  </si>
  <si>
    <t>Ord-ID-942</t>
  </si>
  <si>
    <t>Ord-ID-943</t>
  </si>
  <si>
    <t>Ord-ID-944</t>
  </si>
  <si>
    <t>Ord-ID-945</t>
  </si>
  <si>
    <t>Ord-ID-946</t>
  </si>
  <si>
    <t>Ord-ID-947</t>
  </si>
  <si>
    <t>Ord-ID-948</t>
  </si>
  <si>
    <t>Ord-ID-949</t>
  </si>
  <si>
    <t>Ord-ID-950</t>
  </si>
  <si>
    <t>Ord-ID-951</t>
  </si>
  <si>
    <t>Ord-ID-952</t>
  </si>
  <si>
    <t>Ord-ID-953</t>
  </si>
  <si>
    <t>Ord-ID-954</t>
  </si>
  <si>
    <t>Ord-ID-955</t>
  </si>
  <si>
    <t>Ord-ID-956</t>
  </si>
  <si>
    <t>Ord-ID-957</t>
  </si>
  <si>
    <t>Ord-ID-958</t>
  </si>
  <si>
    <t>Ord-ID-959</t>
  </si>
  <si>
    <t>Ord-ID-960</t>
  </si>
  <si>
    <t>Ord-ID-961</t>
  </si>
  <si>
    <t>Ord-ID-962</t>
  </si>
  <si>
    <t>Ord-ID-963</t>
  </si>
  <si>
    <t>Ord-ID-964</t>
  </si>
  <si>
    <t>Ord-ID-965</t>
  </si>
  <si>
    <t>Ord-ID-966</t>
  </si>
  <si>
    <t>Ord-ID-967</t>
  </si>
  <si>
    <t>Ord-ID-968</t>
  </si>
  <si>
    <t>Ord-ID-969</t>
  </si>
  <si>
    <t>Ord-ID-970</t>
  </si>
  <si>
    <t>Ord-ID-971</t>
  </si>
  <si>
    <t>Ord-ID-972</t>
  </si>
  <si>
    <t>Ord-ID-973</t>
  </si>
  <si>
    <t>Ord-ID-974</t>
  </si>
  <si>
    <t>Ord-ID-975</t>
  </si>
  <si>
    <t>Ord-ID-976</t>
  </si>
  <si>
    <t>Ord-ID-977</t>
  </si>
  <si>
    <t>Ord-ID-978</t>
  </si>
  <si>
    <t>Ord-ID-979</t>
  </si>
  <si>
    <t>Ord-ID-980</t>
  </si>
  <si>
    <t>Ord-ID-981</t>
  </si>
  <si>
    <t>Ord-ID-982</t>
  </si>
  <si>
    <t>Ord-ID-983</t>
  </si>
  <si>
    <t>Ord-ID-984</t>
  </si>
  <si>
    <t>Ord-ID-985</t>
  </si>
  <si>
    <t>Ord-ID-986</t>
  </si>
  <si>
    <t>Ord-ID-987</t>
  </si>
  <si>
    <t>Ord-ID-988</t>
  </si>
  <si>
    <t>Ord-ID-989</t>
  </si>
  <si>
    <t>Ord-ID-990</t>
  </si>
  <si>
    <t>Ord-ID-991</t>
  </si>
  <si>
    <t>Ord-ID-992</t>
  </si>
  <si>
    <t>Ord-ID-993</t>
  </si>
  <si>
    <t>Ord-ID-994</t>
  </si>
  <si>
    <t>Ord-ID-995</t>
  </si>
  <si>
    <t>Ord-ID-996</t>
  </si>
  <si>
    <t>Ord-ID-997</t>
  </si>
  <si>
    <t>Ord-ID-998</t>
  </si>
  <si>
    <t>Ord-ID-999</t>
  </si>
  <si>
    <t>Ord-ID-1000</t>
  </si>
  <si>
    <t>Ord-ID-1001</t>
  </si>
  <si>
    <t>Ord-ID-1002</t>
  </si>
  <si>
    <t>Ord-ID-1003</t>
  </si>
  <si>
    <t>Ord-ID-1004</t>
  </si>
  <si>
    <t>Ord-ID-1005</t>
  </si>
  <si>
    <t>Ord-ID-1006</t>
  </si>
  <si>
    <t>Ord-ID-1007</t>
  </si>
  <si>
    <t>Ord-ID-1008</t>
  </si>
  <si>
    <t>Ord-ID-1009</t>
  </si>
  <si>
    <t>Ord-ID-1010</t>
  </si>
  <si>
    <t>Ord-ID-1011</t>
  </si>
  <si>
    <t>Ord-ID-1012</t>
  </si>
  <si>
    <t>Ord-ID-1013</t>
  </si>
  <si>
    <t>Ord-ID-1014</t>
  </si>
  <si>
    <t>Ord-ID-1015</t>
  </si>
  <si>
    <t>Ord-ID-1016</t>
  </si>
  <si>
    <t>Ord-ID-1017</t>
  </si>
  <si>
    <t>Ord-ID-1018</t>
  </si>
  <si>
    <t>Ord-ID-1019</t>
  </si>
  <si>
    <t>Ord-ID-1020</t>
  </si>
  <si>
    <t>Ord-ID-1021</t>
  </si>
  <si>
    <t>Ord-ID-1022</t>
  </si>
  <si>
    <t>Ord-ID-1023</t>
  </si>
  <si>
    <t>Ord-ID-1024</t>
  </si>
  <si>
    <t>Ord-ID-1025</t>
  </si>
  <si>
    <t>Ord-ID-1026</t>
  </si>
  <si>
    <t>Ord-ID-1027</t>
  </si>
  <si>
    <t>Ord-ID-1028</t>
  </si>
  <si>
    <t>Ord-ID-1029</t>
  </si>
  <si>
    <t>Ord-ID-1030</t>
  </si>
  <si>
    <t>Ord-ID-1031</t>
  </si>
  <si>
    <t>Ord-ID-1032</t>
  </si>
  <si>
    <t>Ord-ID-1033</t>
  </si>
  <si>
    <t>Ord-ID-1034</t>
  </si>
  <si>
    <t>Ord-ID-1035</t>
  </si>
  <si>
    <t>Ord-ID-1036</t>
  </si>
  <si>
    <t>Ord-ID-1037</t>
  </si>
  <si>
    <t>Ord-ID-1038</t>
  </si>
  <si>
    <t>Ord-ID-1039</t>
  </si>
  <si>
    <t>Ord-ID-1040</t>
  </si>
  <si>
    <t>Ord-ID-1041</t>
  </si>
  <si>
    <t>Ord-ID-1042</t>
  </si>
  <si>
    <t>Ord-ID-1043</t>
  </si>
  <si>
    <t>Ord-ID-1044</t>
  </si>
  <si>
    <t>Ord-ID-1045</t>
  </si>
  <si>
    <t>Ord-ID-1046</t>
  </si>
  <si>
    <t>Ord-ID-1047</t>
  </si>
  <si>
    <t>Ord-ID-1048</t>
  </si>
  <si>
    <t>Ord-ID-1049</t>
  </si>
  <si>
    <t>Ord-ID-1050</t>
  </si>
  <si>
    <t>Ord-ID-1051</t>
  </si>
  <si>
    <t>Ord-ID-1052</t>
  </si>
  <si>
    <t>Ord-ID-1053</t>
  </si>
  <si>
    <t>Ord-ID-1054</t>
  </si>
  <si>
    <t>Ord-ID-1055</t>
  </si>
  <si>
    <t>Ord-ID-1056</t>
  </si>
  <si>
    <t>Ord-ID-1057</t>
  </si>
  <si>
    <t>Ord-ID-1058</t>
  </si>
  <si>
    <t>Ord-ID-1059</t>
  </si>
  <si>
    <t>Ord-ID-1060</t>
  </si>
  <si>
    <t>Ord-ID-1061</t>
  </si>
  <si>
    <t>Ord-ID-1062</t>
  </si>
  <si>
    <t>Ord-ID-1063</t>
  </si>
  <si>
    <t>Ord-ID-1064</t>
  </si>
  <si>
    <t>Ord-ID-1065</t>
  </si>
  <si>
    <t>Ord-ID-1066</t>
  </si>
  <si>
    <t>Ord-ID-1067</t>
  </si>
  <si>
    <t>Ord-ID-1068</t>
  </si>
  <si>
    <t>Ord-ID-1069</t>
  </si>
  <si>
    <t>Ord-ID-1070</t>
  </si>
  <si>
    <t>Ord-ID-1071</t>
  </si>
  <si>
    <t>Ord-ID-1072</t>
  </si>
  <si>
    <t>Ord-ID-1073</t>
  </si>
  <si>
    <t>Ord-ID-1074</t>
  </si>
  <si>
    <t>Ord-ID-1075</t>
  </si>
  <si>
    <t>Ord-ID-1076</t>
  </si>
  <si>
    <t>Ord-ID-1077</t>
  </si>
  <si>
    <t>Ord-ID-1078</t>
  </si>
  <si>
    <t>Ord-ID-1079</t>
  </si>
  <si>
    <t>Ord-ID-1080</t>
  </si>
  <si>
    <t>Ord-ID-1081</t>
  </si>
  <si>
    <t>Ord-ID-1082</t>
  </si>
  <si>
    <t>Ord-ID-1083</t>
  </si>
  <si>
    <t>Ord-ID-1084</t>
  </si>
  <si>
    <t>Ord-ID-1085</t>
  </si>
  <si>
    <t>Ord-ID-1086</t>
  </si>
  <si>
    <t>Ord-ID-1087</t>
  </si>
  <si>
    <t>Ord-ID-1088</t>
  </si>
  <si>
    <t>Ord-ID-1089</t>
  </si>
  <si>
    <t>Ord-ID-1090</t>
  </si>
  <si>
    <t>Ord-ID-1091</t>
  </si>
  <si>
    <t>Ord-ID-1092</t>
  </si>
  <si>
    <t>Ord-ID-1093</t>
  </si>
  <si>
    <t>Ord-ID-1094</t>
  </si>
  <si>
    <t>Ord-ID-1095</t>
  </si>
  <si>
    <t>Ord-ID-1096</t>
  </si>
  <si>
    <t>Ord-ID-1097</t>
  </si>
  <si>
    <t>Ord-ID-1098</t>
  </si>
  <si>
    <t>Ord-ID-1099</t>
  </si>
  <si>
    <t>Ord-ID-1100</t>
  </si>
  <si>
    <t>Ord-ID-1101</t>
  </si>
  <si>
    <t>Ord-ID-1102</t>
  </si>
  <si>
    <t>Ord-ID-1103</t>
  </si>
  <si>
    <t>Ord-ID-1104</t>
  </si>
  <si>
    <t>Ord-ID-1105</t>
  </si>
  <si>
    <t>Ord-ID-1106</t>
  </si>
  <si>
    <t>Ord-ID-1107</t>
  </si>
  <si>
    <t>Ord-ID-1108</t>
  </si>
  <si>
    <t>Ord-ID-1109</t>
  </si>
  <si>
    <t>Ord-ID-1110</t>
  </si>
  <si>
    <t>Ord-ID-1111</t>
  </si>
  <si>
    <t>Ord-ID-1112</t>
  </si>
  <si>
    <t>Ord-ID-1113</t>
  </si>
  <si>
    <t>Ord-ID-1114</t>
  </si>
  <si>
    <t>Ord-ID-1115</t>
  </si>
  <si>
    <t>Ord-ID-1116</t>
  </si>
  <si>
    <t>Ord-ID-1117</t>
  </si>
  <si>
    <t>Ord-ID-1118</t>
  </si>
  <si>
    <t>Ord-ID-1119</t>
  </si>
  <si>
    <t>Ord-ID-1120</t>
  </si>
  <si>
    <t>Ord-ID-1121</t>
  </si>
  <si>
    <t>Ord-ID-1122</t>
  </si>
  <si>
    <t>Ord-ID-1123</t>
  </si>
  <si>
    <t>Ord-ID-1124</t>
  </si>
  <si>
    <t>Ord-ID-1125</t>
  </si>
  <si>
    <t>Ord-ID-1126</t>
  </si>
  <si>
    <t>Ord-ID-1127</t>
  </si>
  <si>
    <t>Ord-ID-1128</t>
  </si>
  <si>
    <t>Ord-ID-1129</t>
  </si>
  <si>
    <t>Ord-ID-1130</t>
  </si>
  <si>
    <t>Ord-ID-1131</t>
  </si>
  <si>
    <t>Ord-ID-1132</t>
  </si>
  <si>
    <t>Ord-ID-1133</t>
  </si>
  <si>
    <t>Ord-ID-1134</t>
  </si>
  <si>
    <t>Ord-ID-1135</t>
  </si>
  <si>
    <t>Ord-ID-1136</t>
  </si>
  <si>
    <t>Ord-ID-1137</t>
  </si>
  <si>
    <t>Ord-ID-1138</t>
  </si>
  <si>
    <t>Ord-ID-1139</t>
  </si>
  <si>
    <t>Ord-ID-1140</t>
  </si>
  <si>
    <t>Ord-ID-1141</t>
  </si>
  <si>
    <t>Ord-ID-1142</t>
  </si>
  <si>
    <t>Ord-ID-1143</t>
  </si>
  <si>
    <t>Ord-ID-1144</t>
  </si>
  <si>
    <t>Ord-ID-1145</t>
  </si>
  <si>
    <t>Ord-ID-1146</t>
  </si>
  <si>
    <t>Ord-ID-1147</t>
  </si>
  <si>
    <t>Ord-ID-1148</t>
  </si>
  <si>
    <t>Ord-ID-1149</t>
  </si>
  <si>
    <t>Ord-ID-1150</t>
  </si>
  <si>
    <t>Ord-ID-1151</t>
  </si>
  <si>
    <t>Ord-ID-1152</t>
  </si>
  <si>
    <t>Ord-ID-1153</t>
  </si>
  <si>
    <t>Ord-ID-1154</t>
  </si>
  <si>
    <t>Ord-ID-1155</t>
  </si>
  <si>
    <t>Ord-ID-1156</t>
  </si>
  <si>
    <t>Ord-ID-1157</t>
  </si>
  <si>
    <t>Ord-ID-1158</t>
  </si>
  <si>
    <t>Ord-ID-1159</t>
  </si>
  <si>
    <t>Ord-ID-1160</t>
  </si>
  <si>
    <t>Ord-ID-1161</t>
  </si>
  <si>
    <t>Ord-ID-1162</t>
  </si>
  <si>
    <t>Ord-ID-1163</t>
  </si>
  <si>
    <t>Ord-ID-1164</t>
  </si>
  <si>
    <t>Ord-ID-1165</t>
  </si>
  <si>
    <t>Ord-ID-1166</t>
  </si>
  <si>
    <t>Ord-ID-1167</t>
  </si>
  <si>
    <t>Ord-ID-1168</t>
  </si>
  <si>
    <t>Ord-ID-1169</t>
  </si>
  <si>
    <t>Ord-ID-1170</t>
  </si>
  <si>
    <t>Ord-ID-1171</t>
  </si>
  <si>
    <t>Ord-ID-1172</t>
  </si>
  <si>
    <t>Ord-ID-1173</t>
  </si>
  <si>
    <t>Ord-ID-1174</t>
  </si>
  <si>
    <t>Ord-ID-1175</t>
  </si>
  <si>
    <t>Ord-ID-1176</t>
  </si>
  <si>
    <t>Ord-ID-1177</t>
  </si>
  <si>
    <t>Ord-ID-1178</t>
  </si>
  <si>
    <t>Ord-ID-1179</t>
  </si>
  <si>
    <t>Ord-ID-1180</t>
  </si>
  <si>
    <t>Ord-ID-1181</t>
  </si>
  <si>
    <t>Ord-ID-1182</t>
  </si>
  <si>
    <t>Ord-ID-1183</t>
  </si>
  <si>
    <t>Ord-ID-1184</t>
  </si>
  <si>
    <t>Ord-ID-1185</t>
  </si>
  <si>
    <t>Ord-ID-1186</t>
  </si>
  <si>
    <t>Ord-ID-1187</t>
  </si>
  <si>
    <t>Ord-ID-1188</t>
  </si>
  <si>
    <t>Ord-ID-1189</t>
  </si>
  <si>
    <t>Ord-ID-1190</t>
  </si>
  <si>
    <t>Ord-ID-1191</t>
  </si>
  <si>
    <t>Ord-ID-1192</t>
  </si>
  <si>
    <t>Ord-ID-1193</t>
  </si>
  <si>
    <t>Ord-ID-1194</t>
  </si>
  <si>
    <t>Ord-ID-1195</t>
  </si>
  <si>
    <t>Ord-ID-1196</t>
  </si>
  <si>
    <t>Ord-ID-1197</t>
  </si>
  <si>
    <t>Ord-ID-1198</t>
  </si>
  <si>
    <t>Ord-ID-1199</t>
  </si>
  <si>
    <t>Ord-ID-1200</t>
  </si>
  <si>
    <t>Ord-ID-1201</t>
  </si>
  <si>
    <t>Ord-ID-1202</t>
  </si>
  <si>
    <t>Ord-ID-1203</t>
  </si>
  <si>
    <t>Ord-ID-1204</t>
  </si>
  <si>
    <t>Ord-ID-1205</t>
  </si>
  <si>
    <t>Ord-ID-1206</t>
  </si>
  <si>
    <t>Ord-ID-1207</t>
  </si>
  <si>
    <t>Ord-ID-1208</t>
  </si>
  <si>
    <t>Ord-ID-1209</t>
  </si>
  <si>
    <t>Ord-ID-1210</t>
  </si>
  <si>
    <t>Ord-ID-1211</t>
  </si>
  <si>
    <t>Ord-ID-1212</t>
  </si>
  <si>
    <t>Ord-ID-1213</t>
  </si>
  <si>
    <t>Ord-ID-1214</t>
  </si>
  <si>
    <t>Ord-ID-1215</t>
  </si>
  <si>
    <t>Ord-ID-1216</t>
  </si>
  <si>
    <t>Ord-ID-1217</t>
  </si>
  <si>
    <t>Ord-ID-1218</t>
  </si>
  <si>
    <t>Ord-ID-1219</t>
  </si>
  <si>
    <t>Ord-ID-1220</t>
  </si>
  <si>
    <t>Ord-ID-1221</t>
  </si>
  <si>
    <t>Ord-ID-1222</t>
  </si>
  <si>
    <t>Ord-ID-1223</t>
  </si>
  <si>
    <t>Ord-ID-1224</t>
  </si>
  <si>
    <t>Ord-ID-1225</t>
  </si>
  <si>
    <t>Ord-ID-1226</t>
  </si>
  <si>
    <t>Ord-ID-1227</t>
  </si>
  <si>
    <t>Ord-ID-1228</t>
  </si>
  <si>
    <t>Ord-ID-1229</t>
  </si>
  <si>
    <t>Ord-ID-1230</t>
  </si>
  <si>
    <t>Ord-ID-1231</t>
  </si>
  <si>
    <t>Ord-ID-1232</t>
  </si>
  <si>
    <t>Ord-ID-1233</t>
  </si>
  <si>
    <t>Ord-ID-1234</t>
  </si>
  <si>
    <t>Ord-ID-1235</t>
  </si>
  <si>
    <t>Ord-ID-1236</t>
  </si>
  <si>
    <t>Ord-ID-1237</t>
  </si>
  <si>
    <t>Ord-ID-1238</t>
  </si>
  <si>
    <t>Ord-ID-1239</t>
  </si>
  <si>
    <t>Ord-ID-1240</t>
  </si>
  <si>
    <t>Ord-ID-1241</t>
  </si>
  <si>
    <t>Ord-ID-1242</t>
  </si>
  <si>
    <t>Ord-ID-1243</t>
  </si>
  <si>
    <t>Ord-ID-1244</t>
  </si>
  <si>
    <t>Ord-ID-1245</t>
  </si>
  <si>
    <t>Ord-ID-1246</t>
  </si>
  <si>
    <t>Ord-ID-1247</t>
  </si>
  <si>
    <t>Ord-ID-1248</t>
  </si>
  <si>
    <t>Ord-ID-1249</t>
  </si>
  <si>
    <t>Ord-ID-1250</t>
  </si>
  <si>
    <t>Ord-ID-1251</t>
  </si>
  <si>
    <t>Ord-ID-1252</t>
  </si>
  <si>
    <t>Ord-ID-1253</t>
  </si>
  <si>
    <t>Ord-ID-1254</t>
  </si>
  <si>
    <t>Ord-ID-1255</t>
  </si>
  <si>
    <t>Ord-ID-1256</t>
  </si>
  <si>
    <t>Ord-ID-1257</t>
  </si>
  <si>
    <t>Ord-ID-1258</t>
  </si>
  <si>
    <t>Ord-ID-1259</t>
  </si>
  <si>
    <t>Ord-ID-1260</t>
  </si>
  <si>
    <t>Ord-ID-1261</t>
  </si>
  <si>
    <t>Ord-ID-1262</t>
  </si>
  <si>
    <t>Ord-ID-1263</t>
  </si>
  <si>
    <t>Ord-ID-1264</t>
  </si>
  <si>
    <t>Ord-ID-1265</t>
  </si>
  <si>
    <t>Ord-ID-1266</t>
  </si>
  <si>
    <t>Ord-ID-1267</t>
  </si>
  <si>
    <t>Ord-ID-1268</t>
  </si>
  <si>
    <t>Ord-ID-1269</t>
  </si>
  <si>
    <t>Ord-ID-1270</t>
  </si>
  <si>
    <t>Ord-ID-1271</t>
  </si>
  <si>
    <t>Ord-ID-1272</t>
  </si>
  <si>
    <t>Ord-ID-1273</t>
  </si>
  <si>
    <t>Ord-ID-1274</t>
  </si>
  <si>
    <t>Ord-ID-1275</t>
  </si>
  <si>
    <t>Ord-ID-1276</t>
  </si>
  <si>
    <t>Ord-ID-1277</t>
  </si>
  <si>
    <t>Ord-ID-1278</t>
  </si>
  <si>
    <t>Ord-ID-1279</t>
  </si>
  <si>
    <t>Ord-ID-1280</t>
  </si>
  <si>
    <t>Ord-ID-1281</t>
  </si>
  <si>
    <t>Ord-ID-1282</t>
  </si>
  <si>
    <t>Ord-ID-1283</t>
  </si>
  <si>
    <t>Ord-ID-1284</t>
  </si>
  <si>
    <t>Ord-ID-1285</t>
  </si>
  <si>
    <t>Ord-ID-1286</t>
  </si>
  <si>
    <t>Ord-ID-1287</t>
  </si>
  <si>
    <t>Ord-ID-1288</t>
  </si>
  <si>
    <t>Ord-ID-1289</t>
  </si>
  <si>
    <t>Ord-ID-1290</t>
  </si>
  <si>
    <t>Ord-ID-1291</t>
  </si>
  <si>
    <t>Ord-ID-1292</t>
  </si>
  <si>
    <t>Ord-ID-1293</t>
  </si>
  <si>
    <t>Ord-ID-1294</t>
  </si>
  <si>
    <t>Ord-ID-1295</t>
  </si>
  <si>
    <t>Ord-ID-1296</t>
  </si>
  <si>
    <t>Ord-ID-1297</t>
  </si>
  <si>
    <t>Ord-ID-1298</t>
  </si>
  <si>
    <t>Ord-ID-1299</t>
  </si>
  <si>
    <t>Ord-ID-1300</t>
  </si>
  <si>
    <t>Sum of Annual Salary</t>
  </si>
  <si>
    <t>Count of Order ID</t>
  </si>
  <si>
    <t>Sum of Quantity</t>
  </si>
  <si>
    <t>Sum of Total sales</t>
  </si>
  <si>
    <t xml:space="preserve">Sum of Total commission </t>
  </si>
  <si>
    <t xml:space="preserve">net sales </t>
  </si>
  <si>
    <t>Count of Business Unit</t>
  </si>
  <si>
    <t>Sum of Total salary</t>
  </si>
  <si>
    <t>Sum of Left status</t>
  </si>
  <si>
    <t>Sum of Bonus %</t>
  </si>
  <si>
    <t>Count of Department</t>
  </si>
  <si>
    <t>EMPLOYEE REPORT</t>
  </si>
  <si>
    <t>Formula1</t>
  </si>
  <si>
    <t>Formula10</t>
  </si>
  <si>
    <t>Formula11</t>
  </si>
  <si>
    <t>Formula12</t>
  </si>
  <si>
    <t>Formula13</t>
  </si>
  <si>
    <t>Formula14</t>
  </si>
  <si>
    <t>Formula15</t>
  </si>
  <si>
    <t>Formula16</t>
  </si>
  <si>
    <t>Formula17</t>
  </si>
  <si>
    <t>Formula18</t>
  </si>
  <si>
    <t>Formula19</t>
  </si>
  <si>
    <t>Formula2</t>
  </si>
  <si>
    <t>Formula20</t>
  </si>
  <si>
    <t>Formula21</t>
  </si>
  <si>
    <t>Formula22</t>
  </si>
  <si>
    <t>Formula3</t>
  </si>
  <si>
    <t>Formula4</t>
  </si>
  <si>
    <t>Formula5</t>
  </si>
  <si>
    <t>Formula6</t>
  </si>
  <si>
    <t>Formula7</t>
  </si>
  <si>
    <t>Formula8</t>
  </si>
  <si>
    <t>Formula9</t>
  </si>
  <si>
    <t>total state</t>
  </si>
  <si>
    <t>ONE MONTH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</si>
</sst>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quot;$&quot;#,##0\);&quot;$&quot;0_)"/>
    <numFmt numFmtId="165" formatCode="#,##0%_);\(#,##0%\);0%_)"/>
    <numFmt numFmtId="166" formatCode="&quot;₹&quot;\ #,##0.00"/>
  </numFmts>
  <fonts count="8" x14ac:knownFonts="1">
    <font>
      <sz val="11"/>
      <color theme="1"/>
      <name val="Calibri"/>
      <family val="2"/>
      <scheme val="minor"/>
    </font>
    <font>
      <b/>
      <sz val="11"/>
      <color theme="1"/>
      <name val="Calibri"/>
      <family val="2"/>
      <scheme val="minor"/>
    </font>
    <font>
      <b/>
      <sz val="11"/>
      <name val="Calibri"/>
      <family val="2"/>
      <scheme val="minor"/>
    </font>
    <font>
      <b/>
      <sz val="11"/>
      <color theme="0"/>
      <name val="Calibri"/>
      <family val="2"/>
      <scheme val="minor"/>
    </font>
    <font>
      <b/>
      <sz val="48"/>
      <color rgb="FF0070C0"/>
      <name val="Calibri"/>
      <family val="2"/>
      <scheme val="minor"/>
    </font>
    <font>
      <b/>
      <sz val="36"/>
      <color rgb="FF00B050"/>
      <name val="Calibri"/>
      <family val="2"/>
      <scheme val="minor"/>
    </font>
    <font>
      <sz val="36"/>
      <color theme="1"/>
      <name val="Calibri"/>
      <family val="2"/>
      <scheme val="minor"/>
    </font>
    <font>
      <sz val="11"/>
      <color theme="4"/>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bgColor theme="9"/>
      </patternFill>
    </fill>
    <fill>
      <patternFill patternType="solid">
        <fgColor theme="0"/>
        <bgColor theme="9" tint="0.79998168889431442"/>
      </patternFill>
    </fill>
    <fill>
      <patternFill patternType="solid">
        <fgColor theme="3" tint="0.39997558519241921"/>
        <bgColor indexed="64"/>
      </patternFill>
    </fill>
    <fill>
      <patternFill patternType="solid">
        <fgColor theme="9" tint="0.39997558519241921"/>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9" tint="0.39997558519241921"/>
      </top>
      <bottom style="thin">
        <color theme="9" tint="0.39997558519241921"/>
      </bottom>
      <diagonal/>
    </border>
  </borders>
  <cellStyleXfs count="1">
    <xf numFmtId="0" fontId="0" fillId="0" borderId="0"/>
  </cellStyleXfs>
  <cellXfs count="33">
    <xf numFmtId="0" fontId="0" fillId="0" borderId="0" xfId="0"/>
    <xf numFmtId="0" fontId="0" fillId="0" borderId="1" xfId="0" applyBorder="1"/>
    <xf numFmtId="0" fontId="1" fillId="0" borderId="0" xfId="0" applyFont="1"/>
    <xf numFmtId="0" fontId="2" fillId="2" borderId="2" xfId="0" applyFont="1" applyFill="1" applyBorder="1" applyAlignment="1">
      <alignment horizontal="left"/>
    </xf>
    <xf numFmtId="0" fontId="2" fillId="2" borderId="3" xfId="0" applyFont="1" applyFill="1" applyBorder="1" applyAlignment="1">
      <alignment horizontal="left"/>
    </xf>
    <xf numFmtId="14" fontId="2" fillId="2" borderId="4" xfId="0" applyNumberFormat="1" applyFont="1" applyFill="1" applyBorder="1" applyAlignment="1">
      <alignment horizontal="left"/>
    </xf>
    <xf numFmtId="0" fontId="0" fillId="0" borderId="5" xfId="0" applyBorder="1"/>
    <xf numFmtId="14" fontId="0" fillId="0" borderId="1" xfId="0" applyNumberFormat="1" applyBorder="1"/>
    <xf numFmtId="164" fontId="0" fillId="0" borderId="1" xfId="0" applyNumberFormat="1" applyBorder="1"/>
    <xf numFmtId="165" fontId="0" fillId="0" borderId="1"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0" fillId="0" borderId="0" xfId="0" pivotButton="1"/>
    <xf numFmtId="0" fontId="0" fillId="0" borderId="0" xfId="0" applyAlignment="1">
      <alignment horizontal="left"/>
    </xf>
    <xf numFmtId="0" fontId="3" fillId="3" borderId="10" xfId="0" applyFont="1" applyFill="1" applyBorder="1"/>
    <xf numFmtId="0" fontId="0" fillId="4" borderId="10" xfId="0" applyFill="1" applyBorder="1"/>
    <xf numFmtId="0" fontId="0" fillId="2" borderId="10" xfId="0" applyFill="1" applyBorder="1"/>
    <xf numFmtId="14" fontId="0" fillId="0" borderId="0" xfId="0" applyNumberFormat="1" applyAlignment="1">
      <alignment horizontal="left"/>
    </xf>
    <xf numFmtId="0" fontId="0" fillId="0" borderId="0" xfId="0" applyAlignment="1">
      <alignment horizontal="center"/>
    </xf>
    <xf numFmtId="0" fontId="0" fillId="2" borderId="0" xfId="0" applyFill="1"/>
    <xf numFmtId="166" fontId="0" fillId="0" borderId="0" xfId="0" applyNumberFormat="1"/>
    <xf numFmtId="0" fontId="7" fillId="5" borderId="0" xfId="0" applyFont="1" applyFill="1"/>
    <xf numFmtId="0" fontId="7" fillId="6" borderId="0" xfId="0" applyFont="1" applyFill="1"/>
    <xf numFmtId="0" fontId="4" fillId="7"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0" fillId="0" borderId="0" xfId="0" applyNumberFormat="1"/>
  </cellXfs>
  <cellStyles count="1">
    <cellStyle name="Normal" xfId="0" builtinId="0"/>
  </cellStyles>
  <dxfs count="64">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0" formatCode="General"/>
    </dxf>
    <dxf>
      <numFmt numFmtId="19" formatCode="dd/mm/yyyy"/>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7"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Left</a:t>
            </a:r>
            <a:r>
              <a:rPr lang="en-US" baseline="0"/>
              <a:t> status gender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'Emp pivot T'!$K$2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660-40C4-A4DC-7E17048C44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660-40C4-A4DC-7E17048C44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 pivot T'!$J$3:$J$5</c:f>
              <c:strCache>
                <c:ptCount val="2"/>
                <c:pt idx="0">
                  <c:v>Female</c:v>
                </c:pt>
                <c:pt idx="1">
                  <c:v>Male</c:v>
                </c:pt>
              </c:strCache>
            </c:strRef>
          </c:cat>
          <c:val>
            <c:numRef>
              <c:f>'Emp pivot T'!$K$3:$K$5</c:f>
              <c:numCache>
                <c:formatCode>General</c:formatCode>
                <c:ptCount val="2"/>
                <c:pt idx="0">
                  <c:v>39</c:v>
                </c:pt>
                <c:pt idx="1">
                  <c:v>46</c:v>
                </c:pt>
              </c:numCache>
            </c:numRef>
          </c:val>
          <c:extLst>
            <c:ext xmlns:c16="http://schemas.microsoft.com/office/drawing/2014/chart" uri="{C3380CC4-5D6E-409C-BE32-E72D297353CC}">
              <c16:uniqueId val="{00000000-7690-4B2A-BCA9-A11DB794D58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Salary by business unit  </a:t>
            </a:r>
          </a:p>
        </c:rich>
      </c:tx>
      <c:layout>
        <c:manualLayout>
          <c:xMode val="edge"/>
          <c:yMode val="edge"/>
          <c:x val="0.18762489063867019"/>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66903073286053E-2"/>
          <c:y val="0.19977530919579581"/>
          <c:w val="0.81558305876659032"/>
          <c:h val="0.61939896193635469"/>
        </c:manualLayout>
      </c:layout>
      <c:barChart>
        <c:barDir val="col"/>
        <c:grouping val="clustered"/>
        <c:varyColors val="0"/>
        <c:ser>
          <c:idx val="0"/>
          <c:order val="0"/>
          <c:tx>
            <c:strRef>
              <c:f>'Emp pivot T'!$H$2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 pivot T'!$G$3:$G$7</c:f>
              <c:strCache>
                <c:ptCount val="4"/>
                <c:pt idx="0">
                  <c:v>Corporate</c:v>
                </c:pt>
                <c:pt idx="1">
                  <c:v>Manufacturing</c:v>
                </c:pt>
                <c:pt idx="2">
                  <c:v>Research &amp; Development</c:v>
                </c:pt>
                <c:pt idx="3">
                  <c:v>Speciality Products</c:v>
                </c:pt>
              </c:strCache>
            </c:strRef>
          </c:cat>
          <c:val>
            <c:numRef>
              <c:f>'Emp pivot T'!$H$3:$H$7</c:f>
              <c:numCache>
                <c:formatCode>"₹"\ #,##0.00</c:formatCode>
                <c:ptCount val="4"/>
                <c:pt idx="0">
                  <c:v>33136218</c:v>
                </c:pt>
                <c:pt idx="1">
                  <c:v>31171392</c:v>
                </c:pt>
                <c:pt idx="2">
                  <c:v>29311112</c:v>
                </c:pt>
                <c:pt idx="3">
                  <c:v>35472445</c:v>
                </c:pt>
              </c:numCache>
            </c:numRef>
          </c:val>
          <c:extLst>
            <c:ext xmlns:c16="http://schemas.microsoft.com/office/drawing/2014/chart" uri="{C3380CC4-5D6E-409C-BE32-E72D297353CC}">
              <c16:uniqueId val="{00000000-C838-4503-9C4D-1D145807C9F7}"/>
            </c:ext>
          </c:extLst>
        </c:ser>
        <c:dLbls>
          <c:dLblPos val="inEnd"/>
          <c:showLegendKey val="0"/>
          <c:showVal val="1"/>
          <c:showCatName val="0"/>
          <c:showSerName val="0"/>
          <c:showPercent val="0"/>
          <c:showBubbleSize val="0"/>
        </c:dLbls>
        <c:gapWidth val="100"/>
        <c:overlap val="-24"/>
        <c:axId val="601827408"/>
        <c:axId val="601826928"/>
      </c:barChart>
      <c:catAx>
        <c:axId val="601827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26928"/>
        <c:crosses val="autoZero"/>
        <c:auto val="1"/>
        <c:lblAlgn val="ctr"/>
        <c:lblOffset val="100"/>
        <c:noMultiLvlLbl val="0"/>
      </c:catAx>
      <c:valAx>
        <c:axId val="60182692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2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26307091730492"/>
          <c:y val="0.22700192714411552"/>
          <c:w val="0.70171908336019406"/>
          <c:h val="0.69917638063555509"/>
        </c:manualLayout>
      </c:layout>
      <c:barChart>
        <c:barDir val="bar"/>
        <c:grouping val="stacked"/>
        <c:varyColors val="0"/>
        <c:ser>
          <c:idx val="0"/>
          <c:order val="0"/>
          <c:tx>
            <c:strRef>
              <c:f>'Emp pivot T'!$H$9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 pivot T'!$G$10:$G$15</c:f>
              <c:strCache>
                <c:ptCount val="5"/>
                <c:pt idx="0">
                  <c:v>25-35</c:v>
                </c:pt>
                <c:pt idx="1">
                  <c:v>35-45</c:v>
                </c:pt>
                <c:pt idx="2">
                  <c:v>45-55</c:v>
                </c:pt>
                <c:pt idx="3">
                  <c:v>55-65</c:v>
                </c:pt>
                <c:pt idx="4">
                  <c:v>65-100</c:v>
                </c:pt>
              </c:strCache>
            </c:strRef>
          </c:cat>
          <c:val>
            <c:numRef>
              <c:f>'Emp pivot T'!$H$10:$H$15</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95B9-436C-912E-B8BC173F544F}"/>
            </c:ext>
          </c:extLst>
        </c:ser>
        <c:dLbls>
          <c:dLblPos val="ctr"/>
          <c:showLegendKey val="0"/>
          <c:showVal val="1"/>
          <c:showCatName val="0"/>
          <c:showSerName val="0"/>
          <c:showPercent val="0"/>
          <c:showBubbleSize val="0"/>
        </c:dLbls>
        <c:gapWidth val="150"/>
        <c:overlap val="100"/>
        <c:axId val="209097440"/>
        <c:axId val="209082080"/>
      </c:barChart>
      <c:catAx>
        <c:axId val="209097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082080"/>
        <c:crosses val="autoZero"/>
        <c:auto val="1"/>
        <c:lblAlgn val="ctr"/>
        <c:lblOffset val="100"/>
        <c:noMultiLvlLbl val="0"/>
      </c:catAx>
      <c:valAx>
        <c:axId val="20908208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90974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employees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'Emp pivot T'!$H$17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E9-40CC-86EC-E943CE0DC1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E9-40CC-86EC-E943CE0DC1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 pivot T'!$G$18:$G$20</c:f>
              <c:strCache>
                <c:ptCount val="2"/>
                <c:pt idx="0">
                  <c:v>Female</c:v>
                </c:pt>
                <c:pt idx="1">
                  <c:v>Male</c:v>
                </c:pt>
              </c:strCache>
            </c:strRef>
          </c:cat>
          <c:val>
            <c:numRef>
              <c:f>'Emp pivot T'!$H$18:$H$20</c:f>
              <c:numCache>
                <c:formatCode>General</c:formatCode>
                <c:ptCount val="2"/>
                <c:pt idx="0">
                  <c:v>518</c:v>
                </c:pt>
                <c:pt idx="1">
                  <c:v>482</c:v>
                </c:pt>
              </c:numCache>
            </c:numRef>
          </c:val>
          <c:extLst>
            <c:ext xmlns:c16="http://schemas.microsoft.com/office/drawing/2014/chart" uri="{C3380CC4-5D6E-409C-BE32-E72D297353CC}">
              <c16:uniqueId val="{00000000-89A0-4841-A0A0-DC8A0CE4415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Business</a:t>
            </a:r>
            <a:r>
              <a:rPr lang="en-US" baseline="0"/>
              <a:t> unit by city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 pivot T'!$E$2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 pivot T'!$D$3:$D$16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'Emp pivot T'!$E$3:$E$16</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smooth val="0"/>
          <c:extLst>
            <c:ext xmlns:c16="http://schemas.microsoft.com/office/drawing/2014/chart" uri="{C3380CC4-5D6E-409C-BE32-E72D297353CC}">
              <c16:uniqueId val="{00000000-63E2-4325-9235-2A0779E12245}"/>
            </c:ext>
          </c:extLst>
        </c:ser>
        <c:dLbls>
          <c:dLblPos val="ctr"/>
          <c:showLegendKey val="0"/>
          <c:showVal val="1"/>
          <c:showCatName val="0"/>
          <c:showSerName val="0"/>
          <c:showPercent val="0"/>
          <c:showBubbleSize val="0"/>
        </c:dLbls>
        <c:marker val="1"/>
        <c:smooth val="0"/>
        <c:axId val="232553024"/>
        <c:axId val="232556384"/>
      </c:lineChart>
      <c:catAx>
        <c:axId val="232553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2556384"/>
        <c:crosses val="autoZero"/>
        <c:auto val="1"/>
        <c:lblAlgn val="ctr"/>
        <c:lblOffset val="100"/>
        <c:noMultiLvlLbl val="0"/>
      </c:catAx>
      <c:valAx>
        <c:axId val="232556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325530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T!PivotTable7</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'Emp pivot T'!$E$18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'Emp pivot T'!$D$19:$D$52</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'Emp pivot T'!$E$19:$E$52</c:f>
              <c:numCache>
                <c:formatCode>General</c:formatCode>
                <c:ptCount val="33"/>
                <c:pt idx="0">
                  <c:v>21</c:v>
                </c:pt>
                <c:pt idx="1">
                  <c:v>51</c:v>
                </c:pt>
                <c:pt idx="2">
                  <c:v>53</c:v>
                </c:pt>
                <c:pt idx="3">
                  <c:v>7</c:v>
                </c:pt>
                <c:pt idx="4">
                  <c:v>19</c:v>
                </c:pt>
                <c:pt idx="5">
                  <c:v>15</c:v>
                </c:pt>
                <c:pt idx="6">
                  <c:v>21</c:v>
                </c:pt>
                <c:pt idx="7">
                  <c:v>15</c:v>
                </c:pt>
                <c:pt idx="8">
                  <c:v>19</c:v>
                </c:pt>
                <c:pt idx="9">
                  <c:v>121</c:v>
                </c:pt>
                <c:pt idx="10">
                  <c:v>20</c:v>
                </c:pt>
                <c:pt idx="11">
                  <c:v>18</c:v>
                </c:pt>
                <c:pt idx="12">
                  <c:v>21</c:v>
                </c:pt>
                <c:pt idx="13">
                  <c:v>16</c:v>
                </c:pt>
                <c:pt idx="14">
                  <c:v>11</c:v>
                </c:pt>
                <c:pt idx="15">
                  <c:v>12</c:v>
                </c:pt>
                <c:pt idx="16">
                  <c:v>98</c:v>
                </c:pt>
                <c:pt idx="17">
                  <c:v>10</c:v>
                </c:pt>
                <c:pt idx="18">
                  <c:v>18</c:v>
                </c:pt>
                <c:pt idx="19">
                  <c:v>7</c:v>
                </c:pt>
                <c:pt idx="20">
                  <c:v>12</c:v>
                </c:pt>
                <c:pt idx="21">
                  <c:v>20</c:v>
                </c:pt>
                <c:pt idx="22">
                  <c:v>10</c:v>
                </c:pt>
                <c:pt idx="23">
                  <c:v>15</c:v>
                </c:pt>
                <c:pt idx="24">
                  <c:v>9</c:v>
                </c:pt>
                <c:pt idx="25">
                  <c:v>70</c:v>
                </c:pt>
                <c:pt idx="26">
                  <c:v>17</c:v>
                </c:pt>
                <c:pt idx="27">
                  <c:v>110</c:v>
                </c:pt>
                <c:pt idx="28">
                  <c:v>15</c:v>
                </c:pt>
                <c:pt idx="29">
                  <c:v>15</c:v>
                </c:pt>
                <c:pt idx="30">
                  <c:v>17</c:v>
                </c:pt>
                <c:pt idx="31">
                  <c:v>12</c:v>
                </c:pt>
                <c:pt idx="32">
                  <c:v>105</c:v>
                </c:pt>
              </c:numCache>
            </c:numRef>
          </c:val>
          <c:smooth val="0"/>
          <c:extLst>
            <c:ext xmlns:c16="http://schemas.microsoft.com/office/drawing/2014/chart" uri="{C3380CC4-5D6E-409C-BE32-E72D297353CC}">
              <c16:uniqueId val="{00000000-7A22-4151-9EA1-DF94D5819E7A}"/>
            </c:ext>
          </c:extLst>
        </c:ser>
        <c:dLbls>
          <c:dLblPos val="ctr"/>
          <c:showLegendKey val="0"/>
          <c:showVal val="1"/>
          <c:showCatName val="0"/>
          <c:showSerName val="0"/>
          <c:showPercent val="0"/>
          <c:showBubbleSize val="0"/>
        </c:dLbls>
        <c:marker val="1"/>
        <c:smooth val="0"/>
        <c:axId val="601280384"/>
        <c:axId val="601281344"/>
      </c:lineChart>
      <c:catAx>
        <c:axId val="601280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1281344"/>
        <c:crosses val="autoZero"/>
        <c:auto val="1"/>
        <c:lblAlgn val="ctr"/>
        <c:lblOffset val="100"/>
        <c:noMultiLvlLbl val="0"/>
      </c:catAx>
      <c:valAx>
        <c:axId val="601281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128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T!PivotTable2</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Business</a:t>
            </a:r>
            <a:r>
              <a:rPr lang="en-US" baseline="0"/>
              <a:t> unit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 pivot T'!$B$5</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'Emp pivot T'!$A$6:$A$13</c:f>
              <c:strCache>
                <c:ptCount val="7"/>
                <c:pt idx="0">
                  <c:v>Sales</c:v>
                </c:pt>
                <c:pt idx="1">
                  <c:v>Marketing</c:v>
                </c:pt>
                <c:pt idx="2">
                  <c:v>IT</c:v>
                </c:pt>
                <c:pt idx="3">
                  <c:v>Human Resources</c:v>
                </c:pt>
                <c:pt idx="4">
                  <c:v>Finance</c:v>
                </c:pt>
                <c:pt idx="5">
                  <c:v>Engineering</c:v>
                </c:pt>
                <c:pt idx="6">
                  <c:v>Accounting</c:v>
                </c:pt>
              </c:strCache>
            </c:strRef>
          </c:cat>
          <c:val>
            <c:numRef>
              <c:f>'Emp pivot T'!$B$6:$B$13</c:f>
              <c:numCache>
                <c:formatCode>General</c:formatCode>
                <c:ptCount val="7"/>
                <c:pt idx="0">
                  <c:v>140</c:v>
                </c:pt>
                <c:pt idx="1">
                  <c:v>120</c:v>
                </c:pt>
                <c:pt idx="2">
                  <c:v>243</c:v>
                </c:pt>
                <c:pt idx="3">
                  <c:v>125</c:v>
                </c:pt>
                <c:pt idx="4">
                  <c:v>118</c:v>
                </c:pt>
                <c:pt idx="5">
                  <c:v>158</c:v>
                </c:pt>
                <c:pt idx="6">
                  <c:v>96</c:v>
                </c:pt>
              </c:numCache>
            </c:numRef>
          </c:val>
          <c:extLst>
            <c:ext xmlns:c16="http://schemas.microsoft.com/office/drawing/2014/chart" uri="{C3380CC4-5D6E-409C-BE32-E72D297353CC}">
              <c16:uniqueId val="{00000000-B4F5-4A1E-8156-2019AA696F98}"/>
            </c:ext>
          </c:extLst>
        </c:ser>
        <c:dLbls>
          <c:dLblPos val="ctr"/>
          <c:showLegendKey val="0"/>
          <c:showVal val="1"/>
          <c:showCatName val="0"/>
          <c:showSerName val="0"/>
          <c:showPercent val="0"/>
          <c:showBubbleSize val="0"/>
        </c:dLbls>
        <c:gapWidth val="50"/>
        <c:overlap val="100"/>
        <c:axId val="1344298384"/>
        <c:axId val="1344294064"/>
      </c:barChart>
      <c:catAx>
        <c:axId val="134429838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94064"/>
        <c:crosses val="autoZero"/>
        <c:auto val="1"/>
        <c:lblAlgn val="ctr"/>
        <c:lblOffset val="100"/>
        <c:noMultiLvlLbl val="0"/>
      </c:catAx>
      <c:valAx>
        <c:axId val="1344294064"/>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9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Left</a:t>
            </a:r>
            <a:r>
              <a:rPr lang="en-US" baseline="0"/>
              <a:t> status gender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'Emp pivot T'!$K$2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40-4E05-9451-A8469C56341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40-4E05-9451-A8469C5634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 pivot T'!$J$3:$J$5</c:f>
              <c:strCache>
                <c:ptCount val="2"/>
                <c:pt idx="0">
                  <c:v>Female</c:v>
                </c:pt>
                <c:pt idx="1">
                  <c:v>Male</c:v>
                </c:pt>
              </c:strCache>
            </c:strRef>
          </c:cat>
          <c:val>
            <c:numRef>
              <c:f>'Emp pivot T'!$K$3:$K$5</c:f>
              <c:numCache>
                <c:formatCode>General</c:formatCode>
                <c:ptCount val="2"/>
                <c:pt idx="0">
                  <c:v>39</c:v>
                </c:pt>
                <c:pt idx="1">
                  <c:v>46</c:v>
                </c:pt>
              </c:numCache>
            </c:numRef>
          </c:val>
          <c:extLst>
            <c:ext xmlns:c16="http://schemas.microsoft.com/office/drawing/2014/chart" uri="{C3380CC4-5D6E-409C-BE32-E72D297353CC}">
              <c16:uniqueId val="{00000004-9E40-4E05-9451-A8469C56341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T!PivotTable9</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Employees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26307091730492"/>
          <c:y val="0.22700192714411552"/>
          <c:w val="0.70171908336019406"/>
          <c:h val="0.69917638063555509"/>
        </c:manualLayout>
      </c:layout>
      <c:barChart>
        <c:barDir val="bar"/>
        <c:grouping val="stacked"/>
        <c:varyColors val="0"/>
        <c:ser>
          <c:idx val="0"/>
          <c:order val="0"/>
          <c:tx>
            <c:strRef>
              <c:f>'Emp pivot T'!$H$9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 pivot T'!$G$10:$G$15</c:f>
              <c:strCache>
                <c:ptCount val="5"/>
                <c:pt idx="0">
                  <c:v>25-35</c:v>
                </c:pt>
                <c:pt idx="1">
                  <c:v>35-45</c:v>
                </c:pt>
                <c:pt idx="2">
                  <c:v>45-55</c:v>
                </c:pt>
                <c:pt idx="3">
                  <c:v>55-65</c:v>
                </c:pt>
                <c:pt idx="4">
                  <c:v>65-100</c:v>
                </c:pt>
              </c:strCache>
            </c:strRef>
          </c:cat>
          <c:val>
            <c:numRef>
              <c:f>'Emp pivot T'!$H$10:$H$15</c:f>
              <c:numCache>
                <c:formatCode>General</c:formatCode>
                <c:ptCount val="5"/>
                <c:pt idx="0">
                  <c:v>245</c:v>
                </c:pt>
                <c:pt idx="1">
                  <c:v>227</c:v>
                </c:pt>
                <c:pt idx="2">
                  <c:v>296</c:v>
                </c:pt>
                <c:pt idx="3">
                  <c:v>217</c:v>
                </c:pt>
                <c:pt idx="4">
                  <c:v>15</c:v>
                </c:pt>
              </c:numCache>
            </c:numRef>
          </c:val>
          <c:extLst>
            <c:ext xmlns:c16="http://schemas.microsoft.com/office/drawing/2014/chart" uri="{C3380CC4-5D6E-409C-BE32-E72D297353CC}">
              <c16:uniqueId val="{00000000-A32E-4DF7-89D3-FF11A2717F0F}"/>
            </c:ext>
          </c:extLst>
        </c:ser>
        <c:dLbls>
          <c:dLblPos val="ctr"/>
          <c:showLegendKey val="0"/>
          <c:showVal val="1"/>
          <c:showCatName val="0"/>
          <c:showSerName val="0"/>
          <c:showPercent val="0"/>
          <c:showBubbleSize val="0"/>
        </c:dLbls>
        <c:gapWidth val="150"/>
        <c:overlap val="100"/>
        <c:axId val="209097440"/>
        <c:axId val="209082080"/>
      </c:barChart>
      <c:catAx>
        <c:axId val="209097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082080"/>
        <c:crosses val="autoZero"/>
        <c:auto val="1"/>
        <c:lblAlgn val="ctr"/>
        <c:lblOffset val="100"/>
        <c:noMultiLvlLbl val="0"/>
      </c:catAx>
      <c:valAx>
        <c:axId val="20908208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909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Business</a:t>
            </a:r>
            <a:r>
              <a:rPr lang="en-US" baseline="0"/>
              <a:t> unit by city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'Emp pivot T'!$E$2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 pivot T'!$D$3:$D$16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'Emp pivot T'!$E$3:$E$16</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smooth val="0"/>
          <c:extLst>
            <c:ext xmlns:c16="http://schemas.microsoft.com/office/drawing/2014/chart" uri="{C3380CC4-5D6E-409C-BE32-E72D297353CC}">
              <c16:uniqueId val="{00000000-903D-46D8-9B8A-32AAF6E6D530}"/>
            </c:ext>
          </c:extLst>
        </c:ser>
        <c:dLbls>
          <c:dLblPos val="ctr"/>
          <c:showLegendKey val="0"/>
          <c:showVal val="1"/>
          <c:showCatName val="0"/>
          <c:showSerName val="0"/>
          <c:showPercent val="0"/>
          <c:showBubbleSize val="0"/>
        </c:dLbls>
        <c:marker val="1"/>
        <c:smooth val="0"/>
        <c:axId val="232553024"/>
        <c:axId val="232556384"/>
      </c:lineChart>
      <c:catAx>
        <c:axId val="2325530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2556384"/>
        <c:crosses val="autoZero"/>
        <c:auto val="1"/>
        <c:lblAlgn val="ctr"/>
        <c:lblOffset val="100"/>
        <c:noMultiLvlLbl val="0"/>
      </c:catAx>
      <c:valAx>
        <c:axId val="232556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32553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Salary by business unit  </a:t>
            </a:r>
          </a:p>
        </c:rich>
      </c:tx>
      <c:layout>
        <c:manualLayout>
          <c:xMode val="edge"/>
          <c:yMode val="edge"/>
          <c:x val="0.18762489063867019"/>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66903073286053E-2"/>
          <c:y val="0.19977530919579581"/>
          <c:w val="0.81558305876659032"/>
          <c:h val="0.61939896193635469"/>
        </c:manualLayout>
      </c:layout>
      <c:barChart>
        <c:barDir val="col"/>
        <c:grouping val="clustered"/>
        <c:varyColors val="0"/>
        <c:ser>
          <c:idx val="0"/>
          <c:order val="0"/>
          <c:tx>
            <c:strRef>
              <c:f>'Emp pivot T'!$H$2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 pivot T'!$G$3:$G$7</c:f>
              <c:strCache>
                <c:ptCount val="4"/>
                <c:pt idx="0">
                  <c:v>Corporate</c:v>
                </c:pt>
                <c:pt idx="1">
                  <c:v>Manufacturing</c:v>
                </c:pt>
                <c:pt idx="2">
                  <c:v>Research &amp; Development</c:v>
                </c:pt>
                <c:pt idx="3">
                  <c:v>Speciality Products</c:v>
                </c:pt>
              </c:strCache>
            </c:strRef>
          </c:cat>
          <c:val>
            <c:numRef>
              <c:f>'Emp pivot T'!$H$3:$H$7</c:f>
              <c:numCache>
                <c:formatCode>"₹"\ #,##0.00</c:formatCode>
                <c:ptCount val="4"/>
                <c:pt idx="0">
                  <c:v>33136218</c:v>
                </c:pt>
                <c:pt idx="1">
                  <c:v>31171392</c:v>
                </c:pt>
                <c:pt idx="2">
                  <c:v>29311112</c:v>
                </c:pt>
                <c:pt idx="3">
                  <c:v>35472445</c:v>
                </c:pt>
              </c:numCache>
            </c:numRef>
          </c:val>
          <c:extLst>
            <c:ext xmlns:c16="http://schemas.microsoft.com/office/drawing/2014/chart" uri="{C3380CC4-5D6E-409C-BE32-E72D297353CC}">
              <c16:uniqueId val="{00000000-67F1-4601-B6CC-163434041C78}"/>
            </c:ext>
          </c:extLst>
        </c:ser>
        <c:dLbls>
          <c:dLblPos val="inEnd"/>
          <c:showLegendKey val="0"/>
          <c:showVal val="1"/>
          <c:showCatName val="0"/>
          <c:showSerName val="0"/>
          <c:showPercent val="0"/>
          <c:showBubbleSize val="0"/>
        </c:dLbls>
        <c:gapWidth val="100"/>
        <c:overlap val="-24"/>
        <c:axId val="601827408"/>
        <c:axId val="601826928"/>
      </c:barChart>
      <c:catAx>
        <c:axId val="601827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26928"/>
        <c:crosses val="autoZero"/>
        <c:auto val="1"/>
        <c:lblAlgn val="ctr"/>
        <c:lblOffset val="100"/>
        <c:noMultiLvlLbl val="0"/>
      </c:catAx>
      <c:valAx>
        <c:axId val="601826928"/>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2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project.xlsx]Emp pivot T!PivotTable2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Business unit by department</a:t>
            </a:r>
          </a:p>
        </c:rich>
      </c:tx>
      <c:layout>
        <c:manualLayout>
          <c:xMode val="edge"/>
          <c:yMode val="edge"/>
          <c:x val="0.30468169887854929"/>
          <c:y val="1.58920958207839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 pivot T'!$B$5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 pivot T'!$A$6:$A$13</c:f>
              <c:strCache>
                <c:ptCount val="7"/>
                <c:pt idx="0">
                  <c:v>Sales</c:v>
                </c:pt>
                <c:pt idx="1">
                  <c:v>Marketing</c:v>
                </c:pt>
                <c:pt idx="2">
                  <c:v>IT</c:v>
                </c:pt>
                <c:pt idx="3">
                  <c:v>Human Resources</c:v>
                </c:pt>
                <c:pt idx="4">
                  <c:v>Finance</c:v>
                </c:pt>
                <c:pt idx="5">
                  <c:v>Engineering</c:v>
                </c:pt>
                <c:pt idx="6">
                  <c:v>Accounting</c:v>
                </c:pt>
              </c:strCache>
            </c:strRef>
          </c:cat>
          <c:val>
            <c:numRef>
              <c:f>'Emp pivot T'!$B$6:$B$13</c:f>
              <c:numCache>
                <c:formatCode>General</c:formatCode>
                <c:ptCount val="7"/>
                <c:pt idx="0">
                  <c:v>140</c:v>
                </c:pt>
                <c:pt idx="1">
                  <c:v>120</c:v>
                </c:pt>
                <c:pt idx="2">
                  <c:v>243</c:v>
                </c:pt>
                <c:pt idx="3">
                  <c:v>125</c:v>
                </c:pt>
                <c:pt idx="4">
                  <c:v>118</c:v>
                </c:pt>
                <c:pt idx="5">
                  <c:v>158</c:v>
                </c:pt>
                <c:pt idx="6">
                  <c:v>96</c:v>
                </c:pt>
              </c:numCache>
            </c:numRef>
          </c:val>
          <c:extLst>
            <c:ext xmlns:c16="http://schemas.microsoft.com/office/drawing/2014/chart" uri="{C3380CC4-5D6E-409C-BE32-E72D297353CC}">
              <c16:uniqueId val="{00000000-8804-4277-B26F-5835BBA75213}"/>
            </c:ext>
          </c:extLst>
        </c:ser>
        <c:dLbls>
          <c:dLblPos val="ctr"/>
          <c:showLegendKey val="0"/>
          <c:showVal val="1"/>
          <c:showCatName val="0"/>
          <c:showSerName val="0"/>
          <c:showPercent val="0"/>
          <c:showBubbleSize val="0"/>
        </c:dLbls>
        <c:gapWidth val="150"/>
        <c:overlap val="100"/>
        <c:axId val="1344298384"/>
        <c:axId val="1344294064"/>
      </c:barChart>
      <c:catAx>
        <c:axId val="1344298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294064"/>
        <c:crosses val="autoZero"/>
        <c:auto val="1"/>
        <c:lblAlgn val="ctr"/>
        <c:lblOffset val="100"/>
        <c:noMultiLvlLbl val="0"/>
      </c:catAx>
      <c:valAx>
        <c:axId val="13442940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29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sales!PivotTable11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a:t>
            </a:r>
            <a:r>
              <a:rPr lang="en-US" baseline="0"/>
              <a:t> by product</a:t>
            </a:r>
          </a:p>
          <a:p>
            <a:pPr>
              <a:defRPr/>
            </a:pPr>
            <a:endParaRPr lang="en-US"/>
          </a:p>
        </c:rich>
      </c:tx>
      <c:layout>
        <c:manualLayout>
          <c:xMode val="edge"/>
          <c:yMode val="edge"/>
          <c:x val="0.31654320987654322"/>
          <c:y val="5.084980815754195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 sales'!$D$2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 sales'!$C$3:$C$8</c:f>
              <c:strCache>
                <c:ptCount val="5"/>
                <c:pt idx="0">
                  <c:v>Diary</c:v>
                </c:pt>
                <c:pt idx="1">
                  <c:v>Office Chair</c:v>
                </c:pt>
                <c:pt idx="2">
                  <c:v>Printer</c:v>
                </c:pt>
                <c:pt idx="3">
                  <c:v>Projector</c:v>
                </c:pt>
                <c:pt idx="4">
                  <c:v>White Board</c:v>
                </c:pt>
              </c:strCache>
            </c:strRef>
          </c:cat>
          <c:val>
            <c:numRef>
              <c:f>'PIVOT T. sales'!$D$3:$D$8</c:f>
              <c:numCache>
                <c:formatCode>General</c:formatCode>
                <c:ptCount val="5"/>
                <c:pt idx="0">
                  <c:v>3071</c:v>
                </c:pt>
                <c:pt idx="1">
                  <c:v>2648</c:v>
                </c:pt>
                <c:pt idx="2">
                  <c:v>3819</c:v>
                </c:pt>
                <c:pt idx="3">
                  <c:v>3067</c:v>
                </c:pt>
                <c:pt idx="4">
                  <c:v>4027</c:v>
                </c:pt>
              </c:numCache>
            </c:numRef>
          </c:val>
          <c:extLst>
            <c:ext xmlns:c16="http://schemas.microsoft.com/office/drawing/2014/chart" uri="{C3380CC4-5D6E-409C-BE32-E72D297353CC}">
              <c16:uniqueId val="{00000000-12D9-46AC-836E-8915EB05E585}"/>
            </c:ext>
          </c:extLst>
        </c:ser>
        <c:dLbls>
          <c:dLblPos val="inEnd"/>
          <c:showLegendKey val="0"/>
          <c:showVal val="1"/>
          <c:showCatName val="0"/>
          <c:showSerName val="0"/>
          <c:showPercent val="0"/>
          <c:showBubbleSize val="0"/>
        </c:dLbls>
        <c:gapWidth val="100"/>
        <c:overlap val="-24"/>
        <c:axId val="939353423"/>
        <c:axId val="939340943"/>
      </c:barChart>
      <c:catAx>
        <c:axId val="939353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9340943"/>
        <c:crosses val="autoZero"/>
        <c:auto val="1"/>
        <c:lblAlgn val="ctr"/>
        <c:lblOffset val="100"/>
        <c:noMultiLvlLbl val="0"/>
      </c:catAx>
      <c:valAx>
        <c:axId val="9393409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93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sales!PivotTable12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sales representative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 sales'!$G$17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 sales'!$F$18:$F$23</c:f>
              <c:strCache>
                <c:ptCount val="5"/>
                <c:pt idx="0">
                  <c:v>Bob</c:v>
                </c:pt>
                <c:pt idx="1">
                  <c:v>John</c:v>
                </c:pt>
                <c:pt idx="2">
                  <c:v>Laura</c:v>
                </c:pt>
                <c:pt idx="3">
                  <c:v>Mark</c:v>
                </c:pt>
                <c:pt idx="4">
                  <c:v>Stacey</c:v>
                </c:pt>
              </c:strCache>
            </c:strRef>
          </c:cat>
          <c:val>
            <c:numRef>
              <c:f>'PIVOT T. sales'!$G$18:$G$23</c:f>
              <c:numCache>
                <c:formatCode>"₹"\ #,##0.00</c:formatCode>
                <c:ptCount val="5"/>
                <c:pt idx="0">
                  <c:v>306530</c:v>
                </c:pt>
                <c:pt idx="1">
                  <c:v>319900</c:v>
                </c:pt>
                <c:pt idx="2">
                  <c:v>307656</c:v>
                </c:pt>
                <c:pt idx="3">
                  <c:v>321258</c:v>
                </c:pt>
                <c:pt idx="4">
                  <c:v>329482</c:v>
                </c:pt>
              </c:numCache>
            </c:numRef>
          </c:val>
          <c:extLst>
            <c:ext xmlns:c16="http://schemas.microsoft.com/office/drawing/2014/chart" uri="{C3380CC4-5D6E-409C-BE32-E72D297353CC}">
              <c16:uniqueId val="{00000000-5AAD-4F75-A15D-4ABA4EC23EC9}"/>
            </c:ext>
          </c:extLst>
        </c:ser>
        <c:dLbls>
          <c:dLblPos val="ctr"/>
          <c:showLegendKey val="0"/>
          <c:showVal val="1"/>
          <c:showCatName val="0"/>
          <c:showSerName val="0"/>
          <c:showPercent val="0"/>
          <c:showBubbleSize val="0"/>
        </c:dLbls>
        <c:gapWidth val="150"/>
        <c:overlap val="100"/>
        <c:axId val="803870239"/>
        <c:axId val="803871199"/>
      </c:barChart>
      <c:catAx>
        <c:axId val="803870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1199"/>
        <c:crosses val="autoZero"/>
        <c:auto val="1"/>
        <c:lblAlgn val="ctr"/>
        <c:lblOffset val="100"/>
        <c:noMultiLvlLbl val="0"/>
      </c:catAx>
      <c:valAx>
        <c:axId val="80387119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a:t>
            </a:r>
            <a:r>
              <a:rPr lang="en-US" baseline="0"/>
              <a:t> by Date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93525809273836E-2"/>
          <c:y val="0.10363735070575462"/>
          <c:w val="0.8015343394575678"/>
          <c:h val="0.65384210931288311"/>
        </c:manualLayout>
      </c:layout>
      <c:lineChart>
        <c:grouping val="standard"/>
        <c:varyColors val="0"/>
        <c:ser>
          <c:idx val="0"/>
          <c:order val="0"/>
          <c:tx>
            <c:strRef>
              <c:f>'PIVOT T. sales'!$M$2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 sales'!$L$3:$L$34</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'PIVOT T. sales'!$M$3:$M$34</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EDCB-4999-B1AB-05829F6763CC}"/>
            </c:ext>
          </c:extLst>
        </c:ser>
        <c:dLbls>
          <c:dLblPos val="ctr"/>
          <c:showLegendKey val="0"/>
          <c:showVal val="1"/>
          <c:showCatName val="0"/>
          <c:showSerName val="0"/>
          <c:showPercent val="0"/>
          <c:showBubbleSize val="0"/>
        </c:dLbls>
        <c:marker val="1"/>
        <c:smooth val="0"/>
        <c:axId val="929633407"/>
        <c:axId val="929626207"/>
      </c:lineChart>
      <c:catAx>
        <c:axId val="9296334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9626207"/>
        <c:crosses val="autoZero"/>
        <c:auto val="1"/>
        <c:lblAlgn val="ctr"/>
        <c:lblOffset val="100"/>
        <c:noMultiLvlLbl val="0"/>
      </c:catAx>
      <c:valAx>
        <c:axId val="929626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963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Total commission by sales representative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 sales'!$J$17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 sales'!$I$18:$I$23</c:f>
              <c:strCache>
                <c:ptCount val="5"/>
                <c:pt idx="0">
                  <c:v>Bob</c:v>
                </c:pt>
                <c:pt idx="1">
                  <c:v>John</c:v>
                </c:pt>
                <c:pt idx="2">
                  <c:v>Laura</c:v>
                </c:pt>
                <c:pt idx="3">
                  <c:v>Mark</c:v>
                </c:pt>
                <c:pt idx="4">
                  <c:v>Stacey</c:v>
                </c:pt>
              </c:strCache>
            </c:strRef>
          </c:cat>
          <c:val>
            <c:numRef>
              <c:f>'PIVOT T. sales'!$J$18:$J$23</c:f>
              <c:numCache>
                <c:formatCode>"₹"\ #,##0.00</c:formatCode>
                <c:ptCount val="5"/>
                <c:pt idx="0">
                  <c:v>23576.700000000012</c:v>
                </c:pt>
                <c:pt idx="1">
                  <c:v>17871.140000000018</c:v>
                </c:pt>
                <c:pt idx="2">
                  <c:v>17621.360000000004</c:v>
                </c:pt>
                <c:pt idx="3">
                  <c:v>21012.360000000004</c:v>
                </c:pt>
                <c:pt idx="4">
                  <c:v>20075.480000000003</c:v>
                </c:pt>
              </c:numCache>
            </c:numRef>
          </c:val>
          <c:extLst>
            <c:ext xmlns:c16="http://schemas.microsoft.com/office/drawing/2014/chart" uri="{C3380CC4-5D6E-409C-BE32-E72D297353CC}">
              <c16:uniqueId val="{00000000-F76D-4AB5-A40D-87C7B9521672}"/>
            </c:ext>
          </c:extLst>
        </c:ser>
        <c:dLbls>
          <c:dLblPos val="inEnd"/>
          <c:showLegendKey val="0"/>
          <c:showVal val="1"/>
          <c:showCatName val="0"/>
          <c:showSerName val="0"/>
          <c:showPercent val="0"/>
          <c:showBubbleSize val="0"/>
        </c:dLbls>
        <c:gapWidth val="65"/>
        <c:axId val="948709487"/>
        <c:axId val="948706607"/>
      </c:barChart>
      <c:catAx>
        <c:axId val="9487094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8706607"/>
        <c:crosses val="autoZero"/>
        <c:auto val="1"/>
        <c:lblAlgn val="ctr"/>
        <c:lblOffset val="100"/>
        <c:noMultiLvlLbl val="0"/>
      </c:catAx>
      <c:valAx>
        <c:axId val="9487066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87094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sales!PivotTable11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Quantity</a:t>
            </a:r>
            <a:r>
              <a:rPr lang="en-US" baseline="0"/>
              <a:t> by product</a:t>
            </a:r>
          </a:p>
          <a:p>
            <a:pPr>
              <a:defRPr/>
            </a:pPr>
            <a:endParaRPr lang="en-US"/>
          </a:p>
        </c:rich>
      </c:tx>
      <c:layout>
        <c:manualLayout>
          <c:xMode val="edge"/>
          <c:yMode val="edge"/>
          <c:x val="0.18308577349619007"/>
          <c:y val="2.18915282648492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 sales'!$D$2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 sales'!$C$3:$C$8</c:f>
              <c:strCache>
                <c:ptCount val="5"/>
                <c:pt idx="0">
                  <c:v>Diary</c:v>
                </c:pt>
                <c:pt idx="1">
                  <c:v>Office Chair</c:v>
                </c:pt>
                <c:pt idx="2">
                  <c:v>Printer</c:v>
                </c:pt>
                <c:pt idx="3">
                  <c:v>Projector</c:v>
                </c:pt>
                <c:pt idx="4">
                  <c:v>White Board</c:v>
                </c:pt>
              </c:strCache>
            </c:strRef>
          </c:cat>
          <c:val>
            <c:numRef>
              <c:f>'PIVOT T. sales'!$D$3:$D$8</c:f>
              <c:numCache>
                <c:formatCode>General</c:formatCode>
                <c:ptCount val="5"/>
                <c:pt idx="0">
                  <c:v>3071</c:v>
                </c:pt>
                <c:pt idx="1">
                  <c:v>2648</c:v>
                </c:pt>
                <c:pt idx="2">
                  <c:v>3819</c:v>
                </c:pt>
                <c:pt idx="3">
                  <c:v>3067</c:v>
                </c:pt>
                <c:pt idx="4">
                  <c:v>4027</c:v>
                </c:pt>
              </c:numCache>
            </c:numRef>
          </c:val>
          <c:extLst>
            <c:ext xmlns:c16="http://schemas.microsoft.com/office/drawing/2014/chart" uri="{C3380CC4-5D6E-409C-BE32-E72D297353CC}">
              <c16:uniqueId val="{00000000-C647-475D-B29B-E872182BD64C}"/>
            </c:ext>
          </c:extLst>
        </c:ser>
        <c:dLbls>
          <c:dLblPos val="inEnd"/>
          <c:showLegendKey val="0"/>
          <c:showVal val="1"/>
          <c:showCatName val="0"/>
          <c:showSerName val="0"/>
          <c:showPercent val="0"/>
          <c:showBubbleSize val="0"/>
        </c:dLbls>
        <c:gapWidth val="100"/>
        <c:overlap val="-24"/>
        <c:axId val="939353423"/>
        <c:axId val="939340943"/>
      </c:barChart>
      <c:catAx>
        <c:axId val="939353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9340943"/>
        <c:crosses val="autoZero"/>
        <c:auto val="1"/>
        <c:lblAlgn val="ctr"/>
        <c:lblOffset val="100"/>
        <c:noMultiLvlLbl val="0"/>
      </c:catAx>
      <c:valAx>
        <c:axId val="9393409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93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Orders by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3620071684587814E-2"/>
              <c:y val="0.203081232492997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620071684587814E-2"/>
              <c:y val="0.203081232492997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000304604090833"/>
          <c:y val="0.1986593847486236"/>
          <c:w val="0.8015343394575678"/>
          <c:h val="0.65384210931288311"/>
        </c:manualLayout>
      </c:layout>
      <c:lineChart>
        <c:grouping val="standard"/>
        <c:varyColors val="0"/>
        <c:ser>
          <c:idx val="0"/>
          <c:order val="0"/>
          <c:tx>
            <c:strRef>
              <c:f>'PIVOT T. sales'!$M$2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7330-4D6E-9152-0FBE7D4EF9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 sales'!$L$3:$L$34</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'PIVOT T. sales'!$M$3:$M$34</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1-7330-4D6E-9152-0FBE7D4EF9E6}"/>
            </c:ext>
          </c:extLst>
        </c:ser>
        <c:dLbls>
          <c:dLblPos val="ctr"/>
          <c:showLegendKey val="0"/>
          <c:showVal val="1"/>
          <c:showCatName val="0"/>
          <c:showSerName val="0"/>
          <c:showPercent val="0"/>
          <c:showBubbleSize val="0"/>
        </c:dLbls>
        <c:marker val="1"/>
        <c:smooth val="0"/>
        <c:axId val="929633407"/>
        <c:axId val="929626207"/>
      </c:lineChart>
      <c:catAx>
        <c:axId val="9296334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9626207"/>
        <c:crosses val="autoZero"/>
        <c:auto val="1"/>
        <c:lblAlgn val="ctr"/>
        <c:lblOffset val="100"/>
        <c:noMultiLvlLbl val="0"/>
      </c:catAx>
      <c:valAx>
        <c:axId val="929626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963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Total commission by Sales</a:t>
            </a:r>
            <a:r>
              <a:rPr lang="en-US" baseline="0"/>
              <a:t> Rep.</a:t>
            </a:r>
            <a:endParaRPr lang="en-US"/>
          </a:p>
        </c:rich>
      </c:tx>
      <c:layout>
        <c:manualLayout>
          <c:xMode val="edge"/>
          <c:yMode val="edge"/>
          <c:x val="0.10135137858247566"/>
          <c:y val="1.13186191284663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 sales'!$J$17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 sales'!$I$18:$I$23</c:f>
              <c:strCache>
                <c:ptCount val="5"/>
                <c:pt idx="0">
                  <c:v>Bob</c:v>
                </c:pt>
                <c:pt idx="1">
                  <c:v>John</c:v>
                </c:pt>
                <c:pt idx="2">
                  <c:v>Laura</c:v>
                </c:pt>
                <c:pt idx="3">
                  <c:v>Mark</c:v>
                </c:pt>
                <c:pt idx="4">
                  <c:v>Stacey</c:v>
                </c:pt>
              </c:strCache>
            </c:strRef>
          </c:cat>
          <c:val>
            <c:numRef>
              <c:f>'PIVOT T. sales'!$J$18:$J$23</c:f>
              <c:numCache>
                <c:formatCode>"₹"\ #,##0.00</c:formatCode>
                <c:ptCount val="5"/>
                <c:pt idx="0">
                  <c:v>23576.700000000012</c:v>
                </c:pt>
                <c:pt idx="1">
                  <c:v>17871.140000000018</c:v>
                </c:pt>
                <c:pt idx="2">
                  <c:v>17621.360000000004</c:v>
                </c:pt>
                <c:pt idx="3">
                  <c:v>21012.360000000004</c:v>
                </c:pt>
                <c:pt idx="4">
                  <c:v>20075.480000000003</c:v>
                </c:pt>
              </c:numCache>
            </c:numRef>
          </c:val>
          <c:extLst>
            <c:ext xmlns:c16="http://schemas.microsoft.com/office/drawing/2014/chart" uri="{C3380CC4-5D6E-409C-BE32-E72D297353CC}">
              <c16:uniqueId val="{00000000-CBEC-4BD4-BCFE-BD904014C260}"/>
            </c:ext>
          </c:extLst>
        </c:ser>
        <c:dLbls>
          <c:dLblPos val="inEnd"/>
          <c:showLegendKey val="0"/>
          <c:showVal val="1"/>
          <c:showCatName val="0"/>
          <c:showSerName val="0"/>
          <c:showPercent val="0"/>
          <c:showBubbleSize val="0"/>
        </c:dLbls>
        <c:gapWidth val="65"/>
        <c:axId val="948709487"/>
        <c:axId val="948706607"/>
      </c:barChart>
      <c:catAx>
        <c:axId val="9487094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8706607"/>
        <c:crosses val="autoZero"/>
        <c:auto val="1"/>
        <c:lblAlgn val="ctr"/>
        <c:lblOffset val="100"/>
        <c:noMultiLvlLbl val="0"/>
      </c:catAx>
      <c:valAx>
        <c:axId val="94870660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87094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[One month sales report project.xlsx]PIVOT T. sales!PivotTable12</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Sales Rep.</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 sales'!$G$17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 sales'!$F$18:$F$23</c:f>
              <c:strCache>
                <c:ptCount val="5"/>
                <c:pt idx="0">
                  <c:v>Bob</c:v>
                </c:pt>
                <c:pt idx="1">
                  <c:v>John</c:v>
                </c:pt>
                <c:pt idx="2">
                  <c:v>Laura</c:v>
                </c:pt>
                <c:pt idx="3">
                  <c:v>Mark</c:v>
                </c:pt>
                <c:pt idx="4">
                  <c:v>Stacey</c:v>
                </c:pt>
              </c:strCache>
            </c:strRef>
          </c:cat>
          <c:val>
            <c:numRef>
              <c:f>'PIVOT T. sales'!$G$18:$G$23</c:f>
              <c:numCache>
                <c:formatCode>"₹"\ #,##0.00</c:formatCode>
                <c:ptCount val="5"/>
                <c:pt idx="0">
                  <c:v>306530</c:v>
                </c:pt>
                <c:pt idx="1">
                  <c:v>319900</c:v>
                </c:pt>
                <c:pt idx="2">
                  <c:v>307656</c:v>
                </c:pt>
                <c:pt idx="3">
                  <c:v>321258</c:v>
                </c:pt>
                <c:pt idx="4">
                  <c:v>329482</c:v>
                </c:pt>
              </c:numCache>
            </c:numRef>
          </c:val>
          <c:extLst>
            <c:ext xmlns:c16="http://schemas.microsoft.com/office/drawing/2014/chart" uri="{C3380CC4-5D6E-409C-BE32-E72D297353CC}">
              <c16:uniqueId val="{00000000-0BE3-43DC-8117-8AB02BDEF42A}"/>
            </c:ext>
          </c:extLst>
        </c:ser>
        <c:dLbls>
          <c:dLblPos val="ctr"/>
          <c:showLegendKey val="0"/>
          <c:showVal val="1"/>
          <c:showCatName val="0"/>
          <c:showSerName val="0"/>
          <c:showPercent val="0"/>
          <c:showBubbleSize val="0"/>
        </c:dLbls>
        <c:gapWidth val="150"/>
        <c:overlap val="100"/>
        <c:axId val="803870239"/>
        <c:axId val="803871199"/>
      </c:barChart>
      <c:catAx>
        <c:axId val="803870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1199"/>
        <c:crosses val="autoZero"/>
        <c:auto val="1"/>
        <c:lblAlgn val="ctr"/>
        <c:lblOffset val="100"/>
        <c:noMultiLvlLbl val="0"/>
      </c:catAx>
      <c:valAx>
        <c:axId val="80387119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387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orders by State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 lastClr="FFFFFF">
                  <a:lumMod val="95000"/>
                </a:sysClr>
              </a:solidFill>
              <a:latin typeface="Calibri" panose="020F0502020204030204"/>
            </a:rPr>
            <a:t>Total orders by State</a:t>
          </a:r>
        </a:p>
      </cx:txPr>
    </cx:title>
    <cx:plotArea>
      <cx:plotAreaRegion>
        <cx:series layoutId="regionMap" uniqueId="{B82FE2E2-45F3-4332-B3E0-3E5C802BF365}">
          <cx:dataId val="0"/>
          <cx:layoutPr>
            <cx:geography cultureLanguage="en-US" cultureRegion="IN" attribution="Powered by Bing">
              <cx:geoCache provider="{E9337A44-BEBE-4D9F-B70C-5C5E7DAFC167}">
                <cx:binary>1Htrc564su5fmcrnQ0YIdGHXnlV1xHvxLbZjO07iL5RjO0IgELoAgl+/25NkVuLlZGan5lSdSaWS
4gUJSY+6++mnxX/fxf+60w+37pfY6d7/11387UUdwvBfv/7q7+qH7ta/7NSdM958DC/vTPer+fhR
3T38eu9uZ9XLXzFK81/v6lsXHuKLf/039CYfzIm5uw3K9K/HB7dcPPhRB/+De8/e+uX2vlP9Rvng
1F1If3vx9sGHX8RDL2/1i18e+qDCcrUMD7+9+ObBF7/8+rS7/3j1LxpGF8Z7aIuzl5zkKUGMvfhF
m15+/p2zlwXDtMiz4tMf8uWdp7cdtPuLg/l9KLf39+7Be5jQ7/8/afzN6OGeePHLnRn78LhwEtbw
txeH/b26ffGL8qb8dKM0j0M/PP19rr9+u+T/+u8nP8Dsn/zyFSpPl+rPbv0HKEIB9F+W5m+Ag7yk
rOAkJRn6/U/6LSpwGxWU5gX+8s5PcPzpMJ4H4nOzJxCIi38UBJsHXasvy/E3QMBf0jzLCkTpcxAw
9jJNSc4Ao0+GQb+8+hMSfzqa55H43OwJEpuTfxQSxw/uVoOl/l3OKUUv87zgjLH8GzNg9GWOOKZ5
+hmiJ9bw5+N4HoQv7Z6gcPzPQmFv/k4IyMuMZjgrMP8cCL5FIn+JCIQJivGzYeJPxvI8DL83eoLB
/v/+oyzhCKJCW9/293+fMUCkpoSmuOCfQzL/BglOXhIwiAzTz0CByXyyw09+6S+N6Hk8vmr6BJWj
g38UKvuxuXW34cvC/A2xAr+kBaYpy/GzsSJ9SQqGKASMZ2PFXxjP84j80fAJHvujfxQeB7duue3/
Rm+Fi5dpwdMiB7b6FZmFeJHlCOco559gehKz/8I4nsfhj4ZPcDj4ZzGo41vX34bb9m9EIs1fshTl
OP+OZdCXKRBdoLmfnVn2xSg/eau/NKLnMfmq6RNUjv9ZMeTVLQSRW18H93fiUrzMCUY8I8WzHgtw
QbzIcP452j9J+/7imJ5H5pvGT7B59c+KJK8eZA1Ud/kbkcEQwDNIxTP2JeX+xocV6UvMGOUQTv4g
Yl/H9780ou/g8u/JPEXln8V834QAOs65u71/8PUXh/I3RHn6ssAZcK/0k8mg9BtkOALmRTOCvxCz
J77sL4/qeXSeNH+C0Jvz/68j/vNKztf54TdP/G/FK/wSlp2kQMCedWbFY+5Cc5Y/T78+60rfH83z
gHxu9s3A/x+LVN8XsP7Q9jYQwLe/i4JfaVg/vvv79ECtfNL0R+n7p7U6vP/tRVqAL/oKr8dOvkk4
Xt3e18vtU2v8qunDrQ+/veAYBEieU2ALGIEMycG4ZlA6f3vBILdMH2WwnHPMUwyhqDcu1CBa0pcc
GhS8yHNUpKyAgXgz/n4rfYkYhWSUUpYRsEj+hyh7bvQiTf/Hmny+/qUfu3Oj+uBhUvixq+HTg49D
ZTlNQQhKIb8llOUIvADcv7u9AOn38fn/o9KkiGu7+l3UY51vkJP1PvWuPkuSBl3XJKRvuZVcl25l
+kRly5we8X4Ih3xWzWWfY3Xm7CStsPOS3xPVFldrH4phXxmJ6UnVj2N9LaWpFpEkhl9PVYMFHjDe
xCRDwiN9YfMsvmHEkDLU43Q29Oh6bVxMxNDPV4oM3ZVc+/5+JCw7c6hrDnA+8CO6rvWhk9143rVR
e5ExEk3pdeiG0tbJWga8hH1NFo/KPvTrMUfpjEo38uV1MVbTIhpFtTnCzl70kXbrxVR4kx3Seu0u
B8TXadMoN112qemKozWf00UUSOdU8BzX0yGWerIim6rhPkn4uIjF9pUWWYdkOBljXxRHUwUhb7vM
OXavl6Ud7nOXG7WXRWyn6ySVxb1Z1/hhTWeTHmBX2G4bWNaWspkTulNF4fQmoS3uzghn/Xy0JmT6
GCoWzGmsO3uj8ZheGYo7kbmKv8b5QvZz0xzWNMuSoyGpB7Q3mtMPi1P5dJjRYXHCVs5KoWuKVlHH
Id/QyZld2shclVWat7UoFnSVe6PejzqX96NN3F1Enp12TC1s67kN26qeZV6SbpiPWYrDvpfVzEVL
XLeHVcnTMhBdC+3tVAirhvWATO1cyjTIk0wnXXuzwua4aJoucSKgHh0ljrfCJBqXYZWFFkO11CJF
mVTlMHZOaEnrzZj1VJC8xXjf9DM7SoZGnuR9ezd2sFtib1u5UZ0Zy1XJ5pL7IIVf1lYgDfMeeUXL
JlnTupR5NLfIxEp4NWYfpe7429x1sMlT5Nvsph4YFWrQU8nG+CFLDRKFnJKDJhK5KfpU7VGzhnoT
ukId09BdDFmjouhdfULIQl4zRor3zmn1Ss7K061e1npvA+N3rsO0KVuU6HeTi+MoEkxiEFTJKEvI
wjslRtTXbakbHXmJat0MR77Pkj3jq41i0dKfzNWkNk3fX/BmRltl0tzu8yZgMWTFlc7z6b3LWV+i
YYL9Xsyc1OU0+ZbvuKl4doCqbr0lXT3Wb0dkalWqWDMt+po2SMQ0medDxEI9iXlcM16aDqn+MMVc
STEUU/3Ozypa0aUymJ3J2BRP7CKTYlO3s51L0DWzepe3FNuyTub0zDuVMjFQR99nK3NJFFyypNpX
3Zi/zbPcJqck97XbKaLqcRdTnJJNPnm8lC2dM7Kbl7igTRMBaIFRT1qwdSz7eJpbJsdX1cTnpkxt
g7pLVcBTFzWf20ksrErntwF2FxeI6TbuKplwU6q5RkPZL8UKu2ydzUGoVbhCjSaHnBTSXrbeLHyr
klA0D/O0DCeTNh4Mmwy0F8ua6msHA8Vlbpr2Qc+hcNusqtwghtYmaCMJ0x420tqPwvPE6bIf02ra
dKv+6IrGlh3NZrmtmqH1h7Az4ygGhZlIC5e/dpPqT/uekHuaxB4f5AUr1NGYE/chK7RLRFe3dlPV
JE5CwS1wEhG/6UE4e2PzbkUCtWm+020uDwgarCxrPrCSEWVVuaYFwZuKdM0k2nqtgwAHyXw5NqOF
ypTX3SZVQ5XAzcx0Qse2d6Lp3fx+mnr+ampJ/9awZunETObldJxxe9S7rIjCDUPcgh+SySb6Yj6g
aZhfTYUtzquEa1Xypi52TULjaxLHpczrHl90U1/n5RxII8u2l+awsrjwYtAxPUztoo5DmGNJEmev
0h5nb7tA513qskWsfUEPRzXLIDoIkd02Jgh9iHLSZZbg2GylSuS6lXwd92gZi5PBhKTsE5+1ojXd
KOq8H86SYMZblMV4o+Y0v/Z12h7ScWp2yE3VBURLxfc2Zf7KpE38YIPK73GRzlez6+bdRPrLAtxS
FLNlhd/Wk7lsxjw2wq/1cGRtC56Xp0wepJ3NNp2fyH7q+0aVJA9TVpKmUPWO62l1wmv6XrIeYB19
749buvCPxWRG0SuTl6gq0EETQnfDWJfIjSEIzwcIj9lWT5pvNNbmoOsms3WumU+Jt5kR1oS02S0p
TDggmT4MRiUnY9VkdYl7mQ4nS5etw8a71byxetZMVLGD2NVPQ3445ON03La1DBvDeE7EgoK6IUmS
v57GJXvV2LY4612LW5FSfgeh2Z2shfTvm4lksDdiHI6G2MrjLu0aGMsCjopk0V10CsN1yKfiDMYS
brq5QNdt6uksxtmsF5jZ+lCRZQibirKdZ80D5Vi/oWxttnPVqXAK6PXv0YrWTSQh2TcukL3BebNR
Zrif2Lqe18XKT4G5RC2Kvnu3pNqVtkhUfdibvBZ9OrptW5gJ7I3FbJMiRV+jIUW16MZieZ2OyTpc
9l4nRzg37ganPWwwmY+rEpWxHd/Mzkyz4NSHD9RO+Y3nw/Q66oJmh6Tu23dmllKeLXnQYIxN3n8w
sw93VaanXvhoXHLkfbU0sKpN0ewmObHLIl98D/5Fs6OBh6QWFTHw71KThJfQGzgzlDA2bRzQvJJg
CzfbKpDXeYNNSWYPnhnATa9j4vuwDYGvpoTW3WYAYmbFQKLaL+scPhJTGCvaCa5RVo8fyRymQz2T
4WSmjh2RRA2vW2OmVXi22HpD9NS80b3t97Xt/LGqK7RHtKJHhWPQUeqUftukWtdlQT0EmwUWx5es
nWCEUw03CwNc8MA1nW92w5Ktt7bom3xrY7bcqiWp7oKPLN96P/USLDa3tcBxqdvzNCHuGIC3jcDQ
vC9tN/SN6Jjvz2zL1wsgpvUmKom1yBWXw8aMeoXNmlRyj4vG3BTt2IG9Zf28i8mqUlG10yACscP7
3gQqS7WAatguhBznVVXdZuPot1PlRgcEL6mOpbEpEUNK2kMGQ9pK8JlL2XBk3gYu7d2KjF1EZhg5
VTWZElGMhl7UZoknzg/9lSlGGJtzhpwariZVzoPyh71dZbbFuTTn4PWXjXOsWA+A7JhBIFTJN1Wq
H/3ODG7S42IqaVeknXAVkKbNYpq+K7O42BuuGgg1PCnWM9dZkm+GMY63IRiyZXUDJw0627ZnmcIu
F2zu0raslxwhkWoWXwWXjnnpOVrfyDUUV4UdWl5CJrCeqqVGB72J/bSJLObvUEGm+rKNY3Fu8zrT
W3Aw/D4AtwwiRrRUOw+R+byXCzmqtamQUF3gB5nJklC2rE4WIWHNDpAqpj0JIfeCpI69VmuTMMH7
GV9SiDqbgcrxul6DuswWzM/nRQJvq4n1rzUOZNqhYiUeKEmCFmD2E12EmyS9nGihzppppUDyeLuc
kcy2d52M2YUdwFEf0MzIWqiE0C2ZSHIPHq/ZQXymO7zw5oEtcdgAFSJviliYdOdRQi/QONMbszZM
lUWdqZJa7FoxL6E4qqlh71s2recdcskHw7vmEi21U8fYh+64nxb2seBIDSer9KYSqyfdfZbHcL3O
cTnQq56O2UBatclZjZoSsanpd7R2y7JRPXihA2s7erDYJnlD5aKnrfaD36NAwnFXu6Jki0KotGTI
tukyurHssdZHqO3musz1tLxdeRW2pm6GBZ5llm3qTsVdm5rhJJiWtZtEKred4ZzMcZQeHabd+C6i
0IlKGrVZ1TLCQLC9qQx6TKbocBTrjB8qN4DnyWX+Ws0sbMmCpRRqmY1A4LxEltTXuE25yB2OAnbh
JLAvPhqWH3iaucMoK7m1POhdntRxz+fa7Cu1VA9VMvizHBvwf0uRNMJFyA6TkO9NF+r9DBQh3+A4
0VNZGHMee1If2mbwu3RJ+oPUz+2xlWy8m9swvGbJUvGymoAa6cjMVQ6xb0f57A9mXcgboDO+NEUN
qS+4Zj/CQJeVVRDB20awyVTHA5nUfijcKqIc/cmIJUTqZFo3s5rvIHsIh6nhrRYQidvt1M/hvrU9
mrfNrPmhbmp+01icyk1vaTiaYYOUSbK4Y2dxALLYNkeFb6fbldv7dUiAW+m8egynkI0NdV8d0sW5
oyXB6x5SILmb6hqyWrVk6FWhSL+tGclK2yeTcHLCO1VF+jp0aOGljdEdU9uGEzTUw+GSDLbZcOLQ
GVmJLHXS0JPMVFew7V/TXB5PcbzO1jk/z1nLBSd6LdO2HYRP50IAnFNZtLKBxG1t6ld1Evq2bJZR
X5ss1m+RpEUJ2ScdIcDaNxSFeKuGNp7TFWMlEA3Nq2Wl7IDiOT80FSmyPYo+B/fWxPU9xeisHbw7
a7scNAIfDsY0c8AAx76HPC0bb4B1VmXfEvLOL2b6MKz+VVdre+x1021sivQKLiaTH3BRoQ8S6EbJ
x2h2y7jwV0D01uPJFP600dN42dXw7oxbspGQKu+sltrCFk3IYbd2+NRQNl8FBtx88W3IxKiT8N5W
nByFFE/bvhtrEZbMf+C9kjtdsHhMimq+rCTRkOcEtJtzDtENzjPtsiSlb3lvi1b0g5TTZnLTirbA
Rs417Ea77SarB2HGtNvaxJJJmHbsQ4kxCxDCU1uXFLI2yIaTbLgJHZCnTZ2M00emq8CumIw8linu
e8hMAq7LANHk3uFkzspWd/GgWVV/E6UDeWLMsK4ES5pBnnfNgK4rNRmg3y3IRE2Gb3Cd0DPc6PTe
N4lJRZvrrhED4HA4Qnazo0xDIsHWqK5bG2ciEj5gdTkMvu8PorR8O0gahi3Xdn031QM5ZKAAHcbR
Y8gXYtafp63G9OBRILmVJEm3U7uyVuRTpFOZ5QFiWOhDcpn6BYkwT3kJ8WW4rDULt1grcAA+7Q4w
UTeuMfVx5n3ot3qU7QbNoLNAXqfTDa0MubJsCQe+XzP8SsYl9WXWu8Ztsccr2wfUZckui0kTBJ+7
nl83VmG0HyBqZsJX+pEyypN5HnZqdg0sRCjGVVQerV40U4E+DiiOp3zNq7codoyJesmqER5jzTvV
K3cECk5vdryxmQJJK+qjhDVZdzVXYb3sQzrRky7WwR+bOrZxs9ZLt1VzMpcLqBL7kLH3RWe7Ymsh
fdtDgTdj4JEUmsssJesrSDrdTdFDxNrNsyKilX4uITVLrgZe8ZOErr4ECpmJejTTDZiccqfg8ml+
bMeuOUurLL/TzcjfgjKDRALxCJj0QPZ9q4dTUgz2LndSgjEVMjuJdkx3aVHr+yYZkurA8kYVID+4
1ol0zSJoO0XnCDA+EAxENmAXSjrMJN04Ncyvmjbzj2nhKEGP0Na3gsch5Bvw6+MshkHOpMy8YehY
1yPphMojmLtv6oWICnUhO/CQiTW7ji1c7yc2oY1rSWBl7obxXVbZR6rsjYOY47W+akEOJGUFiuVZ
D+kL/No5cO51BxtTQJxu6ZElXX4rE58LN9Yylu28tMBwIEQtjCSDyOsuHs3FQD+0Oh3e0i7l71ba
91FIVyfnhutsKX2ec1/OmV92fAlAYZUe3SEwcb2b1qHVZbWMHtK73iJbDk0YuCA1lze5XYZ9T0d6
qque55B0dTzZBTayDVGc3FHQP5JNg3V7THPd9uDlMX/X+MS7fUpHe9xYmp13BGUHugtGwA7O9EWf
aHswV5l1Ze0g9yhxIYMGSGh/kjapxMLbDoyky9p82E6dcXZf4S6ZpJhD1Q2HTeGqcTt2abNvJ5ZH
Uekqvp8oJFgwE+6vx4WNrqRjLGDWjK6yxG1YB8GKBQS0qQWWPOo6veKM19M2D5wCT2hldkz9NHZC
kqm5xX5cQbdQMUl3i0xRUnZTHtxRwcb1bdOPkHTB9qR808rISCpyFOU7pYLfdz2mRyCIMLXredbv
Qa3V973t8Ku+WIpG6HbMRtF55uiZGmW4tgVp3toZTa0Yl4rCNFduaNkmzC+wxca0L2fYKkdhqdZe
BMftJMZJFledcpDNRwzuZ6Fp86Fa5gA6CMYWn4CfUFpIlA6wQVvSpYc8WtfvJS+m7HjupnHdqCay
O0dG90ZTXEMypjrY1C0GSU+owJZS1hS0R8gFknbbjs40wpg0k7eRKXYcsQOtVBUNP22iGjzwCWfB
YTfSatGB/183bZ9LtCF9WFmp+xQEG1qPFm0mNQ2nTafjDCJtG9/Tqqk2K7Pje7Akh08cQuNeDtKP
JwPCEwG+DNXYTZJ5eV+lqql3EY8NkL2qT2wJYQn8Suyj7t402ZQfrYVZsUBjsLScIUzmIqHFvM9p
O2wT7IkR04CWk6VPRvWYRSayHFy0crtqo5strtX6GtuqHfYcmJGDlKnwG4vA5reTyqtXc0yquXSh
WbcWNWgWc9uB/NWiIuQCvGo2Cd7FXWJmNJ4sM+ltmViIMqVeBtDRlEMgJnlGwQ+sdcFP/RqA3WuI
bJCC0aXfVE1jIDnPtKN7wyUFejpLEIsWAwOWSfTVKz/2pNrpLv04tQm/cJyloDw2lIo8MSFuUN2E
FsxYD1okenD91oPblIIGm7yWkGrwa6zWZSvppCCBaYKF4JJOyQ7S+lx9zPN+udFAyMi2UVhdgIqb
97DGxG7qmamLVvPlgHEoIOzqNrLrQY3D8bpM8rrpamDSPR+ac231uyHJqq1RjLWHDQSRbTXiIKQN
U7UZY9XfQkEnuTdqWK4aXYzJpjYRATUFt7scawiFTkSuu1PIISM/sPOjlt1OxR2QOfcBNbx7s6Lo
VGmG2W8hWauPkhSKTWUwjzMK1ZiJjFIMTlXnD2li5x2oFtkugqBwDJJOXjYZGc89WvC4STqTpWJl
83qQwca9CHYeLqo1ggU0bao2NZb40lkPPjusPFy1HKfxuLbjsFtBX5G7dWZTXXaJByUqHTxdd1U+
ZuqAw/ZtwIymDHRLVc/NKYgN7bJb13RaT4aMF/TAR5JBeaYOPBeqxelhWOrL2ua0BCVxuUWV2mZJ
bjYDanrB7arnOyjIWMgELH4HnCwSiG1NTS9bSE3EZFo+COWovHI45VfAReVaoqJmSYmgFJUAbbP2
LWXIfCwwMGeovIAOUHKPugfsG96WPGv0pqcRxH47KluuOGYi78DRA6N0tNt/fer/m5renYH6jJLA
GH6vbP5x+a8r08Hf3z8D+PePj59q/Pvq1ZdvPH741P7BPJ5P8k8feqzP/tEXvP1zvfaxJvrNxfZp
gfY7JdhPn4x85+Y39dlvqtBfjjz8XmRN4RjCH5+C/Ed19pva9x/PfyrJFuxlnqZQPiVZDsGtoMWX
kizlcL4ODr5zBMeHOEYZFGs/12QzBoVXRklB4YBKlpECzp9+rsnSl4wi+JCEM8zgyHYBHy98mdo3
+EEp+pmaLPTzVUE2wSnU8xkhBZSDvy7E+ipCLFWwo+t0U5AzP8FZyD/m/7/o9/F9XxV4C6wm6iEF
2QZwarVY12V5W2MaP3198unjk/9F94DK1903LGmXOfZsWzvr3MVMVySvZFzNxx8P/7EO/e869b+X
BY7Cf91/0a0tH9uKbsHc/Pp6SLsCiTprgDqgHHVY5JkN1e7HL/seBgD/1y/zgH0zy55uo894JjjU
H50wC+U3P+7/26L7vyeDvu2fFRYNTbHQ7ZgO+as0nfPucoZISE8WHvq4T9hKnegWO8ABzJ8An8NO
/3pCA4ciILA3up0e09cjU4/VCMLiWKvtj1/w2NEz8HA4tP31C7haZxTGjGzn1rP5iEKGhEuobGEo
hbZ1g1+lYzu2pfW2Xxgk+Hlqd1DgnBycl/vRBNPHpXtuAI9L/dX2HlgHLM0vZDtC1g2OGPM9y9KP
Q5vZuRVWzlMH7JAlJyDMp+12xMbwHtIhjjs4HPajIXxn0/AnJyi0XLpJkxmWgGNIc5z5yMis/mR+
3+v8iVcwYKkz5B5kuyyevUNmMaKaxubs54b+xDdoyPKoz4CrtJlSDwg+EjzpE9WO5c91/8Q3mAQq
C7YmZKsDm67T2eYiViv7Oc/Dn3gGp+dmGLAl22CSdd2imExuQwdj2E8O/4k3wFGmfNENeAOTj025
UBpzYS2Y0ubn1ueJO8ANqJjGD8m+N5C4n3sFh2WvuxCSP/Gd39k87In1g8A/ohkIzn41IDstMofT
FlG13v3JAj1uwmdsjz0x/sKAdDTipdqbhK/dbnbpAIr1vADns6rOi598zRMTz3I4tjAPCSg6AUjw
QU9Nj7Zrn+q4HRRUiX/O1NgTO7ZmslUWO74fcLtetW6pz3pGi6sfY/29tXpiyHMbOSS0pNjjJCqQ
9R3LTmS+GPu2JbyNf7JU30P88fevvCGID1DJYQPfO50vhwmcCDgrZOq0+PEkvtd99m33BjR7BItD
9yOzoJ+Dopu/p6sZtj/X/ROLHicGFWc4rrafNCAQtOy2+Ziw4SdH/8SeR5X1i14avs/91AIGC4dT
Q5DCqPUnX/DEntsiIbaIsPpQsrP9IdQO+3nrGrbO5z+1QI/E9Wt4GQY1Ok0i3Re+VteMe38OJVAo
Q/64+8ed/ow90yf23BXTTJpRsn0HJ7eqC9Z1FioFdi3QEZSlC/Yazh9m9PDHL/vOXqJPrJotcHQE
IcL2A0jC6iCAyliIGipZ6OfsmT6x56gWqMNgx/atl3CuwXd44gJOabg/i82Py/Lccj0x6UU2EnUz
7CdbgT6xaWTG2Pn/cPYdS3bbXLdPxCoSkZzyBHaQWtkKE5Yk2wwgSDCAAU//r+O6Azc+yX0LU8uF
gwaxN4C9V9CRW8VDhYKbuuwVOfovQJfRb7avtv6FlfvdnUd4Ud6hnSYHtyHvdmlnHupoLiVu9irD
tS5dtpYteY8iy3pCVcToq9pdJc+CbXT4sMaLsIEL7GUDlNwimSpAubSM7JmiM1iksqMvbMbkFpa/
Wl7yfLPzddmbkYxZQWM3DRcHEBU6j6Vz3Z3JqDzeVLMe/jYR2/Qdc2nPn3ZKSf+ayDRtv6SKcP7C
VH63Vb3EkfYtN8PWsMLIcqYn4bK/zL5vY1jSFl7a6CYqkmNvZTFFZiuqJWEoQNK0+jMo0LiXNCwK
xGkLeCcKg3v6leMofUKfW4flbO7ljJFWfRtFMit4h5fMySapdrltpmN+YZf9Jsq4lyfmZjw42ae0
WI6tJPcpmyagvUyCiKtJHQ/ASVmjc+KEqX4a7WYS9ll8ZDTd+g6bCJVEkQKrmJuRoMdxWBYFHhfc
yx+OOTVa4G4uduTJRaAIeHZiiM5hn91LEgLAsb4dd1fMqJUXrkclTUymfSEH/SYkuBf7QJXX0Y6j
oWhJo08EeLNzeQwkcFN5oY9Xz5AmzeAKgndjHtfJ575iL91afzd1L5oTYXq2d5UrKnQPX9ujj3EX
GOukDdw3XjjXrV0MndDhi0qd3ZN1V+eSpqwI+qzMi2ZqVm4WdesflgT4SSrnfNZJEzZ35kVz2hOX
rhKfNbo1mRW16DwoycLyKPNCuY2jKd7K2QHg1HTXOeur08qZu/73ytzC5hfnBfPO+77kNQrD0VZs
Ef8Lz061XtmiTF8s6GUF/gVeyFK0JvtWlVtBEbjvM1TLLwmgHWHPceaF7NLjKrQ5sRUD4+I+zbg9
t0cfmG6YF7LJorsydS0aRHPHHptOy9foWQdO3YtYHNSlUgldinFoy+Q0cbQOJNre9fm/P+5vgpZ5
QcvLalaRQ5nH9M3+oJYbx6Isu8Cg8kIW9dFoTWy7XCdbbfMHusVp94ZPqajD9g31ohZdkHUEamfH
ldC6kzL865Ed/Qsb/zdrQ72g5YB2gGJUrpcRzdmcAtqUj1lmA6fuBS01LSNlm65Y+ejrRHC/67O9
DPus1ItZZdwURbP4f1NnaMDmfAW0KGjTUD9aeVratE7WSwaocX5r7+Zz+MLcPse/3toqXk3ZzRh9
b7P6ZFNlc3TM2sC5e9FaM54OYJRhdEb+GhvWXaumCqxsUeJNHVJhoHNg8MxZMHZkNuHlJfawu8Gt
ifLvhdmBbCm7Q60XvpQbGCUrQVevXMKOKOrFqq4N6Qca20u/oqu/1c1ftnVJ2KoTL05nNy1mqDd7
0apmuWD8awQmSuDgXpzGJQd9AXi6ixzj/jzvzXdgJebAwb0wHedsb3ETtpdWZHUuWoAY7ARaSVAk
ES9OJW2BG40yTD2zyesZ7ZG3pay6sBbVjQn5bMNYRnqGkQsHfNEMgkcq+DlaIoBvwqbvhSoZ90xb
U63FwTSAl4DY8cJsZPkZNrwXq0lTkmnYNU7Wcu4esnZOzrNqj0vY6OT56tipNBTwalssGf2WtOTd
zOi7sKH9SJ2PVh9HtBRNHT0hPX49CJhgYWN7cZo1jZZJL5ei3er0bGv+cVDlEPZBEy9OezVHU5Za
W0TN0oAsJ19JMsZhM0+8OEVbeDPznkaXvtv/bI7kM+H6MWhREi9KU7CWIpzXR4Fh5yV3ZK6BWJtp
FZZ6Ey9O14rbWrFpKaCxEH9hC/IAOI4uCbtpJF6g2rEjcVcOtgC4zJ2HXf6owRgLXHYvSMu0GeXa
TLbgx3SctDaYunqp83ob5BePgxt44N8pJgNFrjGRXgowsLPX6Vwlr7uoNJ/DPqsXomQhy7RMDbZj
XdagAG9fZNoEflIvRh0bsraslS0mvtI8Sfev3Zi+DZu3F6NsY/vWUIwdtfNHZo/XYGK+Dho69iJ0
2MqyWmi1XOIyAhC+LV81Lg6sD8RehCaJMdJFJLpATfKNPuTXdDq6sNQSeyEa1binTwBnF13dvxuq
4VrqOiyTx150MrMddEcB/zK49W7ayCPjYSdo7AWmOfgiBoO3ndDVq3TYCwCXwtqssReWTbfstbWY
tAFmbLWnVv4RtkO8kOyydjJO4SOyWv2Y9uxd6kRYnoq9eLTjqvZjE0txzG3y0R0LCOOWzuewiXsR
SftyB5UzW4o5ApSA9OouK7MvYWN7Eam6ZuaQkoguvMHtNorFd5ZBJiFkcEggPU+C2Njj2IHbXdSN
2HM+s+icZXINChzoWj4fPZ1XuTAQ4YBn/zAN5xRV7LBpexFZV4DzjTXEHGwKMAfg2CZPRvExbHAv
Jjf0u46jL+dLUhsQhdDbH2m7BO0U5mO6JmtjFXUYPO34W2rNz4YBSB02cS8uoRF3xGMK8vGk6VuO
sXe7ho7thWayNZLSPUHZmND4lU2r9mFkuwhcFS8665mtHe6z2CjcidzFoJiKOuiCxTIvNvfMsk1l
iHwwTBcQ7FgphjMAu0kTlFpY5gWo2TQr0atZioqZ79G2fkbz4VPQF/XBWiul8SQo1sXaip9Hq8C0
SIkMukegIPQ8PKd6lahH75j4vr+1Q/ywA/0athdTL0JbLWMQGukM3Dd93QFweIHoLQlbcR9fZasJ
mEu7LkVsuncs6k7tVAddUljqHZsTj/qjonougKYmJ9Bkp1PC2r/DPqcXoAc6CnOqQWxYbwz/eX9o
JP8QNrQXn/u0lABRR1MBfvuWd4Mcrz2oXkHXFOYDqwa+9dkKrFCBFpI79254kqDABG4VL0CtIbOq
k20qwCbUXT7bKXqM1vh4H7YyXnhuEUVWZBZfdD3+nHGD2+f0R9DQPppqwcFTGzHMhRLV+92Y+1jr
sH3oA6nWMlWi7dhUuHWsL+tWkXPU9T/D5u0FZwP+2jztai6y2pwUO540GI7/PfQtTv73VcV8yNQW
oR68GjkVtV65zScp2tejMJDFaAmEPv77R27x8qsf8YKUq37v1cCnomvot65mnyOjPoYN7YXoDsRj
J2Q5If7X+W6dpyRPVhbWqmPSi9KK1LyZKMHEWfJZr1EPion5I2zm5Hk2r3dQ9qe4ngtOGrZdHLUH
A3mkq9U57Ae8OGV1VaU27bAl9+hdo8nHZgx7izPpxWjX8BEPZgxdHtm7JW7elFQEtaGYD5ACuabU
43pMBS01KaKULO8SaDAFIX2Zj48i4CWCIo6dWMYOel/g11EWiE6DYNzzL6r3Mlp26CAVUGGBdMgq
r+NWhVWHwXp4PvgyMWsZBIQKpMfH9SCPHd/DYkh44ZltVWfbsZoKWVY9aMPHYwZ9pLDTwkc6Zdgl
8U4UaJHD+pYmIxhuS+C8veicGnQnxBaNxSzSz00yvevUGPSIY8ILznJnWlWmnQqBlckzgNAhg6PT
sHwovMhcaDtGLehL6NvU42ki6p2Nsk9BUe9DkeIY76yex2NRNRSkcMjyrBcLUYywhfGhSC34ym5t
D8RNdmjw9oV43zWxC/uiPhRpbbkogbUbC5dN5JTM7AknaVj3nPkwJBv16QCBQWyXIWMxWP7poeY6
BytUvXCYsl+fcz7eCFjgOKsgYldUFaiCpx7Fs6IswSW+BH1bH250KGvTSZcgZ0azGk/rZvTfNpNb
4KOR3/6uf/VDE01itmWRKSYQGc+6Em2OFeJhrwAfcCTlvqfxGpvCgnN7igVA7OD/BeZH7kXs0gGB
N9PeFDOT0BVLHFGQBtr7KiyPcS9mdzAKJ7BfTQFplgEcYf1p75KwM4/7xykZNh1Ji3UHefQOcpfz
deuG+i5o1/h4o5Wu9DDdZoq25O5zPJTVHcxjjApbGB9wRJEnOXjYpsj6cpyv0qaU5bwcxBj4A96x
imacGnqzYuXpvN1PU/qpHruw2jzzIUdSaQKM8WQKyZYPTTW/gxDNh7B1947VCpx02nXVWMg++9YP
WwLZOvYStvY3qcYHGo0omaeR1aagU5t+k2gq3Fml18At452sSxzth6N8KBCpGbQtIZMaHZEMS2PM
C9XpiNCj7zA6Xw8LMSnzoPqXUEz/XEF/8dbwYUZjswNel5KhWIWqStB2+xbJRjY7RFl1Vqk7bY7t
g9Vzd09nGoliqeuRfwTFTY5vUf+bpw+ZhIKTQl9yuGvB4xe57BoU46t9TMF4d6wdp0/bSCJ7iqEY
q74PdQ0uvsDFkpwTjlr7Rd60vM5dgirZSaBLvd9DgzVtCyL3mt2XQwtxMAjXSf4lArL3uCa0neWZ
yh1jbl2zuGs1ZvUMth1x9qoJ2d15XjWFQIxkrHy7MBG1P+aEj2OROoiMFRMkltTZLA6s9Xjl6amX
BJJh4oDA5l2VDFX2SqQ9eGHx6MgHWOls+UrEdA9Fs8kV8ZClx3XT3coge8MqflnlxlDC7mpou1Sd
0eDhr1l2nNKpgciJHpopedz6ss3uO5osrIB+V7VBq02t985F+mnq15idWbxCia4tp9J96JJ2kGG3
EOYlTL0zK6AlMRSC1wOqPlEOpacsLN/4SC/KygMXyc4UtdB/lUx9KGUTNm8f57WiE7N3BPPmtizm
rHsoeRJWHKReluQrkCmQazSQzoOeZxlBxijrkiFwTbzXxxRXVCg07YqKtG2+q/Fv0U5hlz4f49WC
3rr2oOMX9rDmCWyw5m6giw5LZdS709SiiS1kSeaimhR7xXB/BfLfLl+Dcjz1EuWkq3VdzToUKoX6
HfRJHIr5fboELruXKcceWiQDND2KDEXlnJP2Ve0ghRM2d+9GEyOEOUvNUByDKfV5iLe22Me4CXzl
+DCvpG8SF1HsSFFpvl8IlIQcRK04dFKD/gAf6rXocSuhYjgUaFT9vRkG9cs5jNHBSPr8KmzsNq3j
IYeihnQEpE1muUOcNmvJ32Fz98J15aOjqyWm6EYojOVyGCl67CkhYVgM5uO9NtN3CYR5cEGAPWhu
5dZemqYJvCD4eC8jt7J1FY5w9GimExBl4mSiLS7CFseL2S0GVZo3/QBWLbQRBV05BLbHCbrbYeN7
UTu3fQUg04A03Fv5UPc0/oY37RFWCiZe0Mpdjw56wXilHeV+X7LSFjJeZOCm96KW0M5mze10ahtd
neYN2oMWYnNhCYd4B2syJTuE79OhiI6e/lUDbf6X01aHIT+ZD/rihPYtFGVMwYVco3uV9Qn0kbeN
v9A7/A2vjvnAL3Bby1J0aV+4DqKEH42CcN6plD0x520eoo8gnD1FUda1Z9ziVHaqMjxGr3XE+RD2
9X18GEjBIrZQ9S02yO+mp0i3EKDQdW+6sGe0DxATMYXy4XjLTOWSlI8aQvmyOMZjicOiw4eIudhO
oNeSvqA0aVS+b+3G8lZB9TlskyVeeIvZQeyN4AcOC73B2tnPQO//DAptHyUG7wiox1nXF9B9mk97
Rf92Cw+duBfZ1eiSeVZSF7jbXjuIpxMyh5UA/qFQ/qv0oqMorjYoiBRQ154hgAbJKRBJ3octihfV
S91NVbKtfVHaKb1YqDnlGoLyYfvFx4lBE2vooYvUFw0cP37odqM/pwjHTdDcfaDYDAHugfWJLnDX
eoJu72M3Vt/ChvbO4GpHn1FMQ1/MO6kfoDOe5rB73sIOMR8qtinoz6+K6oKqdKjyNk3Hh1ravg5c
dq+8wLJ9oKKPdSF530IhPb1TLDnCQtSHjEEruKrKrOmLjNXbq3nS7CSXdn333wt/m+Iv3ugxfX65
yjZ1rFuC871zbMSVP56r7NLFyTBcBF51fdgdy8eQpYcoU0GroYgtXQy0qJf2FlpxNoSdxTfXrX/X
S3XU3OxRGuxNTj7YJX5fJWXgtvdCFkoWSwonnwGUX87PzYRSvoMcYtDnhZvb84n32IyRAirwksip
fL9Cb/hDX/MwNtPN4OjZsnTQwbYxmbtbDk7fGVg8FEvD06BFp//YIf0rUxpUF+B/0ndohqMqMYzp
u4hVTeDCeO9ceyw9ZIibDggBSDidQD4cv7oObgOB43tBC0GasjTL1BVukj9QO3qtZf35v4Pqdnr+
b1DRm7rZvzcjW2N0q8EQBGl1KNt8nO3610bHMOkNmnkx2+D51tflbdkhXouC45zea8Ft0HaHl/Pz
yQ+ktbubMPmyqlF2SojJIakSdkJRH1KWCScPPqP+lmxLcpz7BniEE+x32jWo+ALVi+fTT9ethLdB
3RUJRCzPaRXH0J9Ny/dBX9ZHlR2iQYVrG6NzlVT78NDGSfxEiOH2hdn/U2n5xdbxgWWCUbILYbF1
BLR934xJ0tu7Rq3jdMVDzJIrtPQEdEB5tw+vbhrtkG6U7ai/koSyqxXE3UsWQQk4c5CdRNExgnOB
7vlOYGIAJ5iTq+rS/YCDWGOvPYyEhpPl7f6TasYeV8juPhwN5DQhzQxVVAcNjDqPdcPcxxoC0+07
ddOp+Ng3qZnPeLAxh3+dthPk92311Bo4hZ3xf8/Na0rKYf0Ztuje5QC4xpHcCMmXqkzapzVT2SvS
kCrsgKU+JG6IFB9QHVUF2eO/4LT0Lkuqt2Ez93IM3pqHjsSmCuqAs+0Iu4c6/0tCGrdE+Kut4mUZ
ayNduXlXxWig1XE/zZDjPGcHUA/nDS+E6h5O7F0dVF2DXt/zsEogDyzYylUBRWtxYWrrrs501aew
dfJyTn2UN+F6qooVvjLnqHSfl5a8tE63xf7VOnlXgySuGqsmqwrR2eYDUNXsTQoV6+97m0QvVDZ/
9xNe0oGvkKyIGdVl3qkS53oZp7HJ1wnF9vtmA6PthUf1bz65j5oDPKGyq+jg7tIsSl0t3xOgw6Lu
0miXkhMQ3WFVJeqD6KoatZNy6rBoPYkAdBOfkYgCDzDpBXQEwREUAnpVJGjHLXS7LjR5IUH/5kv4
IDpJgeV04OBCEXuUy33Wzfw6pBn6/gKeVnEQugBmiM+jgWNs0TQygkwHhATBda++ZKMMo7ZS6QX2
fGRjAz+dtpCSL1dgrtO8rOG0FxRrPpBubVCKpDapi4al7GrWQ5/TrAl6x1HpBXIsDAyM4LJwTtbm
IS6h1TuIwDX3whjWHd08LBjaOXYps/EKC6yg9yH1MXQHVNeaOVPlWTXkEYr2j6MIq+JRH0MHWOFN
CLcpz6bdxocW7gtFxOmHoE/pQ+hKLuv1oHALVEk1X4yBPdGRdewaNroXpXGmppLHUVPIZjaPQL1+
HitYFIUNfstw/3o6VEJW0UpsU3QH6a42W/q7eOzCoKjUh9FFx45+ip6aomnb8WxqODzIab6ETd0L
z72NRxgVDBkcK6HMfyVk+2QmpcKKivAkfr4y9ZAtY8f67Nyv45PqBhizDWGHuA+lO+p9r3SFi1S3
QMIdLjHxyXX8hcx7+/N/ccz6SLoV6HwHhh+CaF6HHKixkxFQFA5bc++AdRDpmdfFNGAt6ePUVwaG
aeXUZ2GANAhSP1/0TB/gXCiegWh1U+1Pu3J6HHbVhPEgYaT4fHwr+rKXI9wD9AZDJPUOKIAXVuaf
Uu0v1t3H0jEBK8q4vxkNHxFdH2PYJ4BgVEE49COUkoai4ZmjuRxXzS8C1bXtNC6Kr5DjNOK4jjaL
x4szcLz4riUnawFX00YGVeD/xw95j0bYvZLl9lyaluq+oXFqL/Ws5v4ctC98GF4PrwuRJrU871Mt
kKCO1vanGu7s9GfYD3jBPi3KOrgSw+ljqM1Fp2w7m4wFVZqpD8PDlY1TQ7W9JDfdr42PYGozGYSv
hvX58y1n5MrmcsHgq4V2czezMR86Eobxoz4Gj9UWbHjb2wtpE3OiKmlzVCR+hC26F+2wDUjjmMJ7
bSW1ztMoAoFrZ3HY0eOD8CpgTWMWUTi7AVkDC4KpeuokXf4ImruPwWObMTQRcHWOMnQ9mHLVpTl4
2ML4ml/NtCUDGrHLBRqV5G2vd/UDztMy7BrkA/Acr7dxset86XsBgxBYauUbK8NUTyjz7sxdtlA4
IPP50sh9uvJygb54pMJ67NQH4dGNUNepZb7QTddAXC0fQa/eX8ixvznafLEvu42QzJLHfDlk4uCw
oib4fwTeVXwIHldWRHTEqjsNuZZtOf6OpzqMS0h9CB78V/VYwgjuUoE9c862uj4hH4c172Gq9TzF
ONAgYIeGi5U05MesKTziSBi9mvrQr1qjpDzAPvfSxBOctA0pL2UJGN1/R+lvnok++qtL1EjUQNOr
KDu+vq3hbqqvhyDddIVLFk7B//6Z32wcHwlWrrRkSYs/gpM0Oq8EBoL9bsOQYNTX+zI1zOsXgdGr
qm/OKWBgp2w4/gybuheuqkU6AJ5xupgd9peNhgvirMuwg89HgmWGwSWT8wlmdna96jolOQSMXdjJ
5yPB4McshJu26bLUrrsms/rkkpYHflLvWHW1Zm5Aredi0lqe4B7VngBJDYP9o6v/PKJ6eM4tMi3h
EKWj6dQ6+GZRc4QpN4EB/Xz0krFuSlph4HoIi0THdXdKIZN/DtoxPgbMJgdKzlOVXtu2dx9dbPY/
2rh/Sbf+N6Hko8BKum2wm4ZTIp8S8FFuFw4Dc/uwDE+8ty4cblCuPrIMlqoona/Rz6HrP4Yti/fS
VQlJSvhnyCt0vmALvjqgE5d6n7+EDe/FadINdHDxlF250T0AuO0u6lci6fo0LFbJ7YP866Vu5tTi
Fm+yazYneZuRhy4OvIkR76kLIa5xOQiG1gzH3w0P0YcBEqmP/IIZRFPWcsyu7iZ9pOBKf2J1ugVu
Fy9MW7iwLe4Y4Mmoyrt+Mm9jEaYmSH3YV8wBKqJas7MA/KHto1esb94FbZX/gXxBRqieYCp2JgK+
hQUzHXjX9abtp7DxvUdub5Kx7ewgr2xIdkios5k93Kh6L+kJ3oLxFy9dH8/VRMqwdCvFVZtovlvK
dYUlm4yr6gKeqizvK+22+vXiyv+Px/U/hLFf/agXvvIgZb+2Y4dn6771sI3tmo6Yi1KIuu5alzs8
jMdBw64m7+mIs31vYYUu74fOiFpf8bBulc47p9bjvi7hqP6d0g2wuz4GpFXltIWX/JbjkmPGV0ok
qXm9zuWWiPs9YnJU+eS6KoIVMM0aWuXTIg0uQoPAp8t5Ng7VdzPV2sL6UclG31OnIPd8PvCgl9X5
GNcNdsAHbfcPkJDb1ibnChY/kPk+mh020QnM7gSD/SGk4dVdYpSA9L1GzRIe1uAVdBYTnOXQfzJE
4yHTyjb9WxuN/zzZka1nAbgvrH6xQuq0rhtpCnfYXUy4I9O5/z6gaCttvk9JnGw5T0VVf+0bpjK4
ilsY/YDI6YZJw02yaY8vN5DenXH62PMeolFwzdyaOVFnCeJkeXFo2RAYJ5b7fCpT7LTstIrt4PpM
VsfjxySFfTnMB63T4IWNw3EHl4D+JIVZxes2tk16jhsKh99aihG3sFSn51RDADeH56IYe+A34Y9b
nZcM7315QoVkrwbMDNaLcCYkQoI3AkfrkklcG5FLhLYP+Fo3B9cpxc0uz5Ko07Dj7Mm3cdHivB0O
xpYW9ob0amBcr57cRFLxRz0SKZ/oUlL6ypV1aqtz58BRYddsswkUEZyQtnsNhkaK72WaxmByVeyy
yl5jqBrjNqbjwam7Q9B9+zGmuhmq07CiGAzv4DbNPia73OcDXpcMTmJVGt1kIDvb9VsEFosDaAsK
OtKu9nLgWw7DPeEopJF7ofoU9ptCZVeh6v40iH3TsEflR3RzsR6OdX6M7awu24Qc9SSGyrYf951U
fYrtMMATGjaG836CSTwjUImtj+6Md02dfk0X2g+P2e7w8Kt5bPcp38yCYn6epVwS3KCWhVJ6yjil
7btEpZO4QmBF7Y892RJUteMF2moObeZlrcDdio9ZLEByCoisxZ39QboInJkJNqzmg4TLaHquy5m3
P/D2SWFoC8jUsJ7nlg/zk7Lw3P4IeNaory3cUck5gzk7f3A8IupVUsPj9E94mg8WjJkpGtjTiKCt
L72pD3Jv4PY6fq4jncYE6U1VgudSs8w8xcuikh+sLcv0gPt7pqti29aVP8RTw4Yv7SYOfoLmfQw2
erXRJIO0Mxfdz3LZKlXlalTpD07FaD6DXe5gX900OLvA8xiO10D1zfAlJ0PEfg4tnLDvNTHHAePe
OElOpkYk/WwZtvldpYh7WjI4tccEpsNv0slKcYnTxtTvR1Xv7u0GggeJ0ImGbkAKh08Ezf28LX3/
t0Lnpn5sxUiPYhjarixGkiXTox0zSU4to4x8TQVh2Z/JpsonUMijB7SR3E9QW3Tebrw6VxAIis57
49LtAR4Sq7uDeBD90mUNy86mA9PxnTzqrn9KqrJJ7rehscclGut2v8uOKRaFFLuKP8eiVOX7eswq
czLHEkETsY3h9p5nGta4D6ub+fQavtJLfE+NMN0nGHeUwxvLM1lf41oN8rzs7YrcufF0qq/ATyfT
6zFbxc8OmgD9qUTJcHtT7/GEVFIP+3YRfFim6hyjW7U+qhYCx9eysgb0mkiu1cc6nTN2r40xAm6e
0SR+1HXWmlPVw+q8zdM+KeGETRjd7+dOz8t52UgcnZe5J0ned24zX+mSYQZnHlcJ5Ax3zKKBi/TN
4jua+0t/k+TJIWjn1NO4gZh24WbavpH42ATs1So4RZ5gBSFe47pU/VUihOWp7WqiT0JvfPh8jPBn
hMCR1pA8y6lyrrnfFrBkPx7wp5vKvB4XuSPfO7MNQ94uOKa3HBXvdf652ZXyP2DBMeFAUFCryd53
GOX2Ic1ipwtMHNHpvPQb0TwH97PnRZclmbqsa0W7I6+SJXWP2z5XqFrssLHK7uLywB0RTLa6vp/h
shblbmqa6IPgaiLnmglYrM7xmmRneTjX/jHFjrZ36+K2rLB6iMrzuJHyeEVhlvM2Tua2+YDKETlU
3nTdkl2hGl8tD5nCC+bpQEksvTLV4LxbypLD5Vazen+lq7hVp8FNyXJiZpIReAvTXDYb2HNuTt4v
sdIgY/RsWd42eyzJHcyXx/ZpgNJdM+brwWCgA13xfNymLLmHn+u8vOHzGMEttoEb7CvR0Rl7rK91
V/9Ju9RhJ2hItsEBtkqb9Yq/bG8vXCs2fxJqrcuHuWpaeg8Srehe24nA4At+xnEnzvBlouVfDlLJ
0DSf65bfzUNTVcA2g4GFPZJCR+kBVrqHuTOtpsAME2CI48ts4HqYr8vRkw/4zfSPNamX/VsH0Xhw
0jNSD+w0Qn6xOkXIT+VpL83+oSUCFuFpZsB14X0PsKpepzQ6HcYusJSbhm0HgWSVyQkNhbR+i+ly
/mbfjqq5i3rC0DlqShXZj1q7oX8AdLd2uBX1bv+JU2PuFTRS4zh5d+vU0PhE61G61y7OmJ6Rid1R
3qctPj2EZgXczV5tSMjjG7hfzNN9vNTZcrcvIuO3k3uvoQlQYRnnOV8yRHkMvbrK2eo0NttxvKPZ
3mU5XNNScZVMI7/lim7t9CZeknT87qbZMDhdL+vO7w9G4/2JYffX8AbfYUGDP5IO5RuFctj2PlVY
xAdH2mk/99Ty5Q7nfwSn4nUher1sTsqtwuVpGRw+5lSt13VTkf4kk2PRb1es2fowtoCFvmnXpm5O
rK2H+ctuJOFfNYERu86hEBb3BitFu+rPHpqp8Vuo1rPs+wDlFfUN1syK4H0FQUR60i1p5Z2Wy3zg
/lbHKcyXx8geOAphVw1/YKYgGSsivsrzDJGG4QBGT0Y/oCp/sFOMQ729d3ZUH6XF/r6oeOvEqdkd
aq5a9uwzJ8BFnOiRlu0Jb1Em4Yg4SFuQTnKx5nSP9fhk6rEG5TiBfOf/Ufdly5Hb2pa/4vDzpS8I
EFPH9Ylokpmp1DyUpFK9MFRVKhIcQQIcv75Xlt3n2jrHdrejXzrsF1VKmUySAPdeew17q8u6u2KN
nYM6FlBgvZZd75c9D0003YQtGeC/izmr/hCpdi72U42knNueFuyjckh5SV2UAQpQJvDiem1tJvdk
KGd6g/kTa+/rSrrtIizbvsOGGWFtgBYPopo6VDBRHa6yptZ2SVQU5bcrmC9BsgjTTPdum3sIoqF7
pXMCG8OsSqQOjb2pHDCmuGjyut+xFbraeg+JWrhTGWvbdCAZxZUwRR1eRaM9JbkKdyp+FKiVRZ5o
NXGaNmNPQgRqb8v6XKoarknx1kC1+MFC3Maecie6y6EdUXElRV4GSVjCFW5NsLtPsZwF8890hO3B
WS5mi+e9XAjKdAYBr/XxyqLAHw0OgdyNXetlQrno02otxvZQLVjqL5wM87SnsqpDJJMMsDwLI8NU
ymrQg2PHwm2v8TCafTzwrHTXI6hTuk0a0cj6skLA9I1aTwGo27CxC6dURXYKCTYLHqMoOdJhi7Dt
I8o6yI+VaLn/MNZZON23wxgmmJH09NNaZ/OUZHMRnaFcQ2pmBRVNB6Q9HpayOCu8hbFGBF01HrYs
2TavbdwhDEmkfiD0LEc98Dw3kl3ksFJqYqHLHhHYIRU5PFstRYx7VIpzNefr1wjqn/KKYuk0h610
m77qAzrckhkWr2iBmL/MhaIbaqcwGm6nwIK26xeZCMjIrzDPgVgb4aUMbuSQIV+tg6KP3Rzku4qW
ooqbZvEXU1Xrm3yGg35a4TZO+DLOCS0ycxZFkb4cRb6e5+FSf1rzqXzQiD1PDBF3NR+aR17qViPH
3jrQTsa6qvp4IUbPLs5R7a77FVF165mYaP4kwsWe+3JVOsXtLJJmG7dl3w4lP19BX4we50DJh7ye
wVpIqW9lcJY1cprrOMOdqyCTXwvy1fhs9Y+cC7HGk2kWBSpnOM1rak5+AMd6XTbYpqghXC2Sdfve
UfQxhnVliij1MDifwghqbMhKZ3I+FGGmrx0C2/1+gs6fPG2ipiLRazT5izGyPP+EyrXpd9zTgJ5Z
Y010WS5TjbDXvJ3qeA7toJ7YWFty07OR2R1sGtYWlgROFMcumHT9EhTIEi4TvhpuUuLKwscjNyhF
tR+lSYYaNcocZyxgrI5Xvo7my6I46y+npZu2zwilmlEOIXmc4+6usba4jUsIhsodXHQyehhUbcq7
JUTvv+vaiDV7L7HvpOhocnnsT/S7XS8bym4gqin5BfizLExDvXB9DCGbWr4ZkLGbm9F5ZUmy6nwq
zl3vGBGniHKF8ehW0nq9Q2ssKbpgUDa3C+dqh32haOUcXtkGS/KhQrM6v1S80seow4iMuWaWL6Fj
VfCpwYAVbfLScSQuAoQuEtwdKJbibJywu7thXNKpyQf1LKDp909qxt7+0ble0zLlsg/wvMpaHkwP
Yt5KZL4HlEoWe58NTaIzVtNrt6ll/RZB7l9/HQzUbDtVIrbwfq2LRcNwgHfDLTKeebXs2gnurgdt
AtrdCqwy7IiEDb3C9lQsEmBh0ULWfFYyUsxnrCoq0qTRNqAEiGshRA4b+A79Byq+sk/WyZ5qEcS4
+Pmu9MOQzwdd5dXwVLugm/ZdGXh9dE6PHFds0/OQ9rRepk+V5tAiiaLS7pOfq37a25w0QaKrMbww
fZ6JpMcg3F+uZRnluCTSQAzogLIng50QdB/3AnYyT+MGl1wIpPvssstpf5izRd33jK4e1QHfNnuz
1nUdD8gGjSEKy0eGfDFVdvt1VnxNcsSpjseNOTRohR5l7PzcBTb2o5/dnQxnWXybEG2idltFSJGK
+fRcjXOHjImzDGX2pYE1F+46FjbsPCuRz3ph87V71gonIWXeR2EdEwPKw5OrtzJAlbqS4LBsuK8P
qANCee7xCChf55mZA1qAUL90sDiXRcJ1Tsy9nXhRwBI6bIQZY9xknCUKu+qKbi6AcG6TRWiuVTmT
LRmw4B+rkDe7OjOixVLLxvOOAMG4Al7B+K1qF1Gdz9OgPwOJ+YjSw1OBSBUBCniHjBh639I8+wQ/
i9KkeYNN0ZRDdeU9QWW2wWBkPtZSFYndVgSOQNZBzowcWH3Ve+bqqyEb3cVobVe+IiDavwV95Vy6
jAEuY7TIp2qMTsOdSuHZvkTzk0At4dN861Grg9fkl7ieZbOHWFmLuLRzjtoAo8oJYXdqAV6LndAB
3/Hl9QyVCRIY1QnpgfB7eKpQjMWUg4F+BJSu3SXrVR/cMgkSH0hBss2n4yTy3Ne4KONKHBTdWWl2
C2GqlLtSCXOX98iG34VQr/TflolWUxIUQK4+wasBabgDVy7atQVdKW5NQx8Gg37ksLali2mJDdTG
0zggxS6nY/FF8cbRJzaPxZSsjQvR7cionpa4nFQdvBgTZp/VqTQ5UwtU5o+rsG++qn2Eclf3IYrZ
JqrGM41MEJVoMTRvHceSjRUiOxLEgpBoV+tIfQf/KrbhJKxqB3/LLEIrg1D1/ULlLD/aPNDQHxud
ARkMdANnJGdhUZCiKGnmcy667ktdLyzEPhcVZfsEpzZdJnQoZnZW+mj9itY53y6GmmZvTVFvmiP/
e53oZVPMUf8YZETwtxCRGfwrWssCyEiZ80vdDRX2DlKsCc3Dfr4ddCYtdB2YLUW5yMmtCYQAmo3S
g1zwGYaiez0NgqaL3wjbTWJyU1w34/IAT+QweraDnu6CIHLPKpPhI7gffjt0GURAZ0GHxnipm2Xa
iUjB0HcrJ/uMc15dtGEFWpsoEcANj5OoO3aF1n3CbdvMsQ2y6iOUukvcc4i3rI1mcTEsNriVYl6u
hN4Kte8yWC/sar4uhx6xEofQ1uQYIZMZe17L3FOhc77e2LyDenia4PcT837M/MM8wuL1EwxE0Jy5
dY6Kj4CGmYzFtOI80LkssS1oFrIOFYeE/lgR/1gsAkUiA5SQ56gySh7AHlZuQTqABs93XOXATWbE
qyOnRA6bOVBL7BPs18vqnqoOIvAFCQz3BgcSMzOFdkywba9+jgdgY+zGVoWMEmZxOI9dl83dvuyz
skhoJO38+cR1PXZt3TQXi5Rbjc+oAndfhdFc37BczijYVsP2StmgOwOFUs53gKLbHbaJtt0PnJcu
pcVUh6DLIRh2180Emwj8Mc5xLQBHZJZ3Fu32DNLytK7+3gVFOSUtH8P6PAimZjvAfmz7GnDEJsU1
oiEv8q1bsHwyhdNRzWRX6WhM+t7P56wLUXAWpr1YbcHvwV7uoRCAvyNwDhg1sEhmH4MNdPK9gkJm
fQTOtEx4EDkSfvVqyKlEBk61AR5w9WjbY4sJhflUbL1rElwpCN5VVaAyx45ZT01S9JmFfznMi/QV
LNKUTPQs7HhcuqhXB4kMcESjZpNQJg44bA/3s2anRRiUU54jXbFHx4TNp0rLzen56CHK0DHtFl9j
GWPe9Tbi2Zkd7eBJnk5w1CZgYjY0Cp+6CBVaOs16KBIZTQJaHy/W6skI2NSkBH7z5mMNQCOKm3Ys
ikeybNg98iAQ4bmQYcOTRtOaph3QsCnp2gnQVgwR1JKnJcSF5Cay/aDuEAhipniFC7TdjWvGu3il
W4QKRtvQfwkGpCrEHFIPfYcsm0keitXO8ovAl5qfHQpUccldWMskqmVFb+t8JjBNtmgKCuOa5n6F
gL/a09KRZo05xPYTAMyi3XI06h6QA27qBUUhMtqzHsHa2mVXRUfMdgwjsrRX2gKnjYVlM/zSbTG8
Ec5McU23rAUvKSNVezaqKaC30E1KgTU1sG3G/Kdd7R75jfOwB9PNNgmmKnz83M6NCxCQuHl1DGrA
KR9J3ZyukEDjk4aDtiXEqGjAmusR+GGVQF/h3RjDiyWkF0RQjuaS+6A9M+BZTJ9numqXZkJk/jBj
v57TgVtb7WrGVJ9SJNL4Ku6HZi326AZrfZFFsF8D+bI+xYMhLa1Ly8Lo5TzzRKoEOpFc8xRODAQL
ymQN5tkYhXb5uZgWtqFm8TY6A0jQYVrfo7aLgcOGVQzB6FamPW6Deh8tY9i/ScOrOkDvEEaeIe8W
JibfbNXU0HNVmJB5PEwb1IlREtSDPghq6bocq1Ax9QTP6MZfzmjtF4svbqIyQg2ysO6GS1MvzwG+
jQ7iIvSsG/cnN2s0pJPapuh6PHXQF1nQVQuKL/BlYTC1Znl+szahQ7MyjExggUcVMCuZYNbC0a0S
1+j2i1nRXYPbt8qGvA1+CnoUA5KjYeo8tI0T0mq64dzpblQ3HJtHjlJRldvXqsA04lNZzl21j/Ko
DWacXctaZDGLwdxFKPexlqmWEd9blEb9W2EjPqvYhxpuzbOMRvUhBD5nEP8C/N9/1kM0Vk82GLvg
tssx8LmbTo0qHAtWVdNETj18jSGbs0N9LBrMvXCTRJbtB4nGR+yQozj2F1AA5nxONsyQOnS6ZpBG
poQLry5mi0nSJaprJS5RFkXuoa3LajiXOZu7YzAimP0TIyQjiTjVbPuxa4IxriWdg8uOwJ3qLhjd
aLDHwYY+0aiM2906Nmq4Ns5D6NJwIqcPWw1KY6KIw5DHsLqFxcyQB/6LEs5mH9jssPm3yDcop+08
2BDfjZIVvob1cbY5W1FPIeI6CeXix7O1azU7G4Cyz4e6Eht5AqrI+bmpMAlMLGlAANhBT0wGleLe
3IBtnRC1YN8PlI4JE00ZxFhzV8K6NcKskcMeY09CUKv7vQlCzHtEixHPGteIWFPx2i+Wp0MheXTm
l1FvZzZaAtLC0o3OowamlyMrrRt1WF7ycHDuiTu4qr/JPBqbSxS2Ru5rXoz6YZ4xmknrXJU51Ikg
pN2atq3FRZbXbfUwK5yYi5Wqyp2TEZE6VxOOlSLRfN34bTnKJj9fykFXj2j0TDYlZES13KdlpxrA
1hE82gxJRixmGyTw/hCrTTEHlErvK9ABTxbG8gUOhsSFidYwwGx2DUZBbjyiABtwYr0s7XCL53QL
4BlkHIzSULvp9YHhtENcpXlRbY+YnmTLfsJK3uttk5dookVwQYNMo7ATBO519DTGU/RASiHsoSpl
zy+3uoPyOqRr519mM2qYVlQjrEP2PrfLWsThLLjEjJOCdEV6p6ZEANhwn5oJlvW3HWwXHN2frF5D
YBoLR7i7GjY9lYlu5rlK12Y4Jcp5J675kEXtMYKSdz7rWzuyNJ9W215SB58aQKQE89ZuHeS4NwDx
wzhwYRjsMaP0Jq1VrtF22t5ZVEisMex1kUiRv8i2vFzuYckQeWDvRTZsX1nLWf7ZVh2pj4RB6ngk
QH37K7gGDP5DDUtq1DYtj5bLMArc+m3teWkv1zUPHAC+hapk0yhHYuDLI2YrxjmQ/XofXY2kcXPi
VwSHHgccQpmOG6VVAm68wMw8ik702kntNZjN1/WEZOBHMle5uxr8FrbnErF32+lqywxaB+1XJMM7
GZWfAfMFLC25CqyDWSv6mcS1uNubHSrrCg9IbKSnNn8e7Hyjg2FiyRoE4YDFovoBcgnLT2dQW8BV
qCQGrm+cnOoAdgNGmq/j6fn4VY6wT4CWnOfHvtNrGBPsd/UDGwbqsfZy3vQ+tspBVQ2ICUFRsiCG
pIzyAPQalvfZNS2kn/fYRuGFONWtmd58udjlsttkw5+HZRQRmpe+HM/XVW7Ls5KNnW5OHo7szDVj
Fjcwu+ljVKP5CSy3y4RnLgaYt2pdtTx3BZQG1xiUNBC8ozbeAG31FVArjuDKiPtXCFd7FUNYROfd
ImwF1G7oi3vQJEJURBNCme9LMBvxXETGBrwb9aQy/SQt0WCatwTzrOnQZkPf+dhA7xfFnQKPgCWY
fQ/jG4CkHOAtABviX4FWbCaIhUf5WsYcu6wHhlh3UHvEMKlH37lfIA9FOFC7RKJ4gcJ6HYd4nBFi
0x+ayXNTJnMP/3DUoUQsPEwHVoDKkf6HGzzseQOuDphUMZ8QMIJcHCjfZwmMktkjw18HF9Nc5Pao
ixP2m6P9Xuxpz4yym466YQe0YBtBsg6y4Pgf2biQZXVRfQaj7mVJiSi7Md7Wgt9gYNWOqcgg/v57
DKb3zkJijdqma129I/pjGX0Q098j1783FOI1mzCuwfsyc68AWhj+NyU07+2EOrg16sxIucdjkgBE
0hO5ctit3V9oeP/AsAojg98T3QCFUQ9GGiYTAdZfX3TGXzRz0MED0Q0WgBOdSsQCSN3T28UBukWD
VQYk6YIF1+nPKVQnVtG/Yxu9I5blGNEsJhjkvkOaaZ0aiFquQB7sE9RrGD9iFqf+wmngj8hU77ig
Q+9wq4FTvIchQC8f/NplY2pz1LnpjCcT3Elh/1CjKl3W9i/O8B9QON+7E5Xgh+FpQvleKGRyeNjO
7HpgzX/xhf7o3d+xzywS/ZwsNAdzpPlcDeHTrGz2F3TxP3rvd/RQlOl9Y/OM71fEfsTFsB7NWLO/
+ebvGGY+DH3bjYLvgUHvMEg1cRYCefzzG+qPjvwdPTRbJuO5NmKfk8DhmT5lcVjg6f/33v30qb/h
htLKMrCDcF7o1sCb12ukTG7dw5+/+R/coe+ticQQNrNdStwuhdT0qwOmNCdErBS5Qoo2NrYj2Nhn
EDlx+7fi+dh7m6JC5bOEZwvfIw6VP0f94K7LEPDqn3+h75vrv1nd702KZLkywEJ5tG+ULoBA63ad
MVzBf29r6MVThMob/9JGYSsOxpYfys18CHGn8bPMmbFAr5IXO6Qzfl0mhujm2EuUZL8c3X9+Wf5H
/tbd/nIc7h//hZ+/dBbNfl74dz/+40PX4P//Ov3NP3/n93/xj8Nbd/3avLn3v/S7v8H7/vq56at/
/d0PO9Tlfr0b34b1/s2Ntf/+/jjC02/+n774w9v3d/mw2reff3z92pg2RdMzmC/+x19fOn79+ccQ
ekssqv/87Sf8+vLpK/z849nrsL62r//mb95enf/5Ryl/AnnopNTmYQRo8aQumt++vxL9FAk0sSTE
R2hAFPicFqmnxc8/MvKT0lQAwJZSsui7SYDrxtNLVP4k4EyjNbjfRJ9e+d+H9rvL89+X64d2bG47
03r384/8u+vDf99OEuR0CgBRc3wKUVr+SwB5SAtagXtxKKdA3UgCOHjfbG2zb7ey/JgLP74ALq+P
UHVBCaj7DLnwS8R2BMOYs2Gi+oi+xD/oCO+RTrLUT+i62Uc6t/J620j0aHjmrkBpYkdoK8rPnQnY
NZj+C7C0IT8TDZcErac2a9LDgPprtWx0jF0/+mtRE/ohkiWQeRM07bd1tfQKVVn9gdbhDOMBQs/b
goW3rmdVOq5Tm3pQK4+5VTlQoKx8Qr6SOx8ClT0RW5RXJUYwBgaLUAVqIIoAc3bo5VVclp6kYK+e
SBpwwmAlC0HBVVnCc446tAVb8RoMWjjjOdOlEVi7Kdi61Y6ppXkwHhzPCVP36zHE3FZnoIYWmD+u
RpBLTIftFYOv+PkCLH7Pm2K6jugU4TlTVQ+TJ/6q8/kGcqxor3sauWOOIPudhB/Zfd0W/jiBkQfw
i4BKMPJrSCTqa6Dh06FHr/sCdiNG50E7neeSRuC39tVNXbPhjIPel5zGrKBu+u1VN0iAZKa0+w7k
RKCvwxr7Tda7bPD8fIgIfcwq+61tPXrpFiiGSZamml+IX/InsCbnjys4kR90NmZv4RZhhBKpzU6x
6cOmTWDWKc0RzWXj9oYV5KXRPDJwbC8N3J82uXxCzsgc7assMretmpA/q5rlQgfFskM3o1bMDTdl
UjTpOl0x641Ab2OYXwRRjUcZNur2Uk1j8y1cF+xlU0gRytOFHChD116yBv7m2cL7BwTd12nUNyRx
Rn5bEcJ+t8FV+DxYBLuq6jxPm6D1z0sJCoFTenyWU2mewDkAuNsH91SU9qIED/lbsBhAaaQE5l+O
J1Z2ma/LHYZdX4tCfeJcZld22AZcdJldUGyw6Ti3PI992YFTmXkGirOUll9N01jeF50KU7O59Xzp
N3nTgM4B16BHsPjCIp5lPl1OcCh6HVCzna00ms8ADRaXw2qrIy/rHc2X7KwLHOYz4PaLOwwZu5vZ
z+ANoCGAVrvgLwXDDHpXbVPwEVieecptXR3bap4/NVqQ1znDQKkoGpZ2oHJcoAF0KfgHaSX4nVnC
/h5lNybEYz29ligXn/jCisPQjewFjL0cXCAET4B0gokKeN2GXUUNUNUUv2qvcweGXwx+Z37BCgDH
mxzsDV+Mu4XLk33OYPzjwKQh4xmF0T5SIBtb7UsoWTIEzZVJ1kThfR6gdwPRvGE3lPEFMM537BmN
No0ncNWeRGPk+YhpcoopR3eF9q5HV1bSG5BFHSbMYwixlgfgN8kBULwsuUkE6JZXVZGbaZfVPnzL
UNS9KbECQhe8v6JAq+B0BIffMIFuvd5hNmH7tHVwqkhmQeZHM2DAfQiFIvVp9lBJuCOBc9isYLmC
iQCSABT5fZGO7cSvaCvHXVczsh+zHvtgJz3hqY1agG7wEwPlgSFQe7/JQF17FfZbPGArfpER3VCw
LWJt0wqIyhavWw4C41TPHMwcIxAPN0CWcOnN0n1kSAIDNl3m490STO1XB07nkmRtTj9FA1943FpX
vCzdKbcDG2KwxrIt5QT5Nh3lCxpHTHiKgKnHkFB+XfXhjMku3dpzYMpMxGhW1iO8nzm8S5HdEybw
Jw4+591CwWTnFk41BW/UTtcK1Bo7qivWradNe85A5jBLWxsQBdtlP1KkQRwUJQsBFV8HL6JA9xVX
3RIsMbLWFwzNBIDbM2OoRXQMCfrruS6Rtrcsni27nEILljg4jyJUsVXAxlD1dw9GTC2QGLVhRLpm
g/tMADGV8TgKJJYaUK78gy1IcIGJF0bDoEkNOzkW8PmCv9n6QPLKlklEq/EF0KbAtMPMLVKVxjky
O2B4RVJBzHDCl3lWxRkyDoCDMz7FtK7C87WsxRGVNqAZx8zybQhE+zyCGX/olEPcNQVIDB720tf3
wDmz53HW7gpz1289IjJeudH30YKEu3jjeSTjpe7EHjiSPh/5uHxa1QQuOwYE4lM0EpC186Zaj0Tk
MgNEUYtDHk7y/uRMpG5hd43sOmBIGMRWcpgBM2l8gUEW/gCGEiiYQq5iTmpsvo9ByZYLULnyJxKZ
to/HOnKpDQlGLjPGa2+hwlOF6XnxYIwXZFcUM78KwOqVMegI4NNA/8+PQVBj3SP4U320vBYfVi+q
CxCzQARvUGmCsV9E3XrYsgzuD2EePgJvLq6qhgOPAdqG2Xkr2vIjlxOOWdaqOReQ9rQw4jEZCv5C
u3OYg/fPUKA20dGgzLUwegYxGS7trHbJQBy7rJB48RKwGsaZAXE4QD7l9dc+mEC+W0CdvG6DCSvG
Z2H9XLb1eIE9NHwloV+fZ6LUEWqGFdR6uZXYe1sWgRNXuxz8q2V80fj7OwexLSi7lZ4PkvPgpceg
+IKuijw2rcdDDyzQQ2Za/ZQjhO+RWI38U7bkLp0Bd8KyizVXwM2zIe4ynFlsuv4Gk+RwijW4TE/T
FK0+3UCx+hRUHRAdCk4u1qhlD9ygoYqxKwafW+jZtliJ75Jl3QZRQjOFUkGPvn41hd3sIZimctiB
4IdUiNJ0iL0raUM+ekwWHrqWANYuItU8h3MGjGpYZ3lfsrLI93KGDHSYwDGNfdVVt7oItwKnS1C4
DGD2cAGvB1DByrK4m30BmrMDjpwOs0nDcqs/41pBqbotyj7NzuMpMHk836Nwu6+GAjSYinXNEOd9
eMIubdvdBZjugWfcB+TJlhUbk22ENcVUbLBGWjIp8zNvgAlfwvhsWMFjFrlPM7he3pC+wqfPkjqT
0KrIPmZiqY8Iy50K0LdxVvMgt0+jW8Sdn41Oa4spalzCI/o2rBtQhReCHZWoyN0D2bT3M9A/fGdC
6B4tocKKzyF0MsUqLktNWJ9EeMLhzuCrPAvKMdyHXTjCkmKqzK7cCCaqMiwKwJVDeSNCDkQ6Vy19
3ULZPQW9xrgmFI5ci2HBGdGIG7kkZMEZspE1Z+GSq1fYwLAvIGLhsHJd+icdLpBsuWItUomEqy8K
9ewZzOX0kyEGZuBbH2Dz8/S6Aq39CunM2ZIGvN4O5QxqN560tjo0ImxM3JRQgR260unLTC/qYsH0
TicbhcFvakzhPs11VYCN1Tr2rbYaGShjyc55FuSfN09XsJpAlbykC7suFCPHdavxmP/eCf2/bgev
zBdslt03/74f/F0L+f9R0wiecBienB7+uG38n+3X1+a1/eG1/frDtfnSfX4dfoDAAz+637aS/3yn
X5pJzX7SQJo1PGgIk+j//tlMavoTJegmZYS+UXKpgP792kyG7Cf8C/JiBNoNSSBs/vGHX5tJ8RMG
Y6CIKxlyip4Sxkv/F93kdxHlb5pJ7E2hJDiyEEdG0NS+QyDBRQT30ixIoZ2xn5S8+dxahT5JSlSB
2YD+Y6u/eWEsxivV5y50Yay7IEz6iaBf6qAGVC1G5At2/2w2TxNkY38BNr0DaOXpENWpfUYyAc4I
f+8hyybYkoUVQjJVky0x5qJ0BwwTdL9CoxDvX7GtXws3pi6H3U0l+vKv8JsTNvruHOEAInjj4lRJ
NN7vYa/QqhnMIFjk4gDYtkwJ1FMM/Vm2K3pLkzHLshimZudj0Y9xGf6l7c4Jtnt/BAJLOow4EaD/
v/OrcpGhQ93UYFCM2Pt0KD+gtLs2fftXFgqnN/rXDxL4mEhqTd87WIgtcx7agB75H1N35nOob6S3
H7u+gSB8BVcQzt5d0p94V9M860RmpL0MFnrH27C9BJ8n2IHym72C1THvhoWSe3gFTclpXRxADB2O
Y4vSAwq9ahdg7BtXFcQIHKU/JIWTh7FIvu2zkd72AdRFRYYTufbixWXuCPWWSiPTZ+d5GygwZe16
cHwD+zt73ABho2fZPnSh4qBIzMv14qpvIfRVOzfVn9vvc2IEiW1Kv01Fc882+fybreD2l1P0W1jm
BDf//sRhSYB/R0IRkSh6n4Yut5bUuemRr8EytQOK/gJxIPhSg08ySqEQKXIN6sKk93/+ufS0QH//
wRGHwYVUAIK+byN4/TeYLJpTaZ2Gw7JyRb1Tvi6PEuKkMwrSR5oz0DSN3MAPGii/aFYs6NZByiZV
iwtaQ2Jbo9gYIXhLwEfGLR3SCoCIVLD3ntcDpEU+AewVYQAKMdDuL46d/uuxQ+IsofokJ9zs/YSA
YG4N2hzMm4GctWkPKtFFXlSnhzlEaWDa7SrpQVdDqXNtF3WcAPJgMns+gkYUZ404/rIBRcu+45cC
AqIY4hNMVAN8aQn+eQzNFnARtn358+P+12sdgYNFBafYkHj03pDbU4OZ9ITDRoY3LC+j/8Xcme3G
jWzp+om4wQjOtySTOSg1WZIt+4awbIvzPPPp+2NW46As+Vjom0Zf7I1CqTLJJCNWrOEfCAq0w7J/
HnRr1o5HL8zZmiHyo/35hwcmdUk2ahpCpUn5+8seZBECkUDEPGSa6Y2DY7tO0nf+338fJ9LbJWVq
UjjIbvHjCDi/X6WEs6IpTZ6DBbPKvdU22akN45e/X8S+yAW9WbmmDpuUVEqA5X4rIEICallAffJ9
JfPXECfxjWrklG4E/hJMLZvcUSbOlhFKUynW7FQY+auI9PW+XmHaAYrj3FkcT+ij4xVMX3fgX9VD
zvQugNQpKUSUxNNK+1ExFVDVpnUj56VFoXew/WweUncUuRMoYM92ZKpyh0ntXp2Jb4ZAPxtGLtSD
hP+siw1xVi1uLR1yle3B50EHAmVZKZDlyj8186wc0ggKeS0TGItY3gI7r/VAyu7z3NsgiesJsH8P
S3lNXoxUuy/qNTyFdQqlTUtfWzlUB+owhwl/eVBmB+iJqTpBXiWvbRQCpKuIuY1mAfQYsZmjJaG5
ZdRJb6zzF3NkDUJQfmrWeoWN5TzGLA6q+4z71u7LxFEOUzzKnSb7Z1Gy26ctei9L1n2pZ6PDXB10
zzyXEu1fLpY7qf5dqAthGUaSn0/JSxfNkJGaRnqRmTdeIo1vZQu2JxoK+QlGHMlDsnIQr6ays/L0
lbFT545Rb/sFxYAb9f0n9Ix/mRmnJ7XcOYIw7Y2k/ZT0IDAzDhA/ZR7qFS09MRXBcT1sHc+J4UAZ
thZ6g97FAbEMwpSRvGg6rwP8GC2MjhM4X8DBFXpxNvL6IRXOI3DPgm3Y9n4W2vGe5EfjYMFSMdd4
NWXXfjKTVaWMG25JMPbgyF+oW9tjN0CbUKy82zmbIADNo9prm9T0bNyKmiZ/LQHNYIk1XjX9eLUW
2Wtulc5+ZrzqRziDuN0Eb3bSrlGwQaG5HG1fqtYNpleo2AD/o/LSM1+ChvPDmnVebUfmUpFfIXFT
Q7vIXpVIYcXyZnGQfDXQYvEytTE+jxv3uKSYcSXcSn8Oo9cK2BGMVKI1WBnbV+LqPFtdulXF8C3X
4oUqL78FSQXYjFnBQ4f26prGL6amVod4UdsrM7Qe1T7nN5Kens10ILfaXgyZwU1ntnAJBYfHZe0u
E8uGOhpeC/05t46TFzskZzQi7V6zc2ffL/kLOF+ci1nhomdrXBZuuzFlQ9pM1gyUDbbDHkzWY+2Q
yMSNmv2zBQpWmBDaPdOezofmyIrU6/W6nHlZQ7JlGwrfVxUb/SlmBTEfgRSnsl3qoVJdKcf4PKmK
sqOQTrzaZtFWffJyuXFulyxmKNcgVTjTHIffLY2h+zLA/wgwDyFe1zNbzYrr6wocOSMG3p1Fyb5b
G+sozJl7KmifJD0QephS52pCgyHNwjSY+7B0CwKY0m0ByzL4DL+DpZv984IL1biXefMM3Nx2zTl9
bUzuOmzSl0u4GKzstcdPxrVHIkGZRlygowPbQ3z2anNJaeQw8xsmHiLFAPnQSj5FlswEwxAHaNLp
Oa/szM8aohKBKtuZa/1syOp8OZ1QB8BANOIJMOsKT7TMXxc1DO8kTJmCJMlLTPSV4YLXgTGD0l+c
n2VOMNEkKxfMH/2zLnlCx5iQp/C9I7E2MyseCP2V1spfevKrLZwBoSHk5ebNJSgNBuGFQeRzOnNv
yWDeyMpcD01u3FPv0H2EqeViwPqCcE/q2VjpuvnIy71UE/GWsJiJpuy2Y8esrJvLL5yW7HXbEk1i
3G9HgWXK+77mxi7voJbOTYJZg6sCG4bYfraj1PBEuS2bEsxiKGHPVKJ9VlNdnI02RQIhynftylLB
ZHP5J9LZOsEEJbTHajGIqOaq7Igm0y00on43K+xfOAdyNykrn7J15ZBDvTz129uZFVaesVbnNYKn
BnaDf1Wv8+kSiRNQMn5iRrk/wXhhB5NmLav9aOU1rWU+YXIn9hx0M3+1O17AkAw1MLphDZSsSG4q
R81826g5fjoiAmuYr9/OFVygHRfHEbYqwwHRhrslzpa9htWtmy08yG2FzbTdXSbI9waRJhhBV2NP
z6JrHQIPyjWdW4xEH3vk1WgOCcX2dmmhPCclO9xCw4TejiihSvCFDROu4BJ/8y06bu3zfZkJDRpK
VR2atOt32xnXOlwgilnV9ExJyNbsbJrctQRQ6QEOQellS4eHhJHJMEFGUsJ8eQJRXx0sIMOuhniR
qyJ5eVkrZV+8pHb8Cu/8MVRTWlBGC3Rw5FFvp03oEBezni3AgCy7ni0seU3FZBA30snW+zbDwxOa
FYyAJsDLCng68M6bCfaBbyDH6umGBWmiiQ95XXHgLX1zQ5RsrhKdkZ4+AdTrDDAPzFlmHxkMMKDD
ZO+qygn9FJShWwGAhu+I3MmhrdfoBUF9kGUaHN4Avsbo9iiv7VGsINWYk9eqqZ7RM+6DmcrqB46x
64OWM8xSy2z2o7p/gEsa7alzEh9MpXhWdQH9pVhKMmIt8eEvhL6mreoBwnNgrJRJYxVtqUE9VsfW
iK07McAamWBzeTpWnayEpjraWwGXgTFym7W90USsB5Y+i5PqRC+Dks9+atFdHDMY6XJauwBixnq1
tmwnsNwv9lbmVVad+fDS+D8bhKVhTDFUpqK5AfiV+XOZJt5UIViKHDdDPRru9M4jnRwFrldcZJy8
C09slO0vBAeVXT8ydhVNmaMhUfc7aelHSFJIiBSWC2FhdYHsTuB2cQHKbK3b16JNvSTVQy6f8mU9
X6aLge9eSzh0QgxBOxinvBq/RVAVfmV9Gx+Kxg7p+oZAoqX5AwPNHdPBH8NM8qyImKBFg9qrcAxz
labPPVYDGgwZuBxTgGaHXSRVarjEdGWi0XKMU0/roKyMke6TPN8pU+Zhq02aqA5BBABjZ0e80yi+
Vqb2CiBsxSKcGOFMpxaDRNdOCrC/jvKrNll81iSznZyFpKeqfDd6om7aCA0iiX4fZSkSAa16bhWm
5WVEyMR4BbhrgpNFwwDA7+aCXbtVPivTElddCUvJkLyKuXKCOCZ/EiGRpirj5UnrdcDNllzxueYE
0kszfMVMovKksPPPZQMsV1/V51ESKhTRPZchLY4ia9of0QoOkZN42K2mxdiiIgmOGY0GU7apOFDD
0dtWmL1e4riuZGdN5ZyLCA4AKZDGHSuEPuqWT20VvQHpw7c0timYWXxlVHGvzXZL2zPJvLZg3SJF
BCAvcvb6NL0444AuQDnexzYrJnToWzM/J2hyFGz3OdrqvaD7sO9MQVnIae06pNlYHrxATnpWs4Ec
2VDvO/Q56CtDTp7Q9joJQac1US1QcFZ0V+bTuV7ENwrIJlBHo73qVNk+DUr2lUnSDWSnfQMZ5DS1
BDVYXtk1fE1lBzXFBtfTk11v4XTtaWhnAyfeaPcQVAz7UUuyl3opziQY8x2TdcBMjcYwmrxGEc5Z
pIlJ3WgnXi+nxM1BJzjgZBFCXoNe5vxWyMroWKTxnYqAyNdE5dmXpMk7kVnHXGeF1TmrYVDsigSL
Z1rkE89Zt+zPlVa2V4iJTY8FbX20rVhucmteJdHiTSBIvMUmroXQw3ZZE8/Yc2oAOUxnC9IF1Qr+
yuTeXb/yY8kx5YqzapkwBqna6pBHYh+qQ3cUTvpaKvErrJPntuUc6krjBqkY1b+c6P1MEbalO822
ViOWyQ0sGao8cgKKa7lLtUXZIX5mu/p2ZpZLBRF9q1rWmQaRhYiMP0Ttc1Vw9IyM/24jWHmuNFRe
drnZNsJqOi10Jl1HzefbzOyzT80wJl6hip0C48ybwQliGqnJ3eWUa3tACMmokUbpi+1HtiPOeL0R
9XF7d+dYW78VmhVDt54dj67FSAdkMFDEQolkUFhNzhKG3/Op41va4lVdVfWlCMfynHPqXVY/9eYO
9H9yolh9pQnBr8rNTzBd96Yj78uIY7ILObnSWvm1NaoMfW0OQ+SM10bDG1my7QyMWJ/IbI1eRw5F
UIjq+9YpCw4zp0ZWgdG8VOObJSGM0YzMdgz4THTM+pMyrAkRt4b7sK47veHyC0h8RJ1IsKCa3ubt
CNVfRw1biSfhOzHHMKudI44prDeW+v3l7HVm9mmsh49/L/yNP7UXTLSjVCEtoFRvbSzGdERkKV3w
FiopOoG7AtXu++empimYqsUarIrI+BW8Zeh0a4DuEUSkrP5sMHNs6kcErpDIYLoG6il5GSxV2YHJ
eszG6E6V8+ppBSILSPsOfjxBK6mn8c4sYAlIuycB7qOnSyPzUiNZQqK9UMSv5tyPHvw71MjW0p+U
XpwlVLqTWc/FeVYECd24JaUWNRDIAAQOmJdRXxvkXoqKiMlWhGFqZH8a7J+pgp1ACcufSd2WBcZJ
5ZrUvL4R2SE0LPGRj7h436FmIqAxKMDjlq7AWwncNE/QPmGn7MOOmtLGI/rUDXQkTETOzCIzPuNJ
ROClj8/UnO0mYGB/0CX/Q1PMdhhmmDraSNs04femkYbJppEwrd+nVqe7nVzjAzosnEJmo7uZglhx
bI6qN+aJ9kG76oLUftNIonx3bPDLBAx6Sb9fmp0thiSDsILgyehCoLH8FOLRp2QyN4WDuv42qCky
iuqKa6GR3lX4Jj04NRRvbRbPf1/dv6NXt2GFzhuwhKXZ4ABN9Q0Ad5ADuLUKCzB9CwJbw0Dv2dJW
N/e71tDvk4jo+vdLvu/Z6/RHDaAnYBYFiffvP18re5VyMxz2XajZu7yBL95E/BNasY9z144QbJTJ
L6c2PyTRWBz+fvU/7GbmBNyAY/P2GWX9fvWCh6r1pdLvG5tkLKOh4+Ez95GE8R8eK11mRHEMm77n
uzEVp6k0mJJBEkWByBswCPHbdP6mLN0NXOyvSw+W5e+/643BxuVNOprhsHAZ7jP3efPDEIKMSEuK
fo+MV8e4nYZ50uvtkZBAK2eyH2OOT7dW6Z4hcfNSzPmyH2dRuzCWBy8fk59r/vnv9wS69G1jdpsj
mobKYqcJ/GZx1bA5Ewckzz7N0m8V/KFf/yS/WUqOl8/NB7DoN8Dl7REYBssYkqm0nW0Q+fu7HaSl
mGGZdXs7sW5aKTGpUYxyVwEL9FSyZleM5nc9T59gCR5z1XoCAKUgYDNdDzL72dtQgVYjWT9yF9He
PQbDcKRhsNTZ2uZlJPKvkQcYznqJrKjbF6gbelZO8mw2hJpBLTkypTwOVXOOaZJ9wXy2DrqKV4Re
DS1dpXoWcG1c1MIZs9dSujgog7oytZtJ9OBn0vSH2R2MXp39VScF6a2j1mn3khxniOACIGSa7pQ+
2sUWnRoLMoXXl3AQt6ljZqogKNQc1FKB5j64I2prVZVuHpYFZutKwaOhlbWN7S4HG3CF9vj3FSLf
P5ttkmxsKGXHsc2381wH3AvGC2q9x0QY8JbRRJ7VR7Dup4K+mNX03hJriAdhZuT246hefiatVfjd
TUVCaNGqDTnpVuRBTrU6YAkKuW43bnkzYrNr0EHNA3NUoAlr0wmNig/jmXg/0rIMJDUxvzRMhtJv
mQD0MojzLckmSWmHRhpa+vTUAMpb7fMAsgyWe3G2HaiNAjKkq+RJ0E7qR25172eulgFk25SSyb0K
7Pr3xV+kq1aPVtTsAdWf5MSDkayEpBzND+K3fB9CGR2CNLaY8FrSehtpmIKEaOcgEhyWdAVT8h6x
ZGvQWH35mq8dHQ4MF7xk6y4DIoZhm7XczOAsoDHHyJ/q+EVSwicT8yYkkegFUgLyfDOkCflMSfFO
f/vcaszmtZw2HBQO5YNZ3p9eGgM8BqCGRdR4NzkuqVwlEKV6H3eF8GUOnrgt59orOrLOuZgRZpuG
n1u9tGS0n4YmfkUr+oOI9T5AWsAimCdqEseRd8cEsMnOqoWo90h7/tLQX/B4DFwsb6U3LR9dTb5P
u4D6C8vZdFcEDP63J2+FFiaqAYgukVAFWQ3edRtLrp1EVE5EBg1cEuq1Z8ghbT26RUHxuZqr7Nos
SO51Fb6rLZbrXG/Ww0jh7WaIJQPDprJXwm68TrXpA1X39+cod2xsg2LLJKK/BRIAOrWKbmZrWcqS
7Kuu7n0lowMxqNRPtLJVf1TzD4aWf0j4uRorQoVUQdh+u5Mg8tlThaDtPkxpbDaVplOIz/KcIoFx
iIuefmoEe1pkw7GjPXXlaDQqt54h/XZlV8hK9ZOSFkLIoMjvgTvSCNXEidaKCMBr7mqNEjM2Kbs1
o38GH0s3feuJlILCCca1HaCqQjRLDPq12/hFl0Nyn1FReUWlxQfg8fo+yuDMJ6H2lDcIzwmFoV4N
hNJdGToEMdLynh6iV2psE0r4SffzRJ/kMtuocl11mbn92CphM+m53IwQpgi/acqMuGbdTcG6fkgr
+mPYMOGACB4uTJS3Dju1vSZxqxM2oqWP77KCMaagfAmkoffgNuuKM5AiN3HkC21zutkGL7qcGttH
aiYH5NlOsJvpEV1ifSEnRqNLgmKx3kEq6Hv59TLa1GvhgPkp2lPBuPsmTnkJfz+03iewNvGV5BXE
iSpR+Pg90raRzgi2tbp9aXEYD+iu+4W1bQk9Hq+i1gHpbq/FVx2FIB9UdvbBmXkxC/q9frBRwjE0
MC9gjcRbfI9jz6BI5xK3+pwpWiXb+U5k9PvtnE641jj657I2Cg+mRHbECV71M50TclboY2OVTN2Y
4WMwqFaB4hXLlLOLiZLFAAja7TdVDKdsqZ7hAyDFtc0faG0IhT5fiF5sjET/s1Fv0wCDJntKU3Kv
FluPD8U2Bml1ct/CxPis5oDTVecMfQdRd3OFmrhhXorIeeV/DD1yRf2ld2m+L20ANkg3yA/y4T9k
Fsiy2cIWjqNzKpvbKfavrAs506xMp7jaNwwpLgOCQt9GwoKJUJ2wDdc+n9woW4+zmqkXErsXJp8Z
HtTHyxhmVQeAU60DdXtS7/MtvjXmow7pjbl4/bVkou9HC7MICy2Z/d+X2Pu4Z0uTjIJ9D2fqXY00
ICvdFTRe9oqt73GjZW5CqMgWquJLNwp9gQ+i3rvkGf4OcQClEypC1Gat7Zb+9bxiAZC7zagEaW3D
Lap7y022yf1lFtNdXu/AUGgkvoDkADQybGPAsYcsr4Fy3rVNm+0MwCyo/xJz/v483h6Ul5szyGvZ
bxtqaPv7v27OXEAOK2C090ncIDjYcg/ILTEFYFyGRedHtnF/uNy2xUEqaYJi4t2xg/ZCxyAy20/G
tmqt4ozkHBGpY+1QO35UEV/sqf+9oy1iHBEFRCdANkHl+PvPi9uRaWObxPs4jhEtS0adWNhiG6g7
AaMmBxoP2P9dUkacGaShB6RqwgPCFeWNXunWl0kvnLt0HA6mNtxCwp53jdnDmpnGZjexR326K91V
btfl3pkW0637MjmXWuqAVimYbq59GXQJX45dlrnNru9RPkyPuBUKlBM7FK0qWfhoGtUHahg99qCd
Tz64bvg2Wjwe53AK6Eg2uzZq9H0hI+0ElgOY8ZDddqgZeJRtGiqDaDfpok3OZqOkyLtn0W1JnRxA
Kxp9LGFsf4j5QyyVF7Gh7cTUDPcLiVpQ5GHqW+DGrxGPGmkbGpKOIGLzbsKc2i+R8DkBUDXAgWVO
6ptFU2IfryenAUX6CaRFmdElC7W9ZjX2wUm4B4TbN3mqh7rXb6MYpX2F7vCVbSrINCur+AbFQtsj
PWZ8sNG0t4m6JeG2gMSSlKvosNhbZ+pfa9mJmtZRck55EBT24VL3aDmokbJDS68ll9oQ97d105T7
sJ7QSVsXfSfr7QVWme7bLfwIkD3k9VZrAcTO4x+5TNFDA3rocjKYtJRGfYc6durbBEhfL9syYIig
e1tXIrC1VXlcqkk/O9vXp1V/28fy0bBAm0yzCZLEGLTd0BblAZ0s+4OG09viAdgfG4odTB5DoFHf
LHUipzA05DiCuF33bby4tIg+CBZvg+flEhYIQ8NRgcyrbx4wVZhBIwCnp2JOa78aab+O7UiZUa+A
QXqt4dkoH1VFb5MCLkrs1EluqCcIG28iVKRALzFjpBGaymp2DL9QTFnxLh2jTAAYYKSnYD9xrBB3
9vT+fyoLscEpOefA+ZHA00+l4/L7qlqaIh/TAnebwawV5vJpx9tGjzFNtwsizXGsnd7eE+0eaTtk
+1w3x6e/B+kLAu63MLbdAy1y2EiQCpwNIP7vlc22aS0JdSlA1Rg/uaXpDoWutRTiagchbUQ5NSnU
7jsUivCGB6nfVDOoU7Q/7Qcls9ZNDLJFBUhP4Vet9rPaSR5l05HdxXVQZHH7CWH17mi0Fj+nj61z
0+jm2aqn5rOMQCW4cymS/eT0d5oVoYQwKvkHyZextdF++40ksLRMTQ1/Mpptb8GUC46uesMRGgzs
qjPK13Og1hGSSmM1ni4/whni/E6dIuvcxfyBwWPoOau6+rkAO7KSgvkavQik58Po4ESx7Vuo07Kv
1e4INfm1BotxQLsLCBkmFX4SafeZLDQ0rZLxtK5xd8gbswUBsNp7c7ZGptrdTjFS1I1Xs9nlJiIy
FCHbjL1UgqKWq49TthvV8RxkbdPdzHwyqFG2hLIZbYp46EWFU36HLc/ntU01gtBwMqaBm9XVHNZN
PKJ9bfXPSlX+/PuSuZgAvn2cNOHBVFq0gt85QNYOoikrdVOASi29kwFbOSsdz0k0PeAyFXraoItg
7YXuJuYSeqjhAzgyavuQYRLjKgndKxSPhZc7bLMUUcGrJovU7zjtWoyXnfWKbzHP44gECo5FJer9
CKPy0M09SlA/1rRGBC8NVU/tgewZfacHjcTQBkWt1lPM6vOQL0OA1v5jQUPaz9b2o8xGfxetdEHN
zY5FBoAN/FY4JkWGwKSdYgRi5PC24Sh8k4job24NLIFusCXmvna/76dZCTSM9wDiNDFq9L19WJDZ
RLIvHNwir4qnJNrgHQnbLsOFBAFuA51ficLbiXCIeifgOF9tWSNLX6UIzNupN6i22C3tsEeFC0sF
qT9Mo/asK6iCopb0EMbJT2qdwa2ZT10VvWLh4oJmIo6O9h3ybnIX53azQ3SPcryMawyk535v0hvY
64z8AgaTLPSRS85Orn3Qw3mXpW21pEAqz9nizrukcJlhts3b2hlz4xW2gX237ZUWYxRvEtH4QRvX
endy6bwiDYQanVwU+t6CmQsU2KQ69ERY4FR+yhz6GWBZfFWvpfDUtZgDTQ3Tm9js4yuJPJnLdBnF
lImHPo8NGTyMN49p4pfRCc9TZF6Hq9EFApTPbJ6WKK38ZmFfjymQV/5bryYn9BWHdYl0VOijd6AE
pO2vVdes9xLR4ACa7/hLVFV3GDT2ABKJ5TntVHOHFlYUxEDin6Yxbz8x8A99ZBjGe/yaVkiq4DQ2
j6GdZq7NDkWy8Rowl3NkInvfw485ONlC5Fid4bowSwsbgQqZTJWw3NVZFnTb7TAxzbdEfHwy0DTz
u5FjRomxWYftbKUB9gvswl5Jb6RabVTBUv0GvzsHIoNH8DmOKyVw2oK28xghzceDdGNLmLuYXhAZ
KBviI+/0P6wWFgm9mA2Pvp2Svx9OnWnmGYYLZmC3gHJSTAmCtjY4nCq98i2DDfH30Pb+ekwVQaST
YlGow9n//XrYVYEMXhFrQciWBKRmNwCbc45gjuxDvBrNB7tBvE8sKdsMfhtSkQ7DPOdNCmIDb2tk
hH4LOCYNW2eQoUIg64jler8vVzW+mjcub9SZQV0NLeoGhAsza7RdVbD5LfjKnj5ZGLFQOcPW56BS
ETfz1UpvASWIfl83/JTErNpPRUe4NsrtcDfClpMnye+Msvq+bGEkKo0QxDWLDqfH7+AXm11qggpN
kebAhkkTjxVSkMfVtK/zMc4CpgyvyMVVPqqor5mVf5cx966oOHjgAYLzhkkQFMMmIVC1j93KWsfN
LP3naK0zUq3WjuJnEGXaDiWK9V4A8gUjwm5yHE7JmCV4hZqkejX1er+vzO00LTLA4DV5SZZwzgzF
sLrqtldxfEyB9QzLS7kS37KRdb6iuexnbdsdQMVz9mSE3S6rm89JkimIjnJm5i03VFtW5dNxWX20
J5gCoB3533/NWe+IiirocipU8xXIEH+QU+PNQAtQ6+Mb0lh2Rx16N5uFcJGIiXygnzFSEXN3jHvV
vhYNA/wBm6ij00f2obPYoSXGMr6Kw4dfhk7vdxXgbzDf/b6NOkQ4BSgiCMYou24/UzFEejMq6+rX
o+h2w1Kh5NOEzlGiNAjzHr24fDWfzMX6UYDX9bJcl0d253iGU6PtiGCsYmOx92OTk7Ignu1etrtj
8vhAmnIFhVOgdsh04oLnHztaT9HO67jsrv813uf/QR0g+Hokm/9/PqebxN/bfzM3//nAP7RN2/4P
rEgDMVUaJOLfGkC29h9SVUL3lmRohth6J/9N20ToB04mnXVBz4F2k2P8P9qm1P/DJ9BYZ5ZkXHig
/xPapm2+mfPpEhI8pE0aHBCQ+Motrf5X0duwi7rSKbR9HQr9MQVohJxOXJ5miJv+mM4DK6r4GmcF
DSdp218TqyhYc8bQIA0x0FQoGX0hxaxnX9I4Tm5A1JnX9Jnw1QRdBj6wQyoeSGVrml/kOqGAOYFh
Oofwk5l09k15zJwFpQMy6i/AQqrXFQWNLzGgvBI+i+xvTUuZ71Q7Qg29UxVPb1DwhdkvTzM9zE9D
NzVXeldWp0UwsnGdsj9G42LNHKuK9kUxV6lf1X2XXqW5A6QlsfXyMUvCVT0SXpQrNeVCnqGnY7nh
SkxsC4vwaa5SZBwNxbgyHSCgqM2h05AqaMfTj12Sz1hIqE8wxzfYvxbx3TTa6NTnKU22KF/lTycK
8ZTAyLM6tR261QYymDebTZSO5u2QnNUiRWi9hXfhUhoWQNxNrb1XgAw7bjEkyz3ed2kwYrp0Xdp6
NrqgD+PMlaNRDLdRvwyv+Ikqn3D2YBCSJ+H0neq9wOJQCYGfdsrS3MRzZuBCptqMHUJYUCaeImMG
enFZjibmb8GwoOXiltDuQblnmE0OVnWmFDaOqRDR6hekXUGBrNNBDga451l7jfucOakZk76CRNPb
A70/iKpgygfbm3uVt4uersxcxH2TbziSZRhoYSaJ8BLjc1LGB6NSrWDUtPbnBrVIeBrgTQb0Kn7U
mZi+in40T0qdRldG3FX3pr3Ip4k2yTXGJKDwoZpYSgB4PVV28zACYsv0NOqoTEzjNERo/efZ7Nxi
vlnvGrrpkWdUenFCHsrCDzfFzqDv1fsVSZMrDQ7HTpiD8Q1hppwqwugfaIrgaFLJVL1PVgVlXRrZ
jN1TY3ZuyFviW5C2+HZamd1fG62tnY3GkkdVKBIdgbAajkO3ysItJx4pQsVZcRCKkwLVGWA1Zc44
n8OpewDpEn5z2hJoWqbrX622MK+YouWHSLZyQxkI56YdeFCuYZXMhuqxMSqvRBgWVrKTKphOVZ21
BgKXpRKM/6odu7GDeKBtjIJkGdtPChkqbad0p04c7EbdfKvrIkSAvCr8BtHsz42O2A3A+pM6c/RZ
A8eQsei3fQY+l+5NUDh97Iat/oU6Y1cMsguqyqIDiZfIWVft6Sdy6D+E0jY3nCUPTVu/OkkXeiHw
wRzRCpdZlQfyeLotmsi3jFrH5WozCJNmUCXmUNyGBmwuYHDWbAYTKrqwNovOdhN9Rp+q6tb9jMJB
D5ITFDaFkTep2kRAKGLNd0DHnm1LN9F+ssenEs3ia0WF5ttilkD7pB+G+94MQ0Q+MGNi8KaCTnQj
Zba/YboFdLzHIoOxSx/FP7KSmOgTTeS8q7CGdE72OsfxXht4OK5l5AoeTDbNt4APGapbaVEfshOm
QTkj1IPi/gRF6CcCYUMwCIo6mk0Gy6Kf9wjr63t11NWdHjUYAbbWCuxUVfdFpCPhECGb8mTxaL2B
ibc70aUNbAxAqWVjDHEZxES0WNJ+CPC3Wa9RlFUf7LRdv9miMYEOJ+14VUhZHTUMT+9CaYcBNi7J
a51MYY/SuyHJjnp1CWC7zDs4MBPYbolNb6mNw9caXbFDk+Hu445rlhyWMEFIHcc/qtvOQmoN4iiM
ECc5OE3UPuuyNVgOC948IQPqoq76Xa6X44OaM4hS8Ps9WUWzIGWfWtYe6HPPfoi6O3pcjGq0Wh9e
ImSCYA06hzUyrkSWLWecFPPnVkbdVRTNh2HNlIehZiiXovzzCQHt6BZ9jfVWghHZ22Wp3QF3qZP+
WIzjcqf2CZQGSxufHEcbKX8mKIfpbDVHAOzKjdqVan2lsZpuJwTYz2lMhAey6IgTZhVfQ8fpv1pK
ln1ukqG65jFn90W26t96o4Tw0aADXXsNGs40oIflHOPqCJQ5Wjs/HXptN9lwqjrDltdwxcvVn8Ih
2enOcJUvq+7F62gAJhnxRGE6t2mD8OrWKcsDmHTrQ4gCRwvgIsq+2Kgv7ZYahdaCCevJQsbEJItc
a68z0/Qn1qvDUYwDL6nAM+Ihx5woGLZrW2hx3TEqkMGmGHSQojZ/iCle9mYYEfrsQi7wVXOoDLkg
U+UgxRDc6qKqcfUo348Tx33dNpgNCBPDyWz6hBjPJmOmMNmy8Xw7OusSYVocM5kMw/wLmP31qUfy
+7wyCcpcYTXyVOshALVNhu9I7fCTeULmq7i8vsB7aqCvVWn9NIsRJ12d1KP0naa1znNtp9dQAxbw
7sRWIy6+YzSUsIyz9CbV2+hWqztMa8I1jKANTFgcIiRO1oqdIUSuJUJjxtJt0R+nJoGoTztfunNV
DCdYl+ZnBKXHpzkVP1tUw9Z9EnbY6kS5dms5XfQLFewoKM24R0kJ9RMXKVtdZxrjzDvQ1fJz2lrT
o0Wo+R7OVkLQRboXF+dMRXkdbbH6yUIP6hdOjJk3aFXuFzEo9hpd669xSn18aNNGu+2bGoFqguhM
73njAqentTbGZyeMXpDhP7C17CtAjimIBOYkGOkdykY8qCvveUmr6bQgto3eUgNJo4HT9l/Undly
5Mi1bH/l/gDaAAQQAF5zJjNJZpIsDvUCYzWLgRmBefj6u8CWjlVT53SbXmSmF1lLajIHZgKxt7sv
74aZ2VRPNhVifEkOwLncIwkZ+dAXaQgnvbMpfA/aKz9KOHS4c9r8oO7zlhZt/lCTXV/Z8Kb3VcLN
dFXV6Dg0omWbwrWHCxathvOeya01F8FOc0/5RvFqtrPmuiR1atXnjGjPNzb0BhNp4K7SrJBr3WTO
1itd49Efve3oTHh0TNu/DGSbbutBcd6DOfhsTZQf94xs27ov9Dtldgh3Kb21iuPWAeWSRY3Ipzuy
FuV739jMZM1MXmCQcnqoYTQcuqTlYGI3B4qkolNUdtOOStTqe1BQsjZapfyAC8eCJXTvtF3Hx9zg
dl/YlfVjKqaeXEbiM/qMfSOi1dQb8TEDrU9xeZOOH2FoDqcZqFq8GXODeklZcyEZxvIHxaZLNK+h
Xoa+mP1AqPQsJ85RFBAvHAsrJf3q6ZsuDAyCDJjyrNCRK/Ts91zOAPB0dQsJsz1YJh6HyaKH3W9j
yICTTE9VS9Xp1A0nDp3xJgkK5y7r7ewQai7rIAmdnRZovV58wo3xg2TBO76JO0+pZpeX7VK/q2Lv
vqRUWBA3Na1dVBlHromsT+0sichocF1dldNY4K1kV8wxIqjmo0f/2k5MrXHvm5MwX+nH8r3rPmzG
PV3nAX977CcfHLLKDvREbj1xk6r24wBAz3MHVV3PecXZr/bT4J0gjcXyt+Zu1BBJemA89fBHd/ON
2Rg3qGfuPYfJ6ToBgbUSZpOeGvymnOYoQlv5wCEnyr6RtVdD7YpHMGvqkDesIYqMvcfQJkfhannL
FYH8V6Xyk1R2TwOSEvGL5idOdo5fd805c76tW5/QkDapUMg4WT+Ap6hPfF/djrMXFWh1NfWX1KD4
dTV5rDVYoAIB1bKYbdpfHHND551Vb0aryB5mPHzVVg9avRZplJ9Es7A0rRxknig5oVDfCNqKw2pu
ryIly3Nqt65cN3kTyhXVEmzwSDmB9FSzCaouDXX0bKaRday1RpqOTMeA1skRwyHtUqZZftsjRGb0
Pec3di+9i69MB48byTxqmvMif6dOyfqhNMQ9ql691y6yuitsxgbhGhmn5ZquU9I3YQECHt8l7Bnq
K8YCURhk9jac8RZTBEujYp3C2hpx6K68dmk9rlw6+IJsI0tdp8S9Awu4YFjvuWq9AX5uV4FN5Uzk
O9EebTpfs8zdR7Y625X7UVm9OoRFaVyNrFrXaW5c4VQ/OG58O5dDsOqlzjdZotoHc6jpfzbreB+6
GZZukzxg5hDXWEYMz8sPvBGEyMpdUXI25JlcS7f4MCfekliRvJALRjDlwM2IvFQ4Bwal69FzUA8Z
sQ312NK9RmRFfTM4dqwYB4ddnbR3TOeU0A9QCm0E8tw0DiJmYcUw8gOh+ZS6yYZGmaXmAcQ/JTff
29I+KpPRzG3o62jpPmffVU1wC4lsemk+b/MBnpsrw3kTxrA0RdG38A06nmdfNGsZDCVZuBox3N4Q
HXrL+wphPzoQQYw2pVPczWRnz4PIy62MzPmG756z12DnNtx6rNUwTGRmmJvEdULB730IOGnvUIa1
VlXfbSuzgyrqxHSyGroQu5l2Cg6lxtTvR7hkF7qYrBCsQDqJtRF0/sLaa+uTnDpClF3G++vXmbdP
6SRfzcLpD47hhU+dZXcvTVKwU4uijIElIdRxHJulfWy2+/6SmUkebaXSwRNMwfGtFSo8NrR3QF8N
9YoDjfuiBt2pbUvLIKoFtR/jNTvE+F5qNeZblDoqWegmWHHjMJ8pPc8eWlNp0kI1YuXeSLPmmnVp
yxnUp+uQOhr97DjtgwDyuDdb/5HyaffIBYYm1hhlacwoZ9YU8FRykFu62omvN8EWrmH/056o7+R0
avq3NDj6B2YsmJGRqfH0I4lS0jHhrC7rsP/ONytex66GLZznEUS1USKycKt2SUlfseFU18lsj4eW
DSe8YPoWt1CT9NFSXPO5CpnDk6I16bWkoH4fQ0mm4MxrvG8+BxeHsoY8G1dhIv7hLvuPLdb+W4Fq
Fu192OoW3fz/XsFds4FLIwhqv67hfvnJf+ziPBBqPj4ekFQIAHJxePzB4/5jF8dhD4U++ERu/3MT
5/5m+4j46FjCx9a3LOn+SeO2flugM5DEPFzmVOo6/84mDs2ETdsviusSvPIFKzSTX+e4+O7/vIkz
wQ5z3JjmfW45c73OOrMsVlZgiWjbgAuFmeGG8plB38w2HHXjdqub1O/XRIWVtWkam+6ekHz0w2Di
kGF4bd1dmxn5Df2R7Y7xoL0vKSjBzVoOyCyoSCs9ZfEhosfsyBPK2fiUw2EIOqLSk8vUe5KlSS5U
lUV853bkCleBFBF1PFniRUeoO+wbKCzP7p2iZddErhy0oOvNBCRHmkOhHXvRzKEmgbhKJbBLBTx2
Mb6cQeH2h7QPk/u+c6sD3lvgCdZYvKBUkJXsQqt758Wx5gZhwB5Nie7RayRNWWgXGeeG3AqxgGkv
WRuDHEp2irnYEWbo1a4WlVfuYlBeJbHmML6NW8scVmlUOfgqPbwf1zbJdFCvKKL4dfw09A4JIriJ
fzcpCsjYDvffgGvMuI6jwvhecs4LVvwp4xNtj8lbxYbu1Ngmbt2atQhXTbx78waZh26PRViVn5KE
h5gQ+lwjy+41s9MBQmvXlj/t2WCR5niGQexP61M4x9PNOLDBYaEaNMBamwBiqavHlCOMPZyN2egv
iajz30WOC2udgvXMtnC1jZemciZjE1ayKfcOAL6zYbsh7ZEMecVqbsATrLFlZY+lyHoMPTDHsSfM
khL7JvOtD4kTNMNqZWWvs4fOvqNhhyP+Jyw1xoolqFyidHCVeACmqZ4ygiMl6RyDddFv7Lqpznoy
9Dnq6/og2rK6jxLfvK1gaBt0MCf5sMnIBUFYyPWb2bTjLVAXiKBTBU2g1B4LsBrPtsR6vP7MiFIT
2HNn4ei+b9nzQuOypl2k0vHZm8LpxlRFcEA+b55GXcbPToCDeCXovQIi7/svOSU9D1Y5judCYf50
WhLK6cLcSCxAhBmwnzVNhukNdFDWtvyuvYdgswmtgcj3wiXpHCy5qlls5DMDAEQRAipLehSya0jO
uy0Pdk4CuBCy2LtmlD/VlqNJ/Itv2KvJGktivxTIr4D69GA/IYjlMTwQ5tf7oHcF8FFe6YCyv4mh
OByrkCR72MbTN83UvpZdN14TgRMIrpiBK1M200ouvmoL6QxwgR2qs+Va8+WTqUKt7HjHZ51RnuOP
3kQlhyd/cNpLF0JsY3FmPcxqmJ+MvJYHSnknLItJ5bGFG3XxlEWF/ewwoj+lZdt9dFGdPHmWy2rY
7w5Oyu/GnxQP6yZt5Xmy8+q1svPmUoDtfhsC6h/XFY74B1gYJisAVhycWCnupoZqytgVA5/dDmKa
IcdJ+41S6naiT7Vxvtk2ix2nB/JQD33+A5XNu/NrIb8nkdFso9wNKXOSTX9PLjI8TDq2ruK8zN69
JgwmYHKmTfeyQaVq4hUzmoCZ6A8bGv3T8kF4hMc3f0TeMOiNP5jZt7kyvcuUj2cPhbMnQdvm+Fhc
a+B1GhXeRtu3XoWgsmbfOWPhboIsC2+F8Cix4hpxH1KRTattOhK87cfpOQ0KkEUNl+aDkAvoNhGh
+EjrcgbbEIgqon/Qlo9dUFgs9jomgjlz1X2dq+JN1mRJ7L4rqLeiVuFswrW21zoo6LGy/PHk2qpF
op3jeTfqlrOhiZ3QicNxi7esXs2Sz0BdT9VOIeqwGg2d+no2aSnY1FktrU1hgZHPJh8Bu5ii7uxb
Ah91mfIl0RIs/9pv7eZewRDaxyWgdUJkXfOQJFW8xVVVXZlJII9CZuG9ythLgxVJr1FMw+/A0x5M
nY8n+OMssjX49kvwud4mnxqv+s+ldyhUd5WONatwy2Dst6xJnOSyKc/YY1Ext+zP02WTTiJvWap/
LtiZOefLIBs1HGzmjofQjDOQY8r9bi/7+b5X3tHyI/NC1+VwTXJJnjK7z+kU7HK1Njr46umy8afH
czr05ehep0mNVWn4FAeyZf29bZtWspiNwf3Adw+qG74K9je56AuKLuKjvWgO0ETyt5Go9ZuRiW5f
Bcuif1h0CqvFWTKWsf3YY8zZzoue4VeRf1J1rX9XoRreqANF+VA4wf11+qmIzP1QH2gBRCeJPzUT
q/gIGzqPye94/oG+a7HrK2FMG3sRXNpwLE/JIsKUixzTfyoz3iLStItcEy3CjfGp4dSfek78qe34
Oqhug4jLy6r6Q/0Z+uENVjaaECnF8D5ahCLxqRmRiUE/Kj+1JBDexU24CEzFIjXVsMm4s9dNfSk+
tahmkaWsT4UqXcSqokfn4/OPhNUsYpa3yFqR27Bsgjhnv4PsDglG2t0A30SI+Bh8KmOwtMxv0svi
J+7ZKGf1p4rmLYIaVfXuMWO03AfSDb4FUS0pkay7Yu2XCXpcanfGEVkLlS7um+JRFBXaXbXIeDMI
CucYFZN4LrUpx83oEjdppNSMb8iA/SIItqVn34+LSOgE2BjCRTi0FglxLufhPBdNd0dtLQqj4bXt
M/uR8iNaBEgmVrnPFlGymf2MKl6/uA/Cyjl5tWAEJVMgn9tPPbMdaJcEWUZP61VSa3kTL+JnFlbp
c7kIohzY0EbDqkAnrUgWnwJK5V8DaNqrMZYvppPpPdugcWMvG6t4kV2DWjuPKGHpFbFEZojgc54o
ltECkwZThl4GjmgZPYplCLE/55FkGU2AegdbiuRMgFXL6GKPWXQtl3FmWgYbu63knurjXdyJiNV0
wmCIT7z/Pn1ORXHqSHB2XvrqT7CEkPAYoKD1+Lfij6lqGbDCZdTqmLnqZfgylzHMEs1bsQxmwyLr
dsuwRo7t0VnGtyHoH6xloKsX3m0PvlStvN7nipXAUNmPRsMmq8xU9hDzMXmuljGR7sz5EA/0PG8x
/8f39udE2X1Ol2WnCcsWmIhegqadfmjPRySBd0ef8wDmp+b2EzbdYaa2NELp5KADrMxjSwQJFvB4
R3S36ZgGY4ZH3sSgp8vY5vZJlsy21nPUpedkKthwUTEcbkqMyGd4xo+ZqbyzwqHxGCMVG+tSlOKq
czCJWAkeWS6GJQAeNzcf2zShEJ3MA8WfqqY3K4IRCB3kcXCuQt7y3ezwr+eNe9PkpnnKzcHZDjmD
P4jGnL6GKL/KLTATHsXL54ag+oaC5lsvj61byVGZza05XMKqjE/pnFm71IgNMsMW99jVENqRu/aq
wdv08AHx6AbJrTWO9Yn+sQFCLuDJ/JCnqr2pZw6LLGtd+eT2LkiruS3R1OypMCQkQrN9gpEiSeOM
jkIlLBCt5ol1HnihZCM6TomY24oMnJHBHgqPScCnEzzDLf7f6Ky8djGeqGkigDKN87WP0+4Fno78
BvZwOsnMY3WAcMSiXpbuhYsdBlI2ltErX2CT/eRQcIQ2RM7dNCseqJFUNxpCF32GbGmQ/rR/DTU1
+ghkn7dwOZRXbVLOm1dUNlNkms2U1a4dr23MA3t5e0fouoHclFH1uwOmaxmbjp4HE5Xeph1vNhFe
1q1SYu2Q+Iy3JGtdeJ+zY7wtXfIPBQtysW45s280C7k7mnO619JbKlyrfipuOnq+K8eXLXAV1o30
M/Tmnd/I7JUNMxMaslOS3zUF2gVJVah1GzdCZV4FNJFjUehHnIdmETXiMGqLzlt2Cjk9N3bwHHod
g07vwSmi74GP6jrvqoZKGwp7040uJnLKcraem8Zw1L6Vpn+kA2wY14mt4m+l4efTJS9rTLIO8ciP
pnaQdrCJ1dMuNFuPolDPB72fYTKM7lqxlCRkWYnMxcJj5qaXEQaz/eme78ywYiHcjGv2bZw1uPof
24gCqC4vjiONI89cltx7SZUD6/YwOBb91D6MEEEBAGfz8zArz1gFEeQ6Lr9JuyZJgYeQSxJi13/W
e/TfuiIhOMwpmlDx/70g2Zdvv65G/ucn/liMeJiKuNOaFplnENDB4sH8R1EZAHn4CJB1WcGQhRas
TP7Jlnd/83HcE20nMwMvZoHF/GM1Yjm/+bR0UiiCcZxfx6Ll32DL/8tihCfG7ASpgnAKc/iX9ILt
4XNws2HBrTGMjQPwgDBpYWcs5C0jT8brX96Z8x8rl18R3Jir/ryI+Xw8HhBLFLz9r4bUTLH4l5wd
OetB3Zkd9dHPQNGmgUzbXz+SLb4kvx3edJZH+LHZL7nev0RiOtjQgpKwYQs6JKX/xXURnlVkXSVw
t2/SUPU3HW0Q+4ze0M0SUHqXQOnOTTGmdGM4Xb6qDGpqzGnQKA5dA2A7DVT97LCiGXA7SfdWSmVd
d6bd/JgGPKHrxvLQK2BBUXqWz9nocc4tfxohxGuiz9YjFeFtv4NNVFnH1qnNc5zZjaJZaw43beI5
P1sZldRoDSjqfpMxO45G9FPJmBV/4dE0FWbzmbJT5Ky2QkVmh83SApfDJQGDeaxA6PaHivJ0cqlR
wFPpaER+Zi9GftOOqpl4I3du3BuUvIPQVYa317OAs0EtvVGtga2SQW6cmnIiQrz1B7XhtKI38uqT
dGX1oGcNKAXFJB8LN071hhtzeE270nwENlycxzE7jZHdbp0QJJeK9YuRw+IDJHFJHKjAheudphHo
IoHnaFWhk68FtcunKcoiur0xNISM5ijrQRZxj4bdEuNO2lrGyEJjal7iANRzPhIPn6oF2OSBKhh7
77YtOARkcJ+iTzQ5wvzWNYJtH7LuSJUNcpNSHNu4n5hLXQsvKvbSaE+YytlkOUZQhJd1qglih/ik
SWepDxzLCxQTbFpCXsszB3BgC+61ByW8KiOAD3KhX9syJ47vm5ehI5zfIZGBM1VvygbytgQXF+oM
J/hkZbEVIpRm7GNytWVabzDvloCGI+KITvTQWolaA/F4p1z+tGDjqjLJ1pmV702o6qt4IAdvNzBr
RUo3UG69JzLfCZjD3Lra/YLy+2RJpCFJZf4LyzEmbfCpQXzKW3WtcICtOeksRd7VA6eQvcGhzZ/6
YxSm+1YYpwhszVYH0Cf80SdcX4VVpU6JcCDVwXJs7qqWMgPYLMUCIR2wf6zEkB3NYPwpCR/A6q7l
Ls2XA9CCRw0Ucdi+HTjXQtfDs8bqJQ6QCTrHv7WnSN2KcPxB/d3zqGy5RS/HgCWYZGRoPDLvnsiy
mGsklXBFSxsZGDzGn0yKUSqU47Tcy9p+Sc2AFxCCVg55uIWAHWIMSkirrjIpvHXrQXDQFKjlJg8t
B9u4asq239QoikuD2CXKYZOHrG4BlJDmCHO+qCiR82NLPgDqnvdIAgBIAWHYvuDv4Jgan0FZ/oeN
vf/NN1cShL9c2Jem0f/3R4PoHz2g+y55q9/arzfYz5/6nxss4gHdH9xMhY0Ixu/74wYr/d+o4DRx
zfzjDku65Z/ag/Mbt11X0GjAvQh/MD/0T+3B/M1a0GBE3sDKIAL8W9rDlwDNcpPzqMy06EaxuNN7
X/BMgR2zceNGsG1drnGrmZ3Dc4T8+u9BVXgYX3KSwM685MrAJPxZ4GgwviQAOuSy8e2/96bh73xT
KNoU27TfK9ri97/8Ff6XG7m1BEp/lVSWR5QAzaDJkAkkUvHnRwzyOUXfD+XWs0bO0To3uYR3IJwW
BpCADkG/4IPfecmhDSHuDSYjDV3T83fWC9berILkupGRuLYqkPf23CXXwZQNN5CL5pM1pvpvkkxf
o/6f79By0nJdErIeQfc/P18GzHQiK+Rtwbzn7wM81DWuWf6TvWOwAQeIUVB5crmxl+81hsX3bvSH
JzJK9IV0HPMVUvE3NJT2mkrw8uOv386voJA/nt7iWbfQyfhM8nn81StOg7lJzcAktx0p8Jt4trjO
x24pNl4zRMcJ+x1MIUuXx6ylzQ+wF2VfCmclz5lkzUge3p5UfjeNpOQsfWVGxmVUbK6ohOx8bK1V
n74KZLt9z27znJV2+aNTFqVXU6Xv//q1fMLsvn40MDwIn/MVNIflXPvra/ERiMy2E+5Wd1l0mrDz
krEebbXBoBaBZ427FC3HdLcGROb3ApEpXGV5EaSrIm/dwygD49JRW/gqnV4YK2tprUkN92XEHNQw
5Hs1yfXCi+msyQzi9KLrrxi1qWFWyat22RTHofsSuK24bQ1cdMV0h9ujP+iJGtu0hhVLwWp1coxw
1hyLBkindmyFuygvOLwhm5MR8R0sP1QE1NqM3n2J9WRldUIfXShmN22SY6OLuBoda5YNtCHaBjGU
Enrty1+/l/9yiOVrhinOdYgjgGWQ8svXTIMCSt1mcrdWKPK7Er4HcILBPPmkDT1hfRjJMN51ExPg
OufYmR/osh0+ZJXVP1Bk2ptKIQWsqAn1roA+ZxvPqAjLF4VnrXFs6HMZkaTrUcjGo9L59B50g4VX
NCyPNM8YhPJSddKzVAoEeUydlDLHk592ya6l+uJvPjhfcX7Ll4Bv5hIq95cj++f//0tgQvum7r3l
S9CkVX+rcrtDIGOLd6W5rJ+NSQa7iuZlAMLZfKkrn3pU7SJAkkfTB2t2/G9sfKefuOTM3//67/B1
TuKZ+cvTW/IhzPtymWt+eWaZmnICl4OLP9WmQ7FmqdlPV07LltEb+78Zkv71nsGD4a3EHy18lvdf
UnQl9wf6e1t3S+7bezExDS7f4uRvMFNfR7HPl/TLo3z5lmY+WONG1O42FXH806RJ7jR1hcEOqS2m
3V+/fUvO8MsVwccsHCx3VNYW9pe3j49kojUOp21BzPRIoHd+J7YtT04tzHt7bLjsFhicmDpMszgH
VD5u/voJ/C9vaQBtBHwb13+Hf/zz3680ULSryHW3Wev1T9bA0n0MZ+9v7sL28mt+fZ2wdzg4ILxy
CSf9430dp7nk+lOWyC106nu9IMZyc9oncX8ZaXcP4ruxEGsxDu/jMK27KDPuZotVFPcT6MFimDZB
1+Hup/vzIhtNa6bCMOaO942tK7p8qRPVDHArs4uutIPvZiWCuSZ/XP3Eavk3Wc6vnw9wBu5iHobv
QIDU/MqrpZCa/ImsvW3FbWeNDdtHMQVlN8vS+Ju/zr+8bTArlhsfJkByWe7XYq5oDu3M6xjYKGZV
1+GEExfVf+FKFRlrxrA78FYHf/OgHAW/fquBkXC94bjElRVSytc/14DH0M5pI9lSDfzIPFtuhfLr
fUBV3ouoylyuSCHeGyq+qtXwSrlQsvOGyX5LaNMFUx4dOfvgffS9lQjludE0P3BxQwOsNVIHYmQT
xq9QfV/L3trHzJAr/N8sy3Pq3qusJQUxjFdu2hMV9hrzHMiBDUWO8hozIa3op0TiMidzV1uhe+OX
rDUVpHltGxkc8SFaBSGFJ0LnF0h9FJMAS+MLdD956ZqL/lXq+A8qKLu7GQCont8RHJu7Ys4pI3dd
9dKURndnVImNdN2oTTgnFutiWjjqxmMpEsuC6p0qS14nbMCbsYuLCCtB07/bWVDvnQiPwCpnu/k6
xra/Y9H+qHV/rv19x+uME2X9HsbgH90wZ4o3VP6dvHDMcjJz651bpWDO4kBjPIPaZU91futUSXq2
Rkmw304qOGlsDFZW3dk/G5H6NzlGsF1MFS4+wZTVbmD14XYe6DzGZiDS73ifh23M8oYGqGmtM/mA
Da3ctJXI1aroOidbgxCYjrWInEsY9RVOf4ybwtwG5Xgoo2LeUzp+CFGYiXlNo7NpJzv4mAZsjUP3
yKblZ8Lp8im2CcmJGRZe4PfPeVRdN3S07BqWMDchi4SnKqFppU9ruDyTLmFwThnRtQBLECL2JQ/m
p1HhOu1Tzzm0eEDQhJSRrVJ/RKgz2v6uHmciLojbZ9Ir+Tt27OauqzFdUV2hPug1DvYkXJqDWfn6
sphNXopKZ89DLPakLcp2F7OAOpcwqy74AFm2jAgmdDPb1bRpkn76lqm5vYhw6r5hbwCDZtTToxGF
eq+pUL81dKUO81gb93Qhx7cdHdLrxLTNjVXlHo8s9W2IwLxNh9HcMs5bb0Zo1VclosMtglm1ifjr
HbCotJeoy37UvTdRo8MrHEzX2OMSPJvK2c/lIytTKDF41CsMKKEBWy4xk+GqtNLy9zC0osfS5CNZ
iS7mAE7bO8EH65rapxnuXUXxb4BHoRyVe0GdiWjeLokE0w+wLlHaPshajzuDhuDrXNf5XeH6P6PK
fS1MVgWrhsKmcFXbMe6XxitxwA/UX08BdYaC6ELXRPMVOziMVbV6rnXzrAPc3niIrPpHBlDySfmp
hApV5ftATOVWhyRkmHyaU53X7qZGwT+gXGa72vDV1hU8KbawxZNTF8YNZglnQxqAfzkt7rnCjocq
r4YrqxWIf7JQe7ayJ9CSP4WrwB+NGKCxD2AuMwUSRBzxL9Bc8dDDuNr2Y2/sUnhLd2GjWZQhTjwI
YtyN75b3WT1IzGVcFfgOzhtHxP1VlrvnWZvi0kU5fxO8yMUmaobu2rGagS9VG+2iYBhYBQqMnaU+
QSaJWM1IYlUTqzw3nKNvLa30/G96PppmxQssq2Y9uVwdXaeZuEFU+cq1ouSt6YruhONguGXBmV1c
AEykrYycXklKv6Is2eOdeK2ivNkpmRQbx8iIvprktPqg34zsn28xh5MlodbkdzEk3Wrwq2RTBQCj
4lRVZ9vIA/IsjHZyJ3LnSYQVZSXERmt6t4uN5aV3Rmt29yqcjlZOz44ggZ8mj2GaFrxinV6EOQJS
mWL73ZzH7F73CSd9f8BEnDQ2vPh6LpINu6272pbOptARBUmjeLDCce0WDkCuLuxXntfBGtDdlgz6
j6KvjpHlbrBj/yhisgvgaJ39oKW9rw3zAdPIpqEe6wafHkiMjjjsyiXL8NLOMFl1NRThd8V4Rl9K
mHsk1KaW6Xquj63VqvXCxKGNQN12M53m9FFY62gQM4Tlcly6Uepu3cW0XC+CvbMDL4oaDWieY0dJ
p3GSHkth9GfDIpIWmwVMirLU1y4et3tHVpcotfABYQZ/i526fJtpo1hAfIRyScriCnbiUxzW4oVn
zZa6S10iyXG2pyZ53kdSR28B/JPryqcB3aOQ6x7HSsX3QgcH/DDdGqc+4yA2Gmpgy/xKC2xjNkxF
LH2peZNheN61FRfvJK4vtfWRRuwRVtQCNo9+6xUs1yN9todsupcq9Y9kz6ajN3vJEWf/tHWyNnyG
XjC9dGB6STBk1j2Ub1pS6bm5SiM72aOUx9/90p3X2mkqTCK+96KViREiIq6ZCMXtNiL/JtNoM6ZC
ndnstOQ8uxJ0yeQe275xT6HoXJCQvflItUN8yeJWXNXN4J+cQHVbM0jUTZ/7/FMT9LeVl7zrvEoe
EYlNQJTKPPAR3VZd88PP3WhXZJwXV169XF2CKLJSgNec+2dU0KvGEfS01te037kmSdFGFndDhrNa
sRFu1+TSwq2BSHojYBXct3Psvrtxlb94duFCJHCeJqiJmzICeE0Her93h74OaGtok73psC41HJlf
twAjuIY59Q7XpNggxJP4JXv6YLg9HsxxzoJ+52k3uqLWUO/MiUxXZlVQKxzqNGBC1oamUkg6V4nq
yVL55rPvtN7Z5+dXiBfGpQiS7GaOq3cStNbWTGvBCTiri4ei7m4N1FmvcT4K3AtQKdXZTQO5GWnY
26ghSq56wfusPNxFFfr1inXUTaM0fLFwzUEt3NVhPlBOZE3Rtqeq5W6wgu6ubRv1jRFTUvmQxdaO
EKuMVl7T17eOCMInr/aseypszBu7HfS1ICJ5M45j894QBIX/XUXR41DwZHDDuD/FaAa/+5hVr9M4
TrZ2xM9ZFAJualnUFig+tPWQcrV+xXVherODxjvlfTMZmJbKYlsHXnGvgaZeRVXS/8zIu9I+LAxN
i6rf75tSC73yrNj6Rry8WidUXoA3dblf96x/EGZkaFKxox1ulV0VPjra6vjjL+2qDbL8ngpVN+Oc
WWHSqSIW9zEFgk+lG4wvpGIzxa6bxAJNgOzJtwkeFbJUZRLcplHa7+yU0gHBMISpKTTcV1VxC/J0
mL1Ku/MoAzYMohpDggl4yIObIKs0T56+7JzzDPQOAC8Vak1lzHdjyoJy09aNvtNT1NwkfXJPYOuH
4yXPXe50NB1N9jVlg+rQdfNLNxMkacg9gTpPa1A+c7m18yVzvdxu6NAgTRtgqFhWROOmyGW10Znf
nWxRk8oKu2jniSSEdusValXTOX3VR8OOqsNNkmNB5e6KLY5QCGYHzJxHY4z1E5U8xy58nx3v3h/s
x9rv36wqonFLfcf4+hLZjnPIlZFf6M2GM2IW3toxc++U9X6Kml/G+aY0raZelTOmjNzUNfHrYMYB
YXSQZDKbc5LvFjeBW7cPRpNiu8a/iltW290tXVWE4/BZu2+wc+kS4il05yp01SULxodwzMWBOEvx
OkJNKzG2muLAamn42VPv+zDD2t1PY0nmR2vvUBiT8lcut733Dl4ay1crXCnQWbTtiIUbLfxq3dYl
qadkOPToWa9F2Vqr2ur8rSxVMa5VcC2KVF9kysIFK3xcbfom1leeWwxP5Iq46fh+LyoEQ2RTibfr
fTTBdmFVlvEHP1NAf8kxLWAwl9xYZY3bY54b4zod/GTL+b+583AvRNulempb2wESihMZLkwzgH2k
6bx9Epgtl1ynFGsrto0dnaf+gwH9GnozS8NvZJDKVwZ288iKotzXvh3w5e6CPcIlwdfw/3N3Jrux
I2mWfpdeNwMcjUagqxZOH+WSS3LN2hC6GjjPpJHGp+/PoyKzIrIahUqgetG9ycgbN+4gF2n2D+d8
Z7m3silUQVmRY3CRdjrwl3iH7Y12QIXmo1zuDGWOm9kPCspgEEEHomaNGzNxItZ8c5ffFEkb3XYU
HxsvyfE2EcixGyMy3VLW78cylk+FQtVe9vWvZYzTHdl3yYOrjPph8RwjRDql79NLFF5fBuL+Ak9+
T7wiOI+5bd+gXWd/hY3q83IUvpdxnTyMU9l6/Msc71oG0bPJjODJX4bh0c8xjq3HIf3kYClOiZrm
p8lE6Ej4VF6jDeqrd0wGLV9Dku+TWC7XxZDGJ2uJ23vVzfUVkmPn0MTjAAKnRPFi2PFL2owRBs64
4gVi9jIJiZWTgu2lDFIHXtcYFDtqngaqg3JJyyrnYN8qXw2XKUN6y2RQPecuk8HZ0OVVHag+AJIw
9fdmn/iMU5ZO7yvqtaMoBvE9WaDkVmj9U2SlTXPfSpRfycqYSHzwfPrjpKCb3OcdQ9lVBQ1/i3e2
2ifVlCG3Kbu3NnOJhHJMFgcokhcTrW48ZU8j6oo1mhlr40K4Bj9cljQ2hLiZ15D6kpMhTHJLvbrZ
q4g0FcMh4yPTSXfHNQnzylnISeMijsFcSP1sWFX1hMirwNolvXXbQCtc2mo45f5870fS5+FX+bhv
+BKMVQNC9ocfouQjYZ7SMieCYUJnhACM3kp6ZyPB6Op3JB66RLm5YYsX+ckaLAamJkZjHI1p+1k0
yI3VouxbS5Ud7T0FzynCx/7hJVEGWpmopU1keYQc1ZU7pWe0C8OuaB2KXWPRY3us3Z6TIdZnvlBG
6E03GzRV8GW41PVu9kW5zx3DdJ7LKOp/lJ0VtNZMDqsr2y2FC1dQexNSplSgTYssX5OhmHfTmkra
MG7RrQ3yaGERvFisvdexnMs9TlbnXCxOsE+NFN9eqeoB7INos5q3HSYh8YrlhC97QivdLsuIPytP
g2RbVnOzHmpFcesvstnovtM2mXMm3EGReiyqkKMuK29qMTsC4bjJnaB/ShV03ckAkDC1/iW2Sc4/
SxMsJWNgd7pajLr85RHVCJSg4IrU3LCorSblXJd+ubzYldv/JMyBbszFM7740tu3McI5vZJEF15x
FXIM8L0h41aPaDFOnoz1qa+FhEcyLsVWecq8ZhoGwtJXpLStlVOkWN/q5hYutHmqTS97p7WkXfSB
tBME0eVM1zm4X1pLktEmnemYDYnEtDgZFYrHSTRvfQvmq8DS/8pKifeKfCUavbR+qNjTX0edF+db
Qzq/CpsB1ATi3h1clifMM3eZWq7ynLDfBUsx9cxixOdU+8XjPM7D1oHCeWwSaaH+zkmry7qx81fo
s/utrpbhoMvW3jRGSkYwcMzuxQEUss+4vp7jPAZlIWUiMr4Sq7/qliz/qCmXNtNUD3te1Rgj/Wjd
NajvBD59IlSgFBmREQ4zIQThPOuIDFI/4ZacFfFzlkVjQDf8y/ZaCR15Qf6t5u/eUt9dbzyZtACr
IsNz4FgghCQJA1t34gjFWzE+d00cX8mgCa4zPNjfyr8oDpc61ScmW9wMJYX1Shq2P65a12IM2qV9
uMxks/XBhO5R+M5Pb3tT/3n5I6CZiGkIznPiJt5GoIJFgqBSWnvBOhO3jqPdVQN7EkgsXxyqVFrw
5dnrIOaG+TL9SnGD5qGS4CPmyL9TyeDdDJzBHl9WtMby2jPRyZ3xqIZ2OXQ4Q0iM0W8mvwsRlAay
EhqTfCcGPReXI2Jedxq8yMgcLt5Ba4NMI6dbnNXOK0nofOVcwyQWAFhix1VvmC45z9xOoWsg2lll
kfZOhjVPIbUMFv4il+vWWm6SqmyPAdb6MBra5ksXM+O2cjRAKNPrGoCAQ6edBtgxlfbx0oy8BwY+
lJ6SNl5hTLen1TBzJQ+5PSOoWIxdbfagF7oLmjAe7eaEaKbammC5D8i+Y5OInth6aGQnPhllgNKG
DAedycjmw2L15zLqkjvLZi4IEr2gBxzJ2I7GcIDRt9FCE8gsZa33fMeHKVzsS4y5nHhik+BYq+B1
Mhz/OVmEgMbfEaktF4vRbDmvPe7eqzETzo1Uo1hLypVXZYnsWMK6CSkOmo09qylMVYviIwgmXF8S
4M5gGnoTOAnbuor+6t7XdMWumhQOuyD9jDvgyE0By8/xWKPlaVw9lUS0PcbxuJwNI/af2dfXtERp
VEYrdwQbKGOzDguRWQ5ynkE+S3iszGAL+2HQVUA/m2IYdgd4+gvhq43jSFD6wBcv9IwqdCselcCd
y3Q3UUtCsqmhCKToi0K4MlFC0J8bU25p9c4xCutFALkNtkE9UdpjZxsObKHlEuq+bUrw5f54Hixp
7gvK+5rTVLYTbZedxqvAmyCag0c8tXUdXcmWlKyk7gg3njxxTcx3u5+IC97KdsnWnurpgfpCQM3N
mrt0ru/60nGeLGTYJMi/p7X4CAr8ax6xn+mKiq/Fbo1bel1hLyBU/EaMkbeP48Q8N7UHPaFy5FWp
p+Im7fPHKiGR3AJ7iMPdth78znUfx7yODrBWlg1moYfIxmkhIzGdIUKY+7Hw8tPMTVqhhN30cTae
I2OJH8RSlrt+QGpE+GUNojBxbqbKBasgmmE79rg6WYa8jXCFj2jUjd0clQdVdP5uxGcNNXb4GehW
vjTwAacx5nDUI5hHD2GcYvMF4rA8mHZdbFocOjs/6ZkNRfj6ecKdeLM4S/IIAmmLbHvjAMI6gPe1
N6buP92+XI6ksju3chwA+nQ5UqGVwUlK8tuI45zc2To3jRYMvY1rwLttPcjl7QBYNuy8ftxmuMOT
1cBqudmYbXGUHWqRxtgEWXVSqTG+lYH3NUoj3o3GbB10BUVqQPl9P5pdWPfi2l6GvdHQ39VD7B67
Nrll9luzOyh3dZLd14Zn/kqaZeJooh22p3JmnK/0kQHYU054bNyYfsjiIbRT4GGxGpuDA/YjrjJk
3N1cfDkD4dm5070vS3wNB9RCR5jWdbyy7LgkR1vaXAeGBxSfFohMsYNv6x5DVtCW+MoqNlmUHv7R
Q8yHDJwGWRQaI6dDWpnEEsOQknbCI3T8vZLYpUoF+N2pBU37OG9jzty16cc5xrLU+1WXlfsg2pi8
2zixk241GfCvXJ0N2LQ0TCy6iuTKM9Jc7CBueG+dsoz4I+Jf8Hp2jaDvDaxHx/XBq0yKaVuu1Sbn
vb2EZYvNIi+ePhYUjDI6jDyR4UYPbeNAXxkD8kOwSBwCzyGYFFhP69kwMCoFbGCv/CX9iPyIW9HP
eKS61KqzR+yOGStH/MbBR5zimFhZHvo0swUqdxQp/UkY5wJIWxBk+X0Q+55zYJ2NBFCP7EdY0JIg
T7olVHHSaqbWZiYqhhTjL/chCdrJ5TwNwNrAhT5nk8ofxsHltOXcICw8W5hpTlHloQNJhf/WVMX4
oWvb+8r9nIwwNxjL1RRQN2OPrUK7ngvCcFABy1Zbwx5sbEVIGt9qmkFFtwh8w7iXRvfKoLjbZPaE
j3Ue/Css3szwQSFAGsDquhQnYdYQkpr2Fi/Toceqij4dPqmYbj3ud8zPt44RH/tsMB5ca9LE2sRV
fO9RkNzwxCVvZNK2dMTtaupj89rXsIe8+ZJAYjf7QuGu8yINaiALdqoM3lWszl47vyJXnFEARpQZ
BIS1hxnfV4wif+dWXX0KHAc6WseDXqYMG2NUwohsrPHM3V1xQ+ZMybKiKTe0AXSqg+HOMeYHVX4v
uDrCznV6jNjJoYLOtBr8iJ4JZwIqE8FWqgn66SGoq+EpvkRjz6nDkLrw2lOGgMEs8pveMaKNNfvW
Gu8dQ4q+jqJX+oXShFuL4cLPneWgiGt8T62sL7EE6fm44LmICUjOLzDilLUwbpLQKMeYIy8JJfMC
ncXBXpvWuDZpdWzOn7I+mUXlPbRgMCi0mJ+mJjgfkElvPbbknb6wH5itzjdp7XVEmM/Lq/bp2sqQ
VRaTDcHDciu68nWaLOc+Xqwo3vaDo98bM833I9XxjRsM4lW3CwQP/BeU1vnihXWmA/NmJuwGWobP
x4AezMh2ZR9Htw6joU96U7qQJYtOqYorBhV8fnySRuJbm8iziidauBQbfrcj+yXEj24e3cBgX9Cr
/KkcWuwRzbT1yul56MuWTzB+YoG8ayzpQ4mP9GZcuj40NXiWtdd5zLgz49aJWSlyrqRPGNgw18mG
zkTxoKEUNTsi69NT0/oXU6gms6MjirOAKJJPXNkM8sNFpkzgsUQmtqPwvku4m67dxNtA4wbkyB2F
WMNp+WWPttcgamymfUn/+YpVn9mqcNuDl9ntF8wVEx2UzQMypV2UrsoWN1fhWfYcttaQ7/Mop2tY
Fv/aT2T5ZM8CfAf+QkJYTBdyZDXho1KViO+TNj8NPvrvXjUp3pWWlYNdFvu5C4py3ZnjhUhWTst5
mdNqj/BsIl43kfYe5hZ+kuoSlWwDwHvNOBU/F6uzwgpxzYNoIsWceG7So4dZB++fr+6GnLWZsiMa
udq++Adt8nJkW7uHzlZuFcIPyE8TdcyV0lE8sEIDgwdqf9Y4U4qal30wbXc9DXzkIXbG57xfEvqP
RW6w6uJpkxbBHYF9EH7DNTgl3s7rqaAgwwz2DR0cgYIdW0W1btvlHuBVT3rsdw14Jex8gIH5peKd
Fjs9o9erTw6B5Miki+wuWxax51Vy7gLGQc9uYmMxDQxvjSexot/zBjKze5t8qBrOT5ZxblUE8qJz
gr7vK2rnqJ2OnLhzCFpTbkdO6Z1AhY1BrrtsxtrIeikYN1xFbIHWgJkTEDiOOI8wcOA11R6RY74f
AeavuTwwfzuY4THxJxO8gSIZpzUzJGdtwh9aNbkxvBKJ4z1YPJ/3SUNK3hg7A3OHpT57SLXArNig
jj0HXB6HLAMq5R5MsFRMU3KdrmXulQ+E1+e7sRfDSxtx1tWmw0IfYDOMIm1mfMUl7l4VFpXFZinG
0AVvLPkEtG2/eVD1bskWArLDXya0ESrCmHA8AuwDFdpmLPikiprUAUcfE/I/WEfUiu/OVLfyw5iM
t0rq71j5zg0wkDseKKb1TJPCshiyu8SwShDQWXfpHNyknE/BwuoaXs/Uj7uawzMJk65Xex7rlvLR
YWQ6lTI5EMEeP/mt2evLRUQiZh0UegbJ4/tIBpYAH60V7T2/7D7teMK7UJ0j3xluW6PUh8qc/TDP
DdWFw5Qhn0mGNLqPGRY98HSlL3nVWK+TTfaz8PsYNLwXb6M6Wm5FVRdhC8GTBaomlWIoLPMV1eXw
hBOUwZQsAbRmiyUPSWcTYyhF/B3Ei1w3kZlvArHohzZom+sKe9uW26LYCL/rr6rZbOhHTWWzfrF+
75LHcMaHezQyui87Loor+PLWwRgCyF3cIQ5Wd6m3vauWE4OW4bAkufGRx7F4xoQnryqapH1vJD1z
WD/ZzWmWbq1BbAp7Hr8M/CKHdLIja+XbkyjIJU8hY0xE3ddjQUntdm9AorJPJwAn2CXx8uD7NgFC
mn6nWWvWxygY1kyNV+gb+d+cKcmjBtc2hiw35ByaaugfrLnsT25et97JlJW6GrSF39UzpnHj0Wvt
2zRhg04qyp12EkknKUprH1hJsWnEgEbFapjqBZn/GCnHPiVNTSFi+QxtCnvifebVa2JQHLVciqek
K5GQGEiolr6+MWrjya+Mbwdp52PZGO25Ht1oa9Rzeqlqkf+7afpsGp261WPsPzpzrs4gnsCDZ/cT
o9at7Wbja16L/s6znPnViJIBeHs0Hp06lSEemvGVY+VV5IVzo41LfTCV+cnJXftYFb25K+KkvIvB
0IWRp/IvBfpt2062GXalSmlVTE4HBFZ7esM0DtvGHpIQ+Yd3wEXb7lQnl7cSAxJ4Vr3Yn6VjUI/1
jWmsCurkY5Z68brCLYazpyrXvcA4GjfQTTH6II2o4AMrJ24OZSOY+wgg6BfGQjNFNehjy3r1gqLm
rOVvhaMpLa17hq3pUS34TZnZZvyu/rzF8J0f4rFw7hq/7Tcl1jTgZZU8jhYjjaz6wfKxFTN3RgER
bUcZHXQr7bgtPKYEbzq4q30rmBoLGb/JJPlCpfQtmbZivPK3aWRtZx+JGiCVbNe09Xcu8hrkzYXx
1xWr8gKay7W7TkqF+T++nvz6eR45duaFRLCCxZBhaZO9MdisAfSW5a5V6luHQjUPurf2KIZC31TJ
XmdVEcKLQ4HAVggD88wiS46Me8oea6pt7BezvSJhEv6hvnZbpt/aEmyE+C33vZyzrTvE6JGbhdRh
tvvZu0+27NYgSvhG+mn+AMFYPHoVHWO9YBESZW3t/udSm9SNrO43gPXiDyNJ3BtaYHO7yDjfVX3a
P/2uZ/zvJlbtvuuLjaL/X39Bv//rX3/Y/9uP4+/64r74yw821cBO53787vT5ux+L4W9Ww8t/+V/9
yT/8HI+6+f6X//HxVabVOqVHTz+HP7s6LMHr/CdR539wghw/uoo/Nf+L2fKPX/WHE0T+5nk2I7xA
BDbq80sW0x9WS/c3MyBnDqUfHHbsk+hD/2a1lL+5NJWmCQnLQtvt8FN/s1pav3m+TZYiP+Pyf8Q/
ZbX8Rw0ssegSrSHwKSAFhF9dfv5PEmLRe0bjc6Jv0Cjv4fDciij/sSRFCEHpRjTcqzr/aV2WtX/6
lP4PTg3wzP+gShXEYxC8zhyI9SJfyz94C+LEcxaxFONG8NJ+R65vYsNyXZpmT1nxwTYXvMmp7+Iq
9FNjOc99Mxe8WsnCHqlvfgij4bLN9YgUqcrBAdVS10cm8tgE21Rf2E8xmLoV17O8I6MaN/LIu7h1
vAhZVIf0ZBHKvzLiQWxjID7LqtLcqQVF1moW3e1EQskaD+xnBoZozXxrm+E4CekIkNa01VmXZbka
YnMjDBT3QwK70J277OzMFnDDeVbOCeGTdVdgaDj5vXGZgc8Zt4bMHuNA8udFeu53syPKe+3Vm7zJ
cLZl/U3e8FHMwWItYTSbGkxCnvKLJ81Jzo5MfTrCcJ8Gv0dd349WfJv6QXftVaXHwlJHK1uknNSN
zXQVKWm2glIfP6eIEM7CUzOUSGIhYhaKFrvee1237jqqh+QVUp8Th3nnGhdAsFOHDpHLt5PRDz/R
bF/SoOugI6cvG4KvoZkggemJzPa4C8wnYsTA7sY2z9g6apzk3NctGK/K1WwvCxvl0wps8bQD20Qi
j2NSu7JYIlWAvtsxPHGa09K9NcmfSjZ2rr07PK5+KNzevE77GfVQM2PjjOHMhgSnA/NdWi5hVJYV
SDN0brvaHedrlclhy+yiCi+13JY8p+VYzap5aivpj9xwvQGb3PHqZxscxdoeDMnGJJ8aWEBSBfVd
bDtkFCRuTgNH2tQQrVXVliGptsFAhtfogvI1yWZHvrI8w35ENwI7CzU0LYs1zAxtpb7lv5taJlmV
9e0ZGIA3MasPpNdDcJeIidmdCQDYC0fWu6GHtPIw9go9lqzqDE+UMmtw/hiz0bL6LKvquPGePc0A
Z7NkWpDjoioW6vNAyrDoegbvNVfBIQLizXC89pqbcUyG97ayeZDy1nxlMJx8R4PffPLJpOceAPot
UYogaVtdsC9P3TF55QYnGSAd03hrU0TDfjEtdYfcgj9lsRMLfVAeEAAPGvgd1Ud/JZYMWFoE1iki
mzRD1QYUWm/QLtpbykX9YNeLc67gcLXrybIHUpqAPpSrC+DjE8WmAKQUT829iqzgvZdAPruUT2/j
yq5G0QEhlr6LQlINaL/8cbTmi2UT0GY99E9THMCxsBnyfrRp1larBhvV2rI64YWCVahJ09pa30af
Wg/J0JTP7O+iezE7/ms1QhNCT1lExtqeHGQ8URbQNFsqbzZjRZtSi9bd9BokHnFrmE+oJETer3tn
BDhHzBVcV9EVaI8JfCPEPhFi2SSgkHdWopjaUqha2NsYfmuYXmoHrrU7M8trL+5Tszgu0Iusy26H
UyRnn0QiZjEZt7rRjFWsXObPmTYCaPAmI/hQVH79aZpENq3xGZZ7WDgUpMjZfM1JaPuHESS4AjN3
0ZQ0mczujLJI7uzB90Zo/x6a66WypvsUyccz31JW/I0omaHIBpi+K7oH2JnJ2m3cCUGoV95fgvE2
S9OT/NSIuX11epwGHGamfpvgK75zmPMdZfVMKAFGNTRd9BsGal0VZwCR5mZgvsy2fkHyPQ2ANGb+
pgZbzktWA6tAmQWAecBYV6GKYIqtSSpUp2kQ03NhdhmjRHbZWF5VwCzNBPX9lg69gos6eh4TaGJW
addpF28ygLV3hiebJ6lnhpF9pHy5iRi7v05MbL/aeGGrUCaXNinF5cdAx8YuhQSbwCfmbp2OD1bE
6m7lO05+ohcyk7vaRN+1oaZ1rmol4mTXFw4JAdoYYfVptv3NTVeXKTOVNjM+pqibo5CWo+s3lV1F
275iDsZQ0Geb47QQt8G+xrhkYLG7IQ9Ox5yA4QAikdoocySQ6AjY4moPC4NHJqi0PIahc4eiCMVS
yS+Ry1WQqYb8SBnd8CR17z6Kshsj7/xnGtbySjGPPi4Ufwb3nCj2ItHcoHk16pdSWhx6sUynE44g
CbMUKOvTUuVgZTVwxHaFwcv/qishHuac2W0Kf4yJKyU32q/R7370qJL7TjgN8eZouDfKDKaTBI2L
JoYFgYNc8qUCfYNITtZpmPlcO7Eo4nwFbZmsgopxoE+SK6pLRIP8zT+Q+Z3GKYkgAJgXfiSF1K8Y
VvDJjch12Yx0B/Qg0JCRYDaeb+4j4JegHEcZfZixZsg0ioEkgVrowlpJoeAtOzN4zFKCOKcunyWC
TouvbY4S/eosjnjk+G3uwJQROWPO+q3mfr4Wdjwjdirs4q0cZ9iZVo+6cRWbAoAiBHjgdvZotez6
9YUILQyze59Gb7hDj6hO0RzZd6bfI8PTkxFKchOfPF6kTzqHiLUEW3T4YcXOZmzXALhiQ7Hq0Lt9
LYwWm9Bre98jDouO/vJNs+9Tt4VjXYN6BtqQF9cts4k3b0ySnyWPyiS0kpaZjsWClQ8uS4gnZhA2
2+5hmV3UeXUMdFIjKfngdknvaa6SmWML+dWMkrpbinU9NAiOV22f+7dmxJUf0rO7M41ehbLBcDqX
weborWen6HkJaHvm3gB7aQfRqVb1C8oQ5kcdTo8ks2qSQ3udbCkM2oWprOGro05cQc/uJFPYakj2
YRkBGyPmEh0mLD8WiiRab8bGuIQp2vKztQfnWCVCesCvrZh0hDro9+g9xPXoWm+tiNqnfHbcXzK3
gwLbDY/ZJrB7dKaWTZHA0tMffkgIRsbSjj7MZDf15Nl0RAzTUjmwbSRagn6dzGPG2+mMkPvYgyGN
lKocUXzKLKf7RABVH0flui/T0PJElUhwKITAHyOy49rrCnIlVswDuS654K2fLmejyTldxK9pR/JR
aIzufCtS9I1rU5dqk6QYXlfoDywcGnOpr6DQGb+itBvhJaArh9aBaSIk/GN4d1oUmatiTI33mIRL
ETq9zhDiOZwCgV3Cy7KQJT1UskEDGKuG2sS1FpIEc5ysoUam2h+AFjqgSuOIMX+eZTq+gfXunM2q
IFm0mMQEo2cp2g6RORqtQdj+Fz4ftotEkCENKdZdS4C4MxALgbY2eZlm+6LhW6jYuiixVjkas5Uy
dYdmZ4Y9iwsO8uFgGZ/aips3cgQgwVaMAg0IfyS8reJBlls3RaKJzQjXwtLwhzWxfUsUC6s54SXr
Ev0sPiK9LtO52seBRzCazqR7nzWGASKrklu774qNH0QuV66K7iBeM83zmZVuJVjUYLGtF55E52dK
+2xDnK3DG1b7wZ0/dh3ZH/OEcyIr/PNi6bTemEOQPBjagro+Tnx+vBTPM0ivclWArK52ss/0S+TK
/rHvhouKf/FmvR5F3FvkKTTjD3O98dNNmHBD1OuTEipYZOJtpbv5cSQa3nChu0YGq2uuWMC8DIcd
vUI+iDkhtnkK2eJOVbK2Rj39pCSYr5ulLR+mhUNl1VRRM64ZCrL2i6qYvWE0DLO9H11nlgAmZn1F
egsj67YoFX0ANy2UecwOnsvUimusaotTSTVfEouaKfPgdUW3iS2RPjR5a5xrvbAm9pEboNhcJAs+
/HOTDUa1DjKszF47TuaKmAdkkkWkuO91iojMT0TwWINoczCSwdRecVEWLWYvVbjr2moLJhcsbdFK
Alnt14ar+Wh9t0ZjVpZbfLk5vvG8MY84hxK1GfoLqSuGIviiRxn0yGTH5Dv3Y1bKrR9RFVVGSYlo
CZNRfTzZ9bM5OsXj1Jvyy0aluIc4NjcHLF/Va0VnXKNl7jJCDevY3NLGerck32hr5RjEChDeYlrH
IFaUh0EVaMTGpJo7azVFLoeDy2qDa7hu75G8gLUZSh5D1qLoaATJt8BvLhwc+3ckTvE7Hkd3rvno
V53DUrf4hkQKRidn48Jw8ne8jiqNLN57F/SO6CbvBNGDEjIBNiKv0lKaV+A1eeAi3vzDkHndHZkn
DFzd3EVB7nq0eWpusl0KlekwyRh5q1FnX8x+IYGC5rGOdMnePZJQ8JhQyqe2PpS2vZzmJEeSCst5
oPna1M7EYMctAH6ym7Kt2F5NtrjteQFuU2gC6F2GBlUwKvrap/zoatUTlOEPOe7yhcZiQdiJQYok
VDWZeHhg+ZNVUt0jJirvSt3hXbOoGtFa6y7ij9FucV0T9bwxWNqQdzFTXMyZgMlPoiqT6j2mDOKA
qS/jPp/uKtGZz2ZV2jDbwI8i6ulfKhRx4ZDa4qzgSm1ga+qtV823fmLME7jMUaBBJhOV/TXglQnV
KGh+IzDXgBpTuAI5XMEulcvG7IrqhMotuFoU6qewjgIUlBze37L3dy0KuR9U4PldrJgIDqoK3mpD
ySuf7dmr3Yr4S3KBhj4fEHb1mv/EHdkWNmmEXIvfMTfuFuH4PlPxhr2YSvrmsewGc2+3EVK9KdCs
7gE2H4uIHB4VGM3eF4l6YnSZv0ejuQCzNrXxo0a/6t+dnDaIAiBV9raKYCHtCEuZYBK49rweLqaM
QwqK7Yv4CkhEmEyghCYBF1g2WybVQKPzaVsoqsk8k8E9wBBJDK1sCQzyJliHidmwZRlZ9JOmbFEp
rPPLnYlsNPVQBmE4QeTkTPmaGqm/an4/dgb+am+DgD18cVZG5nqeDR4KZdqLt/dK2gRs/g46bbuG
O0XG5oj0wKks8T4g1/tuvNSO1q5NZu1a9jI4BCqYgz02MmhSyIMpoienEN+SmK51yiTn2E/9dAIj
saA6MBMK09HKEHGVLi5UN25TRMxuvR9Gxzm7gwkmMpYmR2IkUUoA6ouxVDY9+6e09LW3SxlkN2FW
VMpeCWWb12PXsJEfFNXTIBNAeLUxD5+Ms+Ww+78y+bxJPzss6z/DX2edv88vP2tGtinTi3/9f2k+
alq27bv/KYlu/V0k6V+Gqn//RX9MSH1yMQMP3o0UpnP5598npOJCnCNT2icW84/Z6R8TUltCnGNY
EwiLZ9sUF/f+31g5DE+ZkAT4twm65He0/xkY3SV68y/2eaixPrQ21xKO67nkCPx1RJpWHqV0YF8M
1Jf8EUTFw+Oo4uk1Ufhi8c0/cmMY58oZetIQi6Q5alxX8NwtUFvelNFj5J366CB5HhijjBviMD3O
JeYOljtgjEU6dD8Lcz7z29NWZ1MDgLQsvjMhfk1sTNfTEhibNmMiK2q3vsP3GT2STIPIqbX6F4fE
w48asebasDVqGWyEd9Qh57wu1LGwKLmZMU7PyGzNjZnxPsdJMK6DfKhpOoLX2UBKZU00qlXezkwz
jWlnVpzjs20jeOgb3krdPqDoTjZJP0NDaBCxNjMjl3Ec2ge3RKCPGI6Xk6EgMYjAUlL0AruBdvHF
pjvfk0Zb/ARRU12zEkp+ScF8Tep++DVW1FzZaJe7LIqYmjLsZYOpuO+YF80GPlsRWe/w7zXDQA/7
Gila1xOaUx0C56lp+9thfncIGGJwG1Beo8NV5lttIdM2IxKCEeNbgOQ65d0gYWePjg39oo4s+mPS
wlsJHbk0irEUQ7t/m3D/dy9D/v87EgQkiz8tA/7jyuS7+yj+YV/y+y/599MgQJYOTJLgOcGb//fT
4AKZxDVsCgv5E/AZ3tS/7Uvs33yTgQYMDTDxxOf+O5pS/oYB3mRfciFdBcCoxD9zGtji8rr/maZB
MojgjDJtljOM/wkB+cvGBNafMeW5lW+caGB3UdOmjbUo0hC++HhdZYy00VXaR4F7bM9bMxzqsssx
dZRBc8OGfHhxJ5rLVUV626toqBW5+6r6UPxv9s5kOXIj3dKv0tbrhszhcDiAxd0EYg7Oc+YGliQz
Mc8znr4/UKq6Ul3rqq597WSSSGYGAfd/OOc7ayjaxnNTwA01M+59iOzhVkSddk+D1mN81dh1+aEW
u7+0BSP/cy80E8e+jPsBRDzmMqIeIp3uOoojrD9xlSA14+hkf5mFn0Vl2zkCE1dbW9dKGlTW2QqH
nodpKi4jA/dnOO8JBATmB1f2IoLL0mLdPUNj16/1MkoQtdJ9aiNjvC2XDkHMsE79ITKE5wEU1yok
iYj0dLPeO0uTrC7gBwVptQYWrQ16HDWcJU2l2CHNa4yzniP5KArmKvsUJGCGaQtW8SYNTbY2I/nK
WK/TaApuI6ftF5xQC7jwMlekgLf1mI23EIGd9goHdNfSnaom84nTVc6GIcWEz5POAncrytVfNRlv
V7I34nYn4rm5KudE2NAVWkv5mihn5gljMtONydzCKSLjaE8DlnV+EXerKMQzGELpsUo/UqNcqtNs
9hnkvzblB6hQu2+CNvQ2NQLSKgpHPTFdGEjYDOYbpnvenQRnihTfS5pp17aifJaWRTIKMIIpOOiQ
GCxMM0jp1NBML6gwnHsG9/qDSseKd71Ga0lE8MRH4+KuYkKX6GzX2618rfu4f6VXUMN+zBTWa5dM
mR6Np1NfCGcoHlGzoNZO3BrQYEXTPp7U1HGYBnnILOerlrK/6qp+LbGStdiy17Kr/arAhrUYo9ik
LsPEyTopRZt/k6yFm7eWcGFv6p/qq64LFpumibEt9V4bLN4JM1oyb+uvirBfi0O1lonIVqgYc6oA
YCCLh9hXf1WV41eFOX9Vm/NX5dl/VaH9WpDWX7Ups5323LrLlDKuXqtXOBNUsvgd+1/6q76lSC0I
u/+qe9EajcNGruVw8FUZC6sI7vO1XJZflTNTeN7B8auiZu1JdY2CprmqM51+9l/VN3Nt9JOB3Tdb
lgqMSTeIg1ySqawuf/S8GL84A4k02SBzkUw/6BiTl2rxboDGTLuib0bibAkRri5CMkkkZAwRsDMm
R9GK5KWQIw7aYl52TqyWq9BrM6Zo9AL1JIPaBybikMmD98JcMaHlSzOSgztgTDbRByJxsboqgXWf
F49hlOy6rJ0H7lDGmKe8WSXc5Ppdk9EcN1S+BbGHIX4DxZ1oxNW7hSz8Sg4m6j2WjgRpGjJI5xdb
ubXB/G4eMGdb86TT/dCjjGUSNCSsJPIkBWVp1NHD2Bf6Pc0Q/Wzp1XGrjnNWLLdxmpmzb/LK9HvP
rrTY0shOTIIIX7Xck/YIDETySKN5bRhG8tLNHdrG2upsmpaJ8UFCOqjsnSNgbY55SJcRC7owJd3H
Ner6RzlVF1KR8XGSOzoxxsSSiwqpsntFxAc0jnjzf2xooaKv+npHgHl118qhO5hVlf6OjvrP5f4v
9BDKBDb2zy736x8RZMwW3P5fbvg/vu73G94Vv3nsbgQPPyhk4fxJESGBT1OyC3BLCBK4m/5+w0v5
G1pMwQQAWJHH2h8ZxR/1vmn/RkVgcy9bEsiw6f5bbExT0B/89YrXylWKCS3SSRadcDz/esVLQHtT
J42JGPNKDkecgSSGDkgXN0sEcjHtEJl1ueNZ28kbltXxuY6ZzK+Jk+EYMSLtxGULg0D0LacZ8G54
kdb/o2ghhtTaXEeM1smZcHIDWVpnX/CPmYMRG5BV93YTx68Gut3wEbTBWN7XEkHXFv1cx9ZIFZxs
TaEDuVXZ2DT4RyrPRcSmUc3rgakrKUSS+d3vI+SZ1S02K7sI74ouNH+RYqB2yaQlSzvikU/1OiGU
aWTImz5FT741o1HZLM3MOr0dm2q8wvfB2NFeJ5Bm0YznrkPMsm1swq5ugq+hJc5xkT4wq3/DGTib
B7ySTDxrR7KTGQM9oxaMOInA96jkivLebH0Kf8aokm1Ys2UGpRIg2AkTVNfI9b75msLOck3QHock
Tm5bS7BIZ7v8rOvWusJOOof7pXWH7AjMZkzPzVT1GAlCUgaw3a02l5lAAXSK61xZEuDKqEConrEz
A+huHUWT+ikxgwOYMxs3up/WcXbLXNtuOibc7ZSW/Tb1cpx63th2m7LXLh6pLH7lu6EYGcLmLrAN
tzzZWcWUffmauDO7VA9wX5bwmiQBZvI665W3QW7ArJ7TnnTxsdQM8gMoYMu16hwKodBheeML8C7G
sUGy8or0buwPfRUG0JuaCRqw/bVhcEdp3xXTZOIpc4O2uHJFh1xg8MB6bcqhMo+oDNhdtEhFvJOg
eqouLCFYOlD09cMOF31xlLg9uy3J6fg6w0Xyz93XwoTE3DjYz2k6ZCeBvWwmm8kDjhE5lZZMY6qJ
0i8ysmOyLmbgfNTPeVSyHAub5rNsA3M689Sh2RFfy56hoYTCOFN6aKRFfwqzlkSQmrgmgjoMtjDs
iQN9JjDceq88s5+OaI3dfBdNYcuelKzX2SfnrjxbY0eHFpMWeoV8i4Vk7Nw5bDGf25boU78L8OpS
iURndxwRzrRmXr26RWI+MF5uv4Ne0cTTpGQFyQ4nCj9aPgb0gxFImbiTT3EDX3VjCjSifg+p6TEu
rOUzJ+f7erBFMxLLV0bmbYNGk61imUrI7VB1BhR7YX7tJR4C8EmVbMVFMuTfOmOpbxGMinrbkIxV
bQPhkdtq2JZ6queo4g6WcCOwPLpWR5RRYV9BNozsbRViQ8IdboTmpSfiHeJ5mCtIn2bPyjsqZ/x8
SR5/77wSwKozK552E8Q5yJVZAufAtIN/QAQvxpIFh8XBM5pPZfGZVYTHZk0U78NATa/ewGtXt4nr
HMy6yb/NWch7g8a5u0U9QlicystLIbLhqQV+FCGDyTgLgEGQxaSsOzQFTAaUZyXHfihzaGlmhg0a
1XB+rEWtns08bS/tPK70Chl5OxACWXBPNAbedMdil3PwCLLbs4+L3idUsVBKUf/TgQuz5/HI6qeY
6vDERJBmXmWkzm5QzVhwFRydfYJ8ac5Ws4CBYhu1vKB+Kj5qjFLefsisKTxgs3ZZObJVYMg9DmAe
wvEmqsmuDZRkEjKEZTY+ViPAID9i6I62k3Fhi1YirxncYyU4D7rK+sM0WyA92wX+7TYFUYuQIuBZ
9W0BpGDAFnfLlLFEaszyjpBop3h2k9ag4pl4UTYgEwh6M0rb3jpcg+5HbhCQknHoH+xm5PGMXpfY
EO9dn5k7V5YJ+8u02Xt9BKisZa/JEQ41pESNsXYY5GJrBUMUJxRZt3RFYXemTvOKp3Lq6WFMQHq7
QdXBQz4baFrmdBWFyNEZQFua8bjL8BDciz5wFBo4yTh0hcwbF7XI5IcmQWY4hrHo02tlBYvvhhw5
PlbSfFfJWOjN0jf9HXy78InVQ5Fth3AyyUSzYgzkpl3zJHo2vltIxd747NHELZxXZhxsWj75GDmJ
0vfZVBsSpBXmYD8mEa3agm3kDyLtqHqIa4ntgLOB7T+Dbg2eiRYWfTgxoXAHUVyQKqxScvGceLqk
XSyOPMyLgfwFpeA0lVWMD8ljhSyxlQf7rra9Y4Hn+lNPXv1KLV7eG0OH/HYiQv4jhegFLwX2Iuvn
pHfLLT+iy31opsvJLFSaHltoGfSz8VzPPsAYqXCFrB9CIXuc/Wme3BEVPVMgNJb1A7PqKj4oiupp
Zj14XYpqVISnT1AVVcouGpMHS9rBCfObiYyhB8uNhpdxZlGRzhTme2Ggb0xy4aI5cpGDXafeMj8N
i3Cb7Ziw06MIZk97hNLj/nRGNR8h/Zo3AYaUlacBQhfZbzrWm2IMl5IeH0SYGU9RcIv3cJqPCueP
dzejlwBCMTrRNSt/75u2Z/sekO2lthJSqpwufyBHiI1KsnTRNmCpc7A45LZEUhjHJGbdx778Pamy
wY8rzkwp2tT6bjdoL9hxLu5rR9rUL5QhARK6qfyBtMeMfASL6UlM2Lo4Y9Z9R5g8zijb/Wzsk3AL
YzHxB7zBD0ZdOGezdoQ8DBbdVh7qaA0eZXNnhqtIO2A42i9ovzaKdtR3ahudghMsZ6NegmYjQjZI
ivjT9HtkduGVHtIRzzJotImmGJ0g2JdNVI1oOHGFMXEMiYzeoFHtDl0UjheDbCHlCyz6OyjOswPq
MXZuBjiEHyw8w0816uhb1M5PhsnFCg0yBGPmDJhZ46lSSI20WCg9nIqNIGfRqkNf5HDCjq3fayOq
xIHIcWmchyQ5mYp1BbMQ915JOnqbVKQnsgGq7wDqWoxCST380q5TjNQGqcxvdRehZoqS0WBNL5cU
vaGLF1CYY2myHEun91CG3ueoinh4KVFBxQddmuVnbVuiuSctCnq0TBifnVVOx3YVe2RZbMLQ6+eN
GoLq0woxLlLeyGg4BegfNLdzCsk1M8vcOxeFNTzWwmUvFKcGa2uvJRQLBmC+PFhN/TBgyynPdkNC
0sbyxvme9g3xD8bka1QT8TG251b40dTgAoi4srqsy9lCqmgqfZZnvCYU4t1dvDTRKWfIcS4SIz4G
3mjdCqUiNHLdWO7QvPQIRaps54ks5C6nBvnE+Dg924UT7ZgyyK1TsvHk4HVfDKMIZpblwu1OLhP3
4gfmZK86cNB6T+Br1Gc/1FCuQvCHt73X1i/9hHAlQdJjnq10zgh8xZPnZ3VovhL9ar5gkzFu2s6G
lZANIStwiAT5wc61ynZCTuR6zRVAXCut1AcXZLblynJTH5Gp9doF7Q/Z1CSVTUNGGBJRHNUvlvP1
qxnb0FxML3IMMIZMDXwjnouXOuzDp7FMVwaIBpUuqBcfxzqbAHhWeGfeiLutfa9esvGjU7CJlEH8
rRnEO8zl8w/sR9rv5+gxSSWWHWlx8ncTyQPnGg24PgrckctViqZo3udZ0Sc3cYnDZeuNBogbQyG2
PEpkgMuef8odzjxnIAvFLNxwH9d9tW+d2pouPZu0pxYEkO3HMpSPcZKa8VYqrvJoTquHZibdnGd/
wSOHZgOcKNf8tlj6/o5AVOV7rcV4JGutvTSoCuJM/VRasxyu1kV71LgJXIgEtdFrXleYw1AFBtEG
duY6s7eEeV1ZdX+nxgn1RFJtJgI4d7WOSCXPPaglQrf+0AIt6EfQgn2LnMqPMgerjBXZNrm1Xvcw
wls/hKw63io+W/yzK+HC0kVaApfxDJJ9c4w6O0EqAOSLwTC+MZHtjTM2asTHvZU7z6M1MOvAkW6S
2dUMKDYz1wE5w0V7E6q1OSudFmNJ68HUiucpyPYl00B+hfbyzYqj8bvkT6G3yRgJgGp83tVWWVV7
UFYzfWfRg3YrNlN1G0coVilwOWGTZaBY75voHFjl9DMP6nmvQbCcoPIu8RE1s7qmaXCDc51U8j0p
K2tLgA2YXYoM1q0R6ydUKxi3v09y1b1DqVGS32Kwy7OaNarHb6xDHW2lyY6X2cTtvKTDO6+vvmrT
DJ1nZApud+a64TEgUb7aDlG2HwX4kA16nfxWCoqhXVCL2Dy3XhSQxFK0And6bCR0VbQ32qfJXQ6e
SuV3u+MC85eup39l+a1WwSXDOBolT8/PTdDihCFE00v24HSjz6FubOhqvfktnwpGcZHdHNOKY36R
aBY2NjqHQ8OKa0e+YbrNbZhjG1BudeGT9AM6Lpe6/a4MMFuhM9gHbTbRCyIC4nDCuVoTJBMgBkvT
le25LiWr8JbgIvQRa5oF+lYm1P0YongYZEhdY0foFdzK9Ugi7GLvM8YZ9mgB/Is8DyORnWg0WgUa
3bxanD3rLXHA7+qeMQmNiFHq4lTBgrtzhlpsq0brZsfdnJH5HPfwKoMRUUvTQ0aKi7j9gOSju70n
va45Ol2BrdaMus+qW4Zb/AclKjYpmKvZJU68jZxm8UN15OVgUTR/ITdZHrBQgGmApXyF9lujusLQ
mEfBeF0O4CIcIgo2GT7EGeozod1Kf7Q9BU+qQ4KaZIF2P6JLkrU4tElGxTto63VZIjiPVBEyZyjb
6/gzG+L81BIPABnB5fNOqJBxRtyo3KjOuU1UUTaU1Z3LNbyPuyb8Tk0BHYzDTz+q9IeQYNFxM9gU
+gUISECuO/Ly7FNaiOoRbpI4NC66Kw7ObVm21sGMC+ezR5h9DESjTlaVHpfCRfan+zTZViQg7xPC
Fx8buIwAOl3x7jWquKATGH+gE0C3EKTIlrxuFtMxw3YX7jgkx4+FATwYhdSs0Rjb7sqmpOiqJX93
fyBS+IedanfeAZ+yIdVbzRFOgblLEYocktVvXaG35DGp0rvRteYbjdanAYmSzVcjFhEPEUa3/JyT
lkFySgXp2yp3n2Zb66tZVomvIabSE2cIQ6pUbCWV/M/MmJpDw9x1vUyw6WMCgUpk99et5hDtdFIm
fsVaIzjkpUcihzkf6szF8dVFE7SHiuFHCpnkmXK3ZkABDsOfvnoOdHrbmrztXy5ICFRk5fKA2mz5
BitOPxQlVpuNiGBx1lLhoC4EgMHY5rhkcnOwy+w0yrA6RJmpb/tUmfyFJhe3rl0WFDtGrvZWjxgl
dDr7asjoT3tH1W8jUBQSTxBYCtuxHzJPdcc6b6b7TCDUmgjdJmK3SN/qzBJvgcirLQCR5gbpirlj
fi4Be6zjs3YkIhEcJRWNfQdTWe9sJ47PlYBpbs390ZqcG8Rao69qR11mW5oUUt6CvMgiPRmfDD3y
wIoNCsFu4DKGUiso73SYX3FQJTteGfe1MOp1UdDUtU8wKeFlZviEJ8IbwKgP05PWILdHspx4Prze
vnVJQUFUnOj5eswIN+bEBWRrQY+fu7A+Ayyp5GUyk6rbMU1Dyhm134zEFU+2rkEQTvXSPi+DR7UX
ptZrPSXi4OSp4Le6EHap+f03RdjtnBaDz7meRsqQMYIOZtuY/QHlO+9Tkf1AvBz7U2kyL+iW/Ocw
O8GB86F8YKU3Ug4Fxk1m1VgvgvG1S7hYe/biGIQwux7syR4Q1KBMKDPnpoKaDmGedgBoChHZHM6j
HV9wwRQnRzTuT9FZd0ZA2d2yyaEgC+Y7rQjOmBjo+2SNGbBjQH0huj1EU9Kd9LQwm5rLRb9omdvf
wIX5APy4ScI+vjh1R2Qu/QbaMgpbZNf2/L7EmfWMh0L8GpveoB/w7Lt+iQ+JtpfupjJQRV1HA7tJ
vhcxoEv2UYMxaHeG1U5HSu+Z3N8kv0tbWx7RWde7RuR4DUW6gpRmbG9uB7WSiIuISmqxQ0k5TDoJ
2lryY1CMj/29sHK0nTZr0ij7j2bg99isf7FWAMsjpWOx6f9/B1pe/wwjdAPzX/YK//2Fv68WPHQA
NlufdYsgLRb0fxcPuB5SIo5N5ELIhn7/L3+TEunfBCg2D5kRc9BVPfD31YK02ToInJhYJIm3dDzn
3xIPWP+QKYF0QSgSZfGCuopvpv4h3qTHw+3a2J+ODbdPiHIw1dPGtZiM0wLE0eeUYrPv9ITO1bZ0
D39mhtWuR3ryfegF1jMc//xES4napyIleNrkscGY2R67qT7kRmQ9g/qFbzaO4jY3DLu7g2SkLd+B
y47PSamEBW1ZchuI2YUCIDCkn/AeFb5th1G4c4MufGptJxCwp9iAY70ynhjP1he3d/q3SoGOKxAc
7ky4MQC1EN3jR9gOlriBSTYw+apYdKRIoj8Y5lUjDRU4FPg0YXgFxhkfXYOG/cpGPIk/RkXonfrM
5bSCFYB4O7+tZSyPXLSkStjLak6f6URU7fngZSeSS7JZ34+R5T2h83QPI+rP68rNPD9BfU/zSXKC
1UB2QoOAVT/SvhwgorwMpTtC62KDiLgCrriJOnO9UuM535XStcSVlLjgzyPLlft6ILrYD4tShVc1
CoDxEOBTp78bV2+LV9RTuG1hrWOjNCC3coAl5GeG5ryq+dF9mvcLYND5tgldXdyz5YILi787oEIl
uTI4RZVrLng9uKnPwTCyRipZ3Q67nnDQZW9RRr8NpBXb9y7yUrk3wT65myySSC4BuQDVsJZ2YLGt
2+HgdCRBiRJghp9XuXcomt58sQO4SdtQhCF6zfYXbcelN0aYPxREV2Uzozu2hHE0EPS/ObqBsyyC
O2LIMIbVI0OaboKrbMHgJIcrvjfjVOy1YM5bZkEybWpbjAdole2nlQ/OEfJKFB/iYYlNcMTMvakt
3CfbAeCC2gqnDjL/zn3MTIOSB6uMr6bYXr3Y2SNWnnrbQ3ggg7uIDmlolWdkH/nWaD3Kr9g9c2N6
uxkr7FPAqHkPSM8+a53QGyaEVhamuGVg5qdl265DJTQ4pm5vGaEHe0wSGDE6C5M9LlMsLWUZOaAG
cv79gZlZdmWjZtnyvZrtnGf5VQPCEZdHouInntb+AqDETHy4ayC+Zy9OTnOIVXRTBv0WB4mGiR6y
1YBXdOu5wfCNNHADaV3JDp5p2DTTv4wTnuDFGMdt00Qw4HLnZYpjSM4zxAh0gbvaW32kyRB/2pL6
oHGd6hF+Untwoj7hc0/mg07CmoyXTp0yY+mvAfv+LPseWyJTf2BQU9Ad0zVrnEgcI32rjFE/juVs
ppiGUud7NXcmmhdGFKcxI5NhYoSyjWVl7TAt9zt7QB+BG6A+LJ4z+s0ESSontmSfUWv4qgmzI9h9
mukOwApotmtti54irGUg34bZHbPL+txWSXFmteHdhlYd/FDjEHS/h/78Z9v+/3ct/lMAwfWPAlhy
8z/1tevd88elqH5z4OQIy1XUtetu+2+KOq5LtuZ0dLQdkjvpT4o6bj5KXISvJl4IC/MnS/K/6Wut
31yLeRPf0bIxQ1r/nqLuizHwJ0UdlyKltgmFwLMR6tms7/+iqMMPV1SGSD3SSeL8SJ4UHUXMqLLD
eVJBtgl9O5yeUjcpDhiOMYNGy/Sct+DZmFG/NqFXXxu1u5CnkU8XB7XVA47qe5NVwyZlBL0xR8Ud
MpW4ROB9AT5ughcl3Rx4KtGrTeD5qnf7S5a2DwaNHsOVKXqHYw4IeEi4RYbsDuPqegYnOW1aq+eO
EXSv4G/EtBCVrYcnbwYqwtsYbJZxxiaaqCna2vUsfJakMCFFgLcDadfRKEBCHL2WUVDW59EbqP6f
6WIUzjbsLHxaYHK+xzJ5H4F2H9m53SQFK+00ytLL6OYdRmQF31LNv4TBQan6or6Z7JE0FiPIH+AI
1ddeah9nANpAijgHmtie/KUBcAWZTvCN4rcBg8Ym6ao62xgFfua2HZnuAPcTJhKmxPEgMAkwbo3M
Tb/lEUk3IwPbBzEmnyNGVbgQQeBb0Zy1vinGllBo8R23IbTENiiGwyxXpKqnwkdg4X5njcYjOq7s
nmvVOGQj4L4t2GEBUc9hvAlJOyIFqTDB1ZnN+j2RRjHPJ36D2NssEsUx7ijRA0z7bHZUDr+nwErb
G5mWx6yKQuOEyTG7gIfokn2wSAJ7FXEk6Beh1A97RETeZSjb/hULcNCc2lq3EWvIeDjXnV3LTQTv
SdM2zexlbUeA10qoTrg3ciU+NHPOF6aCxbDBtMRsSzk1S6GBqAZuJgN5HyKmlHVFrfAxIkC1sWih
bWNbwgLhrWt1c80SVFXE4KxxaNxN6jYKC2JVuhGFc9OxWGG7zazNK4ZbW1mteT+nHbBmj41isRHK
ybBrKQqODf6PcXxIkIxER7w2fc3BK6A2ZG4IhY2ZrLxBvl38YiGWXxx21uGum5mWHgZkE/zOWTGf
UakjRxvNhrRhPXr37RCeGEYxKrJHLjCCrTvR5duBogjjkRPulHVDzNNb1jp30zrwyWIhCQdvjlHH
6s9uCEnB50xjWz4M1vAeVOoRfdhuZslxwyAM40h6nY99fZWEwdZKy5OOrnU+rAQ+jyoWUzahAPzK
5Ghvu3zOT6FIrbt4toyfPM7bkrxtbxB3souNLXHH96T7VPtypPTliNqjdam2/FV/Wct9DiKwdfka
06zeckMm9y05KpWO4u3YoMHdRI4isDrR2zI1PlWcpY9exa2tjfbOpVBp6fvQ9zchD4MbHjObLCf8
8U8YFqlOUibjY2aFxxrg50brnMXezNoTWi5BQ8sidswbjR8Kczjal8NUlBFwVuTBQ+WER0JICkIu
oDqqhPkBLJGSiLCivBZxor97c/gosxzAvyv7wxhkFa9Msk8VA0nTctY6PHA+SL9rdw2cBdOdEL5K
ijErgPNVZMFpsJ1Hjr7rMMFWbNXEWqSxu+/Qr2CEzICQYoCuiUjLKxfyqxafKI6Qx2i4aCkIxGgs
fTzB0Epb9wlPvvlz7Nz0nX3brz81bXe/H+v/CyfbXRkXXftf/xvyzV/UVa5iv2AyxTelsAihc5x/
6IGKahqMITa9owHcdRPliQQtCPZtCz7Avo2YvMU+tQ5+fwLZ2mtgnTGgq5KOZBoGTAK5HiPOyU7z
1mk8XneJZPC7C6e0mXkuY9fCkpfSi8QDqsayKcwP8H+8z2Yz0io5VeaA98iXRm/nsm/kZqqa4Zya
UR8dolAbDTN0m8OiqILLMCfDsLe/ThPj62Spv06Zdj1wpnyK2EEjVpRH3sthi0EfoW8vQKi4UZo8
dIkxOySRCOfEzIhjatThBxqDciO7cF9Fur/KgHKNnrD2/To9tZLhSrDwutiiuEgsyhciIRJgpihl
cUJjncWn6MvC05uhtx6WnD18wnF2pRGqHmp0YohEOzgwZdxuV3WxVRTybGH8+mm6ZfHcoH/Ywe7P
eFbbOi8ObYry5pAMJYo2vUCZRLzL26JFwqjKI8G09FVlJilrC0bVl7lOcj9LRnsT2ZPcTWC+cZMa
+dbzwuIlqr3lTgeaRBGRs1BqkgvAOHXXq2Khy2V2/o1DoWWl5ix7uxxL1nWrmR09THI7VL37GSIF
3cEauMd/J89aAG0qwzwxr9m/AWnwYhxzHZY7GIVdvpAi70p9wWWOGgO57oEdlfqgGDcOJr3rHXgH
IJhOGH5gFORtndhcfZ8ZH8BQJ/AAaa+4Jwgbf7xpviv090cxtfmuLe0amXDe3GURIpTYlocsL2f0
MuaZ267Bh2wMFzes6R6mpt6NUdv4+L/jxnRhJ89XVWe/wQGZdnxyrxnB7KgA4oC/iTfvDFb/SJDN
p9wD4Jwie2oU8+E0qwissj6REI57XRsf7ORJqGCieaii7gwqcRuZ0HaleSGn8TUI0fCjuy0HqPD0
ImHp3YgB5+7co6aflh4B02TepLX1kybWu057NtQmM7q9OxnukbC4H7bbtmcg/YPfkiz1OYMnR/ri
tvd5KYl5am0I7xXpmnmeuodhaD8oFjF729bnoMiyMVh+IiAM3W1uxvFFJca3JSL5J5+FeVPU3nUC
JI5daC93BZ371nLMco9oOfCJmSo2JJEuvq56loFD5iNpOuODRceMeIcqAe5b210vlUlrBur84Khq
DRKWjyT1TNeZacYnCV7iCvqapvhgqxCCEbiHagMrrwh3gDZjOIWrLgGnfIap2onPjH0gy5NSqX62
QTbsZG9Wv9IhRKiZ6nKvepQTOWPBjZVL/uuKt0tYfh0wDyTcsL2cv01AR9uNnmb56oAHqjZDk4s3
1KHdS90pgYMqTpJfUcAudJMHIck7fdjpjS2ntjoYTc98pUR0dQnWO7pZb+v06+Kuvi5xmLpc6JaT
hfHR/broh69Lf/kqABADUgxMX4UBSiyKBL3WC9FaOXyd0P/ptv51t7X2O/9c3hwvZfMj/4du648v
+6Pbsn5TFs3MCnT7sij9Dnuj1cJG6FqYLxwkzAwP/lvarPiKNeOBhopZo2NzI/6t1TJ/87grbQ8v
lMnX/nvmJZOf8Wfv0hqd6wrPItDWMU16rX+wMk74A2hw2OoR/gc+AMboYbTJi2wS88ZqWu8UM8lg
hTht4Jn8lGw8r0MbT8w/LwG8/9HxrX8Ooogd26ExXV1Uf+34LC80kKcESKvTNjt2Dixopg4lR0J/
FUUXVR9rfRfk5HzGmAKA43Aeh8E1YIduUzfWU187hEAcl/YFQrLFXWklU4UmdgV8d+521M6lMhHi
jLyuyu7u557jO2gp7ys29aJ/HtuECHgiZYJil+Tt3ZROt2ManKVFlhgim6DNX1Ue3hoJo5aE7IU+
tpodlv0fitXJVjjkPdD2TRWyo6baTfygLXSKWW3K+K3FGI5/Yp8G8zEJrTvkMrQNq2iID7a1rO4N
SSO0JNY4ewe9CkKaq4GGYG9HoT/L69IouQMsbqlXmlDYwckjd/yZNPSjtJxzEQE4S5FSOfXjNNnf
3C5zMN2nN55C4KxCcEkIUt2jZcevXpnfoCY+68n+WUacK+K70YrntYANO+e6sZsHHJYHyaLcnIzt
KMlJkg5/DO1Jf+7pBebsHR/pZ1xb+tgvlrlFevuLzVlw4qxErrOApUJIXm8nZ7l05nhtoGDbOiG7
kdGUvsU6F/fZqREPWKN8tJ16u6jxkRnqnSlYCY5cM08WLWZWzFCXt6CgkCxYz7nr1hthgCJrH+ti
+kV84WlqxbelVSTYClTFY/UWjvF+ZgUlyZvb54xl8wCdkOM983htUnuPQZg2ziSNd+qG3SyIbzeC
t4CIUJbWDw0dFwqy/hkxNC3DZ5nnN60YAMJMCSOBcFtOCwyWzrZ2DcFwaZBtvan7noA+lgwniOrK
3mDzYo7Sz3EuxCYQxScHPPujiFS2NiGERxi7POk+xGqXC0TAtmtmvl/sAF/7NviiJDefVP7qNM1y
i/8/fR2W/NKm6j6g2D248+htGh3i25L/l70z221cSbf0q/QL8IBjBNmXkqhZlizPeUPY6TTnmQwO
T38+ZhfQG4VzutH3XRcFVGHntlMiY1j/Wt8SGzy9J1l4G1EX+y5K32m3+EMg7TLN18p5ae2cZuJa
YyxZ6VjeJcP0YaZ4K3mzjWJY/LobSG23OZBnNcLxEM5WORYWQRgY1UXq3rptIvAl9lRSG9nSiGeE
QFCiW4djxYf7t7dsAxsRPiKMCFiq3eimQuOMrwH/7KEtLIYIoiLC6N3imO5INuu3iv6HORVfmFL8
ZChoFNaM5lJ7xmLYIxUZC8ufRmQNN/5yMndbpzfb0FHmjUf4inTV2dsMkVR3870yM27LuMGAZ79p
FJpg49zxaMiNHpn5wYLPt1IG+bdAiYeyN46RybnQnOlvMqnTIkkWC0GILcZ8MlPTNHHozsFMmO3O
BKRdzK48Keqawzr6LZR9MwKqXW1CAp6OAwCp4Bp7uE1T71eR1sAZnO8yNQ4J5O9psavAncy3aVbQ
I0PeivrBZFtKYAVoKndS/xQDBajVeD8IWN4aMTPp1PnkuSyGunYgzHaBUTpsRGANlGgpbmxEJjTh
3JyG5FqWkNTEYBq7xU5FUKZiJzJQbqovWhU3DFlfc1Qbwf+x4d6wzZjib6axPJVRQ49bcw2K7qOf
8mpx2UeQG9xXdKonOQxw373LKLsTDKEVoKdnXfOus1V/UIn9y2T8wMz+rE/9Rz2lb+kk811X8ffA
ojxpuGsU1gcZm/fJ1u6ey8eTGzXxl+LY9dgj+3SaiWSXaCyySfbSHQ4DLYYmeMO5qX6sNN/hPft0
wxlu2hQcaLI1L9A0cLLWMDaM2v3D3PB1XAhBRDv9epi2teVV68jOwAFbTI9bo9i7s/fJZITRBBzP
lYc3JBPgf81EezFL6zy2EzBxTAPQn99qr/iapKx9m4DkWs/bzySVvBhMtoG1fCgvuBUaV+DBPeuq
e5hNnUg9vL1d26QXhK3DHNp/anDcKx19fGPE7XnmY0USu6Rq2DYpncR2OczwUXC20njqAhsNHcT1
AENaeuLVO3RGX/i9rd3wsWGWikI6khPtYuuQlOIw/m7KascN887ZteVjDunT7ne15HloXD5JiguF
vPQeFszZPoLQoPTwKKIOerMb7wG/rPQpOArno7fSF8iQPv6aHaBUOrWKdV2yCOklJuko2OE12lTl
r6gtuFzJN9UYhzHzQIrbJzIv+0FVW+h1G8PjkO664qDHVO+kSQe68KkOhg2nXiZ0dPl0b1NOnHLI
9h5PupsZ9N12V/SIfTrDQpDeLu4CaAhtsIeUNJOmap5F0H02af/XLZwCzXlzGVo5oGcWv3/hmfsh
68+GPI+ztcntnIKfonnUZusCUmCrKrCvXsIrrzny5ozRn2o6QXj3wdpco/EnB0quO2KbUOfW6NZP
F5S1b/XJBsf9ifMb3p34BzfTdxTaV0t0D5Zo9ovFXZ8GX+ekjrDlvbtLgrr/6RyDXCRLJ2PS1mke
qPPgJSzfeUVe4Z0dZfZLuelHogpAXskGL8+51/urTEB6lQ7LSxBdHBYtTJePTVse5TA+9F6ynirm
nU5OBaOWbSbN/vJkTVTMxEM0XQBTA/VJLKQiA793ux6M/rOf+/co8XykqX1qJL/npvjCjQD0/uJS
Hl6MABgcwrEiqnADcWnKGEeRRRviJzM/WiwKGESIgVT9vImwvNtdj6823w3WZU5cDDzZVfdoOnOV
b3EPwRTF/ll2OzFi16IGO0r1SxlSHJB59Tm000eCaCR5xb2n6SACzBPn3Ud0KbKz2b4kdrqxam1L
WdtDlbRoJLDELBW/ylg6K+QUn+zwekhukgaJXu6ycdiXefttM6+MaPMYaz7AxjzbOdZRAfzXo1sl
JChrj8lGSPHajM2XV/eB3xFbYfQavcJfpwcl7eb1mOQvoyHsR7RYYy2WYDq5Qw42ZRnv8LquB1qM
U0xcaQdJqrCdG3rMR5hMCDT9W6uyHTUkkNzs5rVJqz3zOpRxfHmLamoCaoXeL+Zn1VG2zcKbBu4a
fua9rmgqCVro3Y4vFean8KIGx1sPROo9j0cdepw3/GSEcPr4sau945B7t6CLr0l7xPtG1Bi+0H2c
o23ZbiPKlQFEwtYym3ED8ov9A9IS1eE9W9GiXsF8Z3b3EkrzjavuPe511gN3F4fPaZzuOsvZE2a+
zcCLyUmfRz1/VMYtt3iAcMbO8S+NEPRYM/csaf+ZmDoM3V4M5hlBmi7IejyOXmush1r8eOg7vJu0
pR0HOpaSpsSgzUWiorMbQ7nBwDNzn8UQbl27+4wdhGsdzIgT6DHSD4F1Tb6lnUUpTP1aLzwy9DAo
CR4OsThhybI5ko4EwupcPBn5s3L8sCT8uO7/ytVYqakayfOXEDfOuiATePQk1izJjtzo7XyUQZFi
BBD5b80hdlSQgzgEAeZ0lmmve6cIpOSOPmMbjp1+rbJu+qH7yb15ie5emDSob4Xb2idkou8cB0sk
dZIBFXZg7E3XGX2iPMwCiix6dK1cnCiYR2Zlsc/3eJLTV9hzrp8ZuXeflcUnqXXRr5zT8D6Lq4BY
l+YYfleRZkvAevdrRlyRn9EjXoxZfKDzMtxL+GJ/+JHub5nN8xcxSH2fO1O3C/TEgErbWFsD1PAV
en1z1IskP+mabJ6473E+5mAGP6wp2kfm29azy29MDUXN3pJEA2OdtqLJzg4PvYZhTqKi3OhsHDfB
REtESDCHVLvKvF1fVvUFDnFIKJ2mu5Ee4YPmVe3FLGRwzJq+PXq9BN5HtKN9pdKFz70U1aWzJTUt
5nQpXVNxngHQ+lS6naSyV59+U5oAjqATwTYkF3m1x7n8GC2C8qCkavKcFu+PS9jty01E/65llgMR
TUXJ1UbKfHa8JLpj65ge28GrHoyhce7KTsZrU3oRpJ1XheGUIGiz8+ZuxOJh2C+abQPCKeKJ6hBX
G7Yjtr2NPY/ZY6NkTyPMLM8TGyaluLHc52VPw2gykm1p5uLWZ0N3c4yupanMSA45DE/ukKSBvHAJ
kFBYuMWuGO7QJekVsCqIFWoWCPEmPUZ2ku+8CBdkvlywl/KTiZ7VwETgYwJH05bzZvUIQyPL06/E
ycyHigTX3k6kcdJmFDMx0x2aZ/GtxJgd9bTO0yiqumy6mubETlrlk3oCdrueMNq3Ey1qpQGdvJ5/
O1mCz2Ro4XjSlfMcaOLFJZQv6vRDxNnedvJDVJogQvqMZT/ea2I81dB+42pYzJK0s+tuuLE1D+8x
+68u33G3HhDA9TUtBN+CcIRFXMxuUtp2yOxQD9oVSwKQoQidPs4Ihxnp/8ENbX1XBM3baJbPuMoP
se4+ZHa/wfezjhKL37jfqfTB1JtXw2CIVmntO/5hMHQUt/lNLp6VrV4CzaCzG9YHNL5VHFF+M5Lz
hK/txqE6VAbYckczs31eUMtO88l1wt+05MWoeip8r44udTy0+F84lDMUWPWmvSWTCrpWMzeVzzSw
jyiAK9uTF4Hm9NxtmBU/VdG+/J/FDmuxnP1DdHFtAV0fvj93TQgKhu79m+giQI0mnSOGvcjeuObH
p3nsx+s4VCb1Edl01MUywy3D+ZH1KboPsXCeadlKrg2dbwPj5kK9u6nKv4hcLFvN8taQLfIenOVN
ipZ3Kl3ernp5z4y/b9zy7pVzmD4NFrUaKxTdS7+8o+7ytk7Le4ubpH0N/r7MY2i1xz5LCSIHvOvT
8ta7y/vfeFBX83yuLznz6t3QDxaWT2izhwRexKYwmuCGdQAL7rK2GMsqMy/rTRiw8uhdACTPHqxn
SfrnsTZazudhFHVPelK2T3rZ5ifU++ZY4bK/hjO3MW9Z6czAYc1bVj+xrIPOsiJqYWn8MZdVspm6
GP8UnJyqjnxa6VlM8eeW7J2h6ed/F9s+84b9lLrRr6LinFHpk3e3k9TzI8tMX5UVcWEYBpZvPRrE
qZ6G6NH2SuN34JH4p/lqbVUJm/zfTYBGY+Lsy85A1k19B8tuUS77RhJ7jOCXvYS4OGHLZX8xlp1G
+7vp8G2WBwJsnl8ve5K77E7tsk8FMouWxOK5XPawaNnNDLY1yHVoxu7czt+IhCd6jTygK6bRvg6L
xOz+VZunODPfJmfRoPNFjh68MeStoVCAFhoEqJRn0++Fwm6Qc4AzY/otrbGgfGDhIkY4Ws3KjB4q
xZNnZfW24tK2F1oElpMuVaw7udOX+xIWIZebsjO2LRCehmLZvz/RAn29lrnbSvZpGu55mIooWmMm
zG5lkQhikKZ5yhMWiZ0YXO6rjAE5KeSdVpD9FXb6ZenVI93FXrDBl+3U2yiwOJdwW1j3AP8RvHIy
9kknUdWcavRVXd/ht+v7QbM/mgVLT4EDN4mZc+XM4zthoGCzGX1PC56TpH7Ouij3tSFpNhgq8odB
LzosUqn3h0vMm+bqzsXqPc9vK/tFxRw9FcEo3FFY0RXtyOu4DrO7Owjt7Mbj0ppMkyidSfGz1MlL
iK5NjpEQz/R2PbsUB52S2kv3heSY3ef6MbQMkoMqGqOtGBWHni5L8UUKKvN0tBIj/pkmLWX4NUec
itPeN43p3HD+wKfBPz7wYKwTqd6d3iiPhcNIsBCjvU6b0tyB6m82Bp3yJJLtnRuVxCeLgWi0Xjtb
xFRkFR3o1jLP8hAUdTHWK04fL1U5vpYmkJgBBvvVdLNoZ/e9gtJL0emZZD8JyzQsdx3tlD5uBINa
RlFtXTnPxFJUu1Um7xrFGjYwlpIbGAxuKO/tr6FQEgxSGr/Hc0FqMeME4VTNLpNut8s9q9lRtAiJ
iEJkLHdMLxuDWsGuAqExBaQO9Ap9EQyqze7o5RwtKp3r/A3DDAEcixPThEF8FblBSZyx4xueuLXS
uyjWraee+XPOIbQATa8sQGEvJKaLU9k5wcGsPKzxbLuXMpDfRtXmz6mJF90dWVC0nDi8yn4SSzxH
uTDWo0Hk3tRC+6EqyVoweTa52ETfrceZAg49W3vd0lqHOWVpCf2aJvN9yIAeJ5eOsijRmTHlx/I2
G6UJp7f4Ee18n4wSc6DbUw6UQdgiSClN+sjj8KFtTLUh2wluXF/SIwUDqrK0myfFrPwF1kLL7dX4
jVHJYvSdvMgm2xsNC5dmuQM3Y0h84GWjcyit0yQHrLMW79fYsElQNBJvEKQfVOAw9OxlWeOaUeUh
wp25pzhjfk+g3tGbZU1bGEqKP4ddZF7jXJ1/ke3ON5ZnR2tJgmZtY3u/SrIAn4D3rANsav0UDV5y
yDq7vQal7G5gRoqbE2jjV8D6czLMWpJO5kSllrNVvZyyMDVnj8Pfk9dyBjO1Th6IKmub4O/pjBXX
fnGXI9uS49n1fOL/f4z1t/jo/zLGYp6y2Mr/eyP9S4eu8j9uzef3nzb65yTrX3/yX5Ae+z8IY5q6
7uKZp3T7Hxg+SW2RRXUPceC/TE6cgf9y0lv6f9iY7E3XtkDxSPKk/3uShWnQtrnz4bNHJtbF/xOU
89989PZiyDdsqQuhM1UzLH6Ff9YWdUR5RdM7aldRR/M0YBO+cm8RVIt7cfOleTNuOZ2Wu/9lRP09
/k96pv4L8wr6wL/TQA2mKCD0XQdsEd6WxRb5z58MjjNVpGLUTth9sI0by6k+c5OcMXYTAxWir4yU
voRm6N+zKoHLwCymSteuzCyU6XTQxU7PKiYjbWNlVMkGsPEopYNGzRW6owXYYnVsibmu0zxo+/1g
At1haG5wRzaGDtB5xXr8ZWHZs7qpKXamZckP9LHxcypN7zXXkzzygTyoR/zoJEk5G8anGP8gW1IV
sMyx2vTvALTjrQNMbOPm+cmOEUW4uk9IOWtmhF8JJLCoo1R0Zk63aYOSDHxjnNtmSB69PpVvHoG3
nQWv6Izb3ijWkWMLMCehCF40RReDPzPiO0zuIqwH0x9ZOiQOaFAJFJ27nYmAMwzRjcJSuVUjgwuK
TohKG8UrBmk6M6slEDGYT8rVCB166Ms50U0Htu8aLwY5NM+yr0U1bNyxxNJlgSkIh54/2LAhFpXI
1hQeFCvwignKq/lZaVmxCj37pDt0uUQ0jYbsUQVJ3GHJEteMJ8iJeTuil5Qq4fviHyrhNQftAAQJ
7xpMMQoOgwY2e0YvdlcCWy8bu0ej1os1nm2aoYZY+qlrWZsWI+iOoHhPi1XLbDO2nIOtS0L1yqx9
o+l7mvda8AoDHIMZ/PG6dwqTltUEV38V5scoT8XOc7KAvWeKd/PQkEozAZ0jd4cZIWXN/q4MFYKI
17WN1IT2APi9OBhlHd+nOWtTLKJQ2sO2j2GgUoaBTwjSDo1DLi6NjU1dl7dJXfDU/oCh9HOSNN+t
K3R/5BjywR9hb7sXOcXGF5yT/LuTUyLXblo51sqMiFKEZXrWCXIR4mj0+CExPWTtqT6R3NWOuVVV
x2jOy7fcJR1PBK4h466TOp1JunH9ZhePNIFCVAqB4i3KW87GzMGFpt2lHiUtNhg8nAcbyobONm1l
56zNjd1oVFm+I9nlPuWO1tTEvm19U1M3YvqOZpCTnsncX/QGPxuQyEk9su1MWzuMpvAYhhV+Pig1
8qPt3InzhAmjkrgy1JFaasF9Glz9oHeUEqxFTfBv5oU6pMZAOjribry3vcx+LpsGk68r3Hjiw+yZ
8VnIVGzpYGOuVl6qVy+soQu5OOqfSPeY1inU7GbwXWcg9DcNnfGnrKuautbceE0hcPa7Ljfsn6Wp
2WMObk4A39vaIrlIo7t2h4yAJYik/ymFfZdi0zQba13UOn5Gqr2i596M4Y3HtXbiFGVsK/5j4ZiO
5b2HiEjv6JS322zWroE9fYsw/Wrz6GwoGg8Zr277ybRQf7hJgxe3roIUxYYKxzOsMbBRk0jPXseY
ZTaWwaJeYSubNdq3q/qhEHN7qxP9O0qxIDVlg/LZZeFeT2R1KaRMt8zsva1k6rQNcxnfokDrdqCw
qG+ccY91UDm/ZsGoa8o18QB8FME5n4LhHLQpCj4OGtpuBzNebuhmxAPsmvDcCzoyV83kGF8yGeJj
ZvbZyZPyOkqS4CunNeitNSCtiT81QYgsXkl0ROgsuNSIJb5D+qdCsIVAJgznJY0mSW+P6h/pdgP2
DgLL3XQO1mBYhX+gC7B+tKVtb6MlIuwBwbwogDuOneJN90Yt9Ic8jA/0p+U3TTcgNzpWb631cgju
UPbR4pTG/ZaBTNod0pDyto6G7IcWrHPqR2VdYkrr0DQa6ApTV6JzJyRVebIApLJahF+uSpB/C4dx
vktJr+FIfZ3FnP0S8MwvLh2aJ4fvcZWPA/+GkQcYGhqnQGx2QxjsqbuirCJ3jl0WyUtliuhIyOiH
3Sl+oM+t2mUN3LWV4ElpD9idxnUV4OryG+ys9Fe0IeKSNtXNN4UepObB0FB4LoqWlrkgoaI3ajRM
qK6jwssYqXtMRuati5GIMgCOf5b64N0UWyOkCl6YnVMzWNhXlUhsXynlPtRdmr9KvicQMEaznyDn
g+UQ9q0d6+BryjLDfsKnyDLbzUXUbcrO0unDa0RDpJvTASNu2mOozmvmSwhdCcOV/lVBxVmc/vMO
u5w64dHfjE3xro3EZoCQoENsUm7z8m9y3djFeY8xBKaoa6xM4l7PQ2riaw5IAnFzZlRDZwIm0UwR
oJrc4jGw5oJq+7jZ0NGk3TgTBw8j6Sr+pdBHXXurtwTiwAgZG7MOJz8MD7khE39w7YYrIzuT05BU
S+OQv0J0wdr8Xcvx98T6fhhaGrtcHQNePMMS0Mba3GugIai4DygsM7MzWbfRB8jk7FxqytdBCHF/
jkK+5Gi0T3h/X0OL7FTdYcsfgoHlmaZm7Pt2S9uxNkd3qJiTX1LFS2zQj7kFbbupN88RddybTOsM
PBcy/h5Ds0P8Vt0la/HTxhowrHIc0/XUYpgP26DZVRK6Gd/Q4HMWtNbMYfWNGucXvHV8kHlZ+bng
g83qIkAXVuUuaKuXwYmIE5ZFs+88tBOOGojjAi5MSVskMzXPPVF9QQwxbQRjOJORIR2ze1Ja3BQT
79ZqE69vbtpXwIHEnYHKrc1GjfZOY/Dqp9S5wgVYInJWA3qgjW3nxHGh/cBXzZcKHsyBAxK3NxFX
np+g8rp+WQTDhyf17C67WT/pXpb+tKMjDhpbzoFb9/BGCFlsGDCXgHYdvQSTNvZkpKUe/Ohgifeg
lFyuUhlWdLbZYEethBNjBTKiW6hBg1unodKPIrTH3Wgm1if2h/qsdHO8YgNNh9XCEon5vE1x5DoM
Q08xkD6GZh8/hZ7hnHRXGc+Yb4M/GQZdtXSZ5Du3CeOUhckIDkmnO0fM8kB3aEPGC21p8ZFXhTs3
tVmKwBtNsLtcN41XC382ai3a+iqfRm8dmbChe6gKVG8LT5Z8CQX5aNfVnk0pkj06CWW/YzLvCn1S
77ip8lNfTwVZbo4PD1NRtFuzJW157HQyPL4TWfNzmkzTnz4ROa+pm6aL00bdvYjxAvYLsE4cbfv1
wNF+i5LYvrpTqT8EUVEco8DQyY8ooikzV1xABbhf3mMbtTfPqc9zRm18VkNu7xWoo0fNszpOkyK4
WW3p4gx1jVNH2SNThIF0aliX75aNU6k0GIl2IVaoRJxNF2yeX2uOAuWRAkRCXqbMhxWPKSPtUmdb
t2Z8QU1DThA+wIrU4riWNTeLVd+OegYVSfAwpcThHwKPamsvK7BN4R1Zm/nU3QUQwIOs+A0KtzBe
LKEUA7ams56DAAe4P5NMMG5sEexvYAWxUKQVxZk5Hph1lrXtxpsLbyusYt56wq7hcoLHlJn3Cebe
8DXQ2qwzxbRj1iK2NWCcbw4tpORhOpAvmenbXPXjVOxyZ2gOVa3aD17a+a55NMrTbFTs0oYf4mq6
6SfSTX0nJ68jQIoxdGjMhwEP1PhZWuZYP054prMnjbGe3HQVeRpuIlzw1oERJgDEC1wNBDcUMz5J
E5i7Ei7ma4emqntuD+HzWCF7zVpqErcRWM+BFoW7noHdI/FF46MvPfu5H5k645YwvfeF7jX7SRxD
NSbL/D0OJGQ1YVuftY1jfiXrOObrqMR41zmg/mmscj6GQ2lhU47H+j41BmvFjA2eA1trsKo5XR3u
6jFlyW6ocHwTfN2fKRy8F0foonl2wYl3ULpr26JfczCBjFBc4jPbaXxlTQmSuRNOtCXkoWwoyKRO
itkDD+Gmx0mWcG5vG5/QigBBkfL2wltzjU3JfngqjQSbfmrV1UPYyCjaDJqFuYW6XYP3XQLXKlUV
Huqytz6yeYh2heFVr+hi/afJlQjtvKrvjWM/xpoiGgEAtmpd99Qh4UDebkeUKqF/JhJ8UFggziyU
2lewQNq7UZWOC7Z0spn8TONRddhmlOeWV3O2xGOIrT+EVjsGzJ0IoRIHPnCijs6jaQ/7Gtb6vucj
/IRXp84kWsTNxmW8zTW5M7pSXmOZLB4209iA507uBeSpC4DnHuQM1hucEqSqV6Nbw2CV2RScygZE
rk2k/BJG7i+mX9+aysfHvtID7Hf4oVmtTZojWqG8n96tgBP1ebzF8RZu1GDC5XG9/g3qeehn5NXe
kiwESjcK61KgYh6BRuWPaQmX1148P0s5Rc1x9ga0FmBnHFd/sKDO7KCDuS/aVDyD1OiOcwhQ1pi7
4TVdGjJaLY0e4LskNxIJONIaMol+blTdeQxs8rtEVQ6wQKJHtfRxWFVcVqsmGapbz530i7SN/Rjl
RUdzLoNC+kybq2LkfChl/dbrY1xuRhfKEs15Vu+PBNfXzcAkNu27+TOCwIIxtNfXaQY+ZuoS8x1z
iXlRChUDBJL3Hss6QKRjzXdCzmlsq+o+MR7/FXMWewDrSzlsG3SXniTaU8cpj8Ae+JTtrFXa0bLt
6hK0PPKqZb2XVdn/iimvowi4iz8n4UJBTDyu1AaaLm3iXNZWauLtitlVNpEiAzCDOfXdYWGBTNyx
IApv5ypKLmDhgtfMddqjUwXJq1byXLWRyLkJqmLjVhPkJXphbxKYI5MPNWw01WfPcNLMS4Qa+2MP
Iw0EsV6Yzy7nyQc9Z8/D5xZY31SUc8Pqm7w56WELbwn+ZrjXeNAMrCmK5FzXpQzx6rTDqKnZ1Vs3
VgTbXG80nlJnqp5lY2Luoi4etiEG1QKjW11gzs2Cz4GOP3B3IevLqS0bgbPHCl8x06TiTFU7wMUc
MH2zTahc/Ay7gfuVgwP4S4lCLIL6jNVKlp/jYGC3AxDyVgpEGifvynPISQ01n7WDXyihkQ2Vdxsr
ad9BDhi+IRpnzyfZXlHE1QWkVvfZ5706GcQzVy09n+RPGNdO/SLUAgM8ty4LRhnG1XsjdSiuaa7d
nSx11gAjg5Uh1wQ5VbkuSmCvTADF+OBplGsz38W86lB9Ni2oKuO14LYB6RUU64/SbXfrNfpENgzO
O61fA4Okspimt5Q7JNVKMaUtMqbklb888wFlB1yozQiP6ZZTAIVUNGl/mB7YQpkUPECxMfM7aJAV
FgIm5oOQPJCd1z9tGsOWqeVUfM5NMP2UnEEPkaOxDAUaHqS8LjcOVDUcRvFXGiJsGRCNYV19grqb
KMLinR66DrtOlOjLYeyVRaY8Tg0jxGAwd4BitBPeVJdvE1YssVdnQ5fiOe2xQ0W9e+/i1r4GVpCf
QTOb2srCJkvDXZAenK4oTiATxSEeJx4HDdHvOOdNX26yyFq2KUbHZVdvPEkMkIJK3jRtPo3QwS9x
OEUbRI9mZ3iB/hXx+HxVIDFmIE4lyKsoq09YEJ2L4ga1FdTI3mHG3qY5MnbszcM9Jc1RMKOxKPDQ
nGGXaZ5N9YXVXB1Tvy6a0IcuAruCGDYYFjW5RXLlZJcztWS9ukSQTFC7WhzjoHjscN0nXDxXcpxx
PwBu21hjlL3qmWRE4g2NeORokDFMisj6mQk54G6Q7Z78JsTDzIo3FkFJbDqYz6Ms8GgGobFz281d
WrDplc3JbtAS8USbwVsd0lLQNlX7kVA1eUkYkZKJgR9OA4JyHq24ry81P21d1nVwAxJnXfQK694q
8Ep5Yv4m91aZJkeTSNkJjld1iu3YvQsjq7bFAEB7Yxa8p1OruiviWtv5jtUuw1HYR36tNHAMs10l
fmhPFEHW86YzQ4tacFP/1hh5H1QwB0+ClQkYJ0N/tqOZOrDZTbchcZxt4+jz1WtR37AHl/SJJrl7
IVZTPc7aqPPowavbRXA99gIX5yeELXmsnCp5EYxkPBbvtkZvpBKjQrxiLKRV7ZU7gfm6VO+SDNAV
Zy5p762WzawjhRgS1OW6RzasMbUXt2N6m0xDuTKmPOTbpCQVHHs2PsrAzNbMv7RDl4nqqJV6Scdn
Uf/SYw4gjMDxe1B0xGKMNXt2duQ46it14R2eUxdVcR7ZSPmfzqGz3fxMP+GwtTK2000RJcDcJtAu
vm1FvOMl5N011LJg16d1Y7DxmOrByLz2lTZr49UdihDKFt4hSJDN0ogrktiXGbbnlT3E1XPachjf
xk5LS+YsychvtQwt76SiyESSrUqT5xbxo8cvGGpvkBHbows5DO2ZQ3S6jqJE3em6auJTKUX8FMmZ
ghVQE4i9syOcYZPUcf+TyHzezf0gfqUmFkN3ZGa0lUWm1X6SCJFtHatk3UpqWjxWGWlwvACea91b
6h3pF/FiU0Gc9Kq33raSL6Xp07z23EG3CRI0WM1mpP5n2jeK99oKhp2WFPUVN05MTSlMgkc1hTNy
G3TtWzUgxFnKxq6Zdh8gleF6u7R9GdQO/dJKK2KWPlKgbkmLjhIzf8W+QTyscEewkyIy/akwMoSU
7sCnMPutXo0PIm6lu3JKr3zqOjVuKOadn5EvnSODdHkjOIHEkAxudQ77WWtXHeTOb1QDusPCYsnk
6w2jA20cNQL5cmj2aMgM9JqwHN9jV7BBIKFOly63pd9Hj3ElSduBL/Se0y4oziExBTsVTQpTTo6X
wGQn2LdsMzmFsVH35QJ6K9cRmTRSwmWu8FMVGkiayrIouqfww9vEcoKM1ZGXczYAdgrcnlaZbNlG
zFtme92jNZnzG8L58KiJviBQatAYWdjtrmsr68UC43WlTMz2YwaEOkxMkwh25kD777OJe/ngUixY
pdFHPIrs1GmGujV41WokSCOyT7UL25CvIOO/CTI6D1PMKWvdUdH8Ps2ELKDZlP02wjy+06MYyw3M
JdKbePwIc/BBPJYYvrR1SKPkd2BEtGXHtmE8gZYGnkCgI39KYma3oxZwgfbIDLCdtlTMexEXqTG3
nIemNNp7HZb63cRpc500pyCuFMT1xzy68YOYE+z9CgvIRQcOjoxTtMmCM6iNF7wh5imuPQHTCDDD
wkFC/1y5SS6PUOCD38xk58/K4+UhYcqBbaX0egg2ao4K2Nn4OrDQq+yNp02pdZHF7ASonuO11a3g
96B1ywLHS+QY/8nemS1JbmzZ9VdkehauORyDA2ZtMlPMEZmR81T1AsvKrMI8uWP+eq243VKTSTap
1nM/3LJLVhUjA4P78XP2Xps/pJQjj+gTlrNAyndKkkjs47Y0V6ztbEAmFJ/GBSa6CWt2vpEY3mef
pJj7CazMaYqz9todu+FIwHP/yyDshy4csnaOQdjCUwLM+9PPIgblRb/hDFFk687vqkPlLurksW5v
BlUXj+40eETNVM5qQYz+WTEIb9aLP7v7pgDykLlqokaLy/bdbqDAbWOm2A8ckeh+X2RZ+eAE9zBA
io+lUepxkZpfEMfsTDy0b3FnzxzxoplxR6qMBadRECjONXyskLJ/sAOVaEvUGOJut51oXZVaptva
JHc9KVIPdZ17TA9YW0Dp9q57FYquQymr4ErY/CU7Qv5A3K2686eKboKYy/77QlvtsiEP8ozpyewi
xalkFVdj8UDAep6tkxBv+iOR0cs9eRLcEYqbayFS/57hVnUshJ08GEnWK0EYyPyGlqOGW+ut1mBL
lmSMbsth9k/8tfiWt9v6MdnEi/GPb0k0YBpI6+mdI3Nw06PYuJun8rO1PfD3fbxukxrpahbOZ7+b
y8d0dMa9rlW9zpLwcU6NhFFZ4Hb1aV0eO4OmYeWMEyYdKfwnh8TOFeAYXp656TZuwXu90pYZ0d2r
y4Smp8NhpWV07CjbvytM+3eREKjTXMjXDy4FPSeBwrOAZgChWA0AzU4pbiNiY8PYfIvzSRPcFXzU
Okd82nQG438s1Xkk4PB+op3xvVKB662gscQdx13GN0nP0zSKC0lhii70gWAN4are5rqX6PZwfa+M
aPF02LWxLgQBLuIm98a5XHuUCBCwVPXqxGxZ5FpQsiR0OHNbjtg1mLbUyLibF+ap3bHk+m6TtqsP
EwRivH7IMQI40vVeOJ7LbhpPDK26rvzuO5HBrrL0W4Bhwa/BVOYSpAaAgu3+m1CJgAIO3sxa5wiX
Tj3SNkhsGXMrZ+k5wUiyVq6MNLRyyhZHN9Mc2r2N9954buWCKu7ILbCwS7v0SIDa0sc4475ikQtV
S8xAZ5JH3Eb2zgnt8SklT+azHufpR0rZ+tROfY9gJJ8u6z+JtNd+mAFiXRyQvy3hJmjbFYceWqSU
JkvJGW81ZCzGQx8Qv1ii1WajybvkTJqL+IEql3COsYlIGtEzG9cMhOCIFkRc8aVgerMHT8D7neE4
ex2hLlkV10dtPIznBK1UzSqLivm1hSrO3CYJd1I27PkVSXdbslDggtaRtKJNp9LlTAIYq3c3yvyk
QpyPKI4woXq4j3ChZyhFfMHED7xozW4lEf1dANqzd9OUaYJHpnPyjsecXWxVVn6GOs/vnfY6RHZH
SHoOdw8xUx0C9nft52LQzFFklV9NgyLdsoss3FjFVKqNpy9xl4ypbCzkfSqfmdk62BoZiEJbqzzv
sx3S6gakvHvP5kXtUrBdriKPrf3YCeg7GyWX6Y1+s9xq+GBPeEXFpgw6sNoxVsK1y3xwO/4zziot
xDkIB/mZY5diE7t47KNcJ2vX7kE9e6gI1iHN4aulFPZpAkJ3Mwsm3o59aZIDGUJYr+UWl47NmzXI
rZWN965FZzQxI6dr89ZThJ/mqCqOgVVZ2y63zWac2+Gn3SBo6iknbuRldUaLGWyUEvjrUQripuP/
LZmHBM7ujXgTVpvemDjJz7keUTYBoAvWLfFIKQ4IrK19syCzHqprMlEuYGbb2royKo8F/IGPosGi
EzeBvi6JVblFCpbpdZOOKb6ccfkwsYNaCYgORJ96PFCv0yau+9jb/Zc26P9JG4RyBUHLf6wNev1p
uv+2+lnF78XvlEH/+vf+zeAuwGXiK0CxoGxoYg5qo3/1uAfePwKJvTwAlekIfoXk9X8Ym+ofqDAw
kWL6DiUrC7/17x53z0VqFCihcCYo9z+lDLpkc/0GJub6VPihhEoG6kzhl+eH+60+R7lW3BaM50ka
6PNdS8g4oS8+4rg0JySrmo+/uTx/pgi6WNW/fB5FocTWzxUhYvaLujuTU+SEIqQ3mhtMATLPLv3G
Fp9NhS98pudVRuRowhEKCdBa5oHxS5Z4Pd2mqFizloCzHeBLbv7m5/pi9b9cB1cGInCFJ2XoqS86
pcsJ14WJGezprn/vKn4Oe6RBr0jylp17CsMFCCENx12UFmRBzmdPYx766x/iAm77em0cslqFkD4a
ra9aKY6lfnQJWNk3dOf3THqiU0DN8vTXn/Indxw0fUAh6YQKednl9z/eH9IqBj9k/w/FRWaxz4I9
XruDlxOvg7bpMKYEF7WYI//mwv7Jd/JIFnC44550eZB+/2laaltMAFD3Icrf3RTAQ836Rv7Np3xV
mXH3Qt4IkLSMIWjBfnmqyGO0W0Bpau8lwEzbnKZHVfQPQ5l+/KcvHoQ/H7It3wep35cP8iyylP75
+EYpHaDSyn4hz2FK51R3Tpbf/H98GLQHwBiuhyPiy4dNvVuThOCqfe24yBiI/l4lA9tXuSDYmjL/
8NcfJy/34svzh3ARxZXLisA69eVepSQFLlrFat9abr4imSG8HiHbPhR24h/rMoE+RsN0h+8XlkSd
1Tub7LIfdOuqFcG17QPtX713qhLVbg4mAVU6ikLfCYqN51Fvd7IBRx4kFdqnPqvY/0r29pVuFhg/
9dji4+4WpiTg/4eVyPx7XZb6/q+/41ekx+U9DwlBl+AAWYv/8DwS9SJHD67bPq4Secw8KzjOBJeR
TOM9WwCtmywyx0rHv5STNOzEuXwi5yb4m0v9Z89ryMrtwnEUHjPkL29FBqHbi7CQFeTdHScXdQnp
j+icaTD+9Rf+4yeFREZyXg2cAGPN13uaNJQzjCOCvYrScj31AX21uvxuEqaZf/1J5Lv/cWlhMgEm
BRG5Cxj6n7//m6WlBYZqKWnU3qUy2+YDqTSaFf+OM9L04Fs8CLLtnjjNlNsMDli+QRberilem3GV
19hZQ9MUe+zml6lQ7/mPPYegd4+OwIHRQ1esnbafH0PTudf0gOqrPClTEL7JDN/V7rNpV3DzGbna
aEJL1R9FOAeHJgHTFmoGwFZriJnTrdw6uJWZvBHXaoNuqUH/j51s13FpR+c+ybxbcsCAWpjE+Nt4
mCQn8iC9BaefvV+YXsT1htiei3A5zKFnMZls1TFvO/WWOot7OxKrBWwFTZFFOBBjPu3Tz5PR2Sbj
lyB5Z1tEDfYyLwWEVdo4BtDaPLlSN2+SrC/8/QLLQdJWcADmlrN3PWLIr4Z5V4VVcUhFlz1aomlv
A1Hi/Z+YnW9yPTE2nEanJZhliM4opKIXSI3pfijb4MMfL7V5JJxv4G9fCVbCGwcLw8doqG+dUDs3
qkw29HKBVlglvBubrB/wZ/IBbW9N4FDiB1fCdcztMtA/IsXW35tW53u+TrMOBk5DETkoG7PUfXEa
6vSC8mVSdx3Swb4kXTO0QRGCg4r+fZvui3YcflIycU3oBAGx4cRTYyBE4hRFXDJH9ox6XfNqozZ7
wSiW0cbyGiwGkRbhC2UbUFGmNR2artI99jhdsN2ixtS+5yKo9+FUtyIyzDFR8ZKVxtbPvIA2/Sor
3EtU5YD3X8ah3lUB91uagcs3WMZ7j/x8hOdPoMtKDHa6dRvP+5Y0khiMULrfUCCCOAhwpN4OcSu8
VTDkfE7QCwKlWTzA/Gt31oyyyzF8YeTQFS+Og5x2ECL7aL2LTUJFHk98iFbtsaD3ikgwGRsyE3R0
KoGjIeNSvxasB4RD9uzbG9HBtdsHBFxAGcv7+VrmJYEIfufXm7QYCaj2Y5p6DHn3cqHAWbEelD8w
2A0h2BykUKGr26MOSSZy4rw/DJGYzv5i0UDL4J1hMeT4vxYEemyCKroBsxYfaBaTN0fzhp83GZEO
0DREGr0mCSYJV5aVkok86l0/2O0JnZC+irE3PuKfo02QzjvI4cmTFOG0ZaTc7Qw/G76kOt6FbRce
Ak+U3N+pBKsy8XwUDPZA1BS9vyOSyn6hd6WunLn9iRKl3aa9TqlP2/Z7GAFLpEB12iNcFI7rViYh
/Q3Eg9sLYyEL/eymLSAd5ih46DJVKHammRFaBQoiw6mBVjQt32FRZJBiMRwHjo4+c2fxLqCGcbwf
MoFMi1v8GClHkONmFdtxhmdpTezClKL6Y2BweS9DMx+IfwIGZXomdjK2d4FwUBbKcDcNFIjTYrtX
kQTTBjNnXOk+g7fSnGIvDRiiBm23LpeRg4KJg3WURc8Ij2jSaju+tfJZXqGbDd9pTDvPcvG6LUN8
jNLwWPuLjCQ6SOHVh6TsiF2Ap7bCtxuf0tweNtDEhw0t5uQqbjBCBppZQg0imF1vXo193x90tFRn
WAyQwBt3XDZ1lbqrGI1gsVIWzUji7xjAlxTejrfcGAfn4JCp5RHTijk3C6nWExx4hG+SvJWI2Lu2
zac7M9TjMaMn8dbQZ1oRjhs++62LoF/PgEhnheSQEKeefKI9ZsZpHVYR6G8aYUX5gBSqoJFU+scR
CAeZ8tkmXjANFH1g7WrHH38SxQo7IG/oUPKuWfYb02nnDNbkPJIDwhAF6Nw0inkt3dm+LjoHxIwf
kLCkC8WBv6jHXe1CO0HvyoEC9fGKhtfwgMiuSnfaVWZVdPRIssr6NfkYBkflPVEkLfu+ZeTO2OFl
9NFa2bbvbcexts8E1d03qb4GPDivlG3Rm2UF30dR9W7XSN7Qbk+OzlmAYvJN3A6UlTKbBDfedgL0
sXb60blpxz56qERUblUUoxsL3LNbowUIAwtJleMTfzv27fcohJegcEqt/Xm5Y7IW7IAD4WPykfy8
keY2bcmcmXfoHrAFBoKB9NqtLIKP67lqnqnLpntZpc6B0Lxor9OxWNssNjc07ZuV3VrhY8L3/abD
cdCbfCo0V8MvgVgYGg4oHch0VRt0p5HA7KzzYevXXBECuhZ1V5CXgGSdxet1SLT5QbZ7JBCIhxrc
O0OSYOdXcEA6s/yaUV6v4vQit1D9O3NlwoBnvaw68Ky7zNUkc3phi027eGDt3wgWnxteQnDrGVpR
CfXqmxROe0InTfO+x3RnzxchaREnuzRFxWj7Aa/xqK/0EkEqKnC7y5T5fGg9O8WI24VN/s5Hd7Ez
yCNy5rs2gsrIH3lyIautF+W2j9IXjyo17QGPG8GiaBwPHYiS0zQb91C2fX/soyxhle8rVOkeD8WA
k3NPUqq/Z0mxtpE2mBQb1KdzV8q7vinSTSWS6lsduGbbut42Qh18RWQboTUmrH+xIdFIpg1+WHwx
PMekeAC2mbzxpy4WPH+1AF2dabOAcoK3UBTevLOIUj6gZy6PY2p+1VLWp2mM7EfHDtsdUoW7VA/5
aV48b12HDm0227aGlyHP41/ekuttwr25benTHpXXRjsw2/ph8Yp4By/zU0MJubErK94VKUpFLNlI
2vOshzEyiGk/ZiiQe+yFSLnEfbvA7CENWe6WYJh2S+RBAY3duDpl0CzWwSTFznb6boWUc9lBp82v
YDUxMupKcHVrZslQKzwsM3KSxRWRoTmu844rEvpZsY+q0D66NOdX8Eaucrd/m/VUn6d6upmK2nx6
ZdNft41DuIRdTExpyeV2arMNI2PeHeN7yDjb4QgaYp/X1gvmGnT6/YJmFqFtdaqjkrCiBhRa3PsQ
UMzU3eBEoHd9YY0S8HSq5lI/uw2m9wpZ/aYNB/3ZVuPCzk1RQDsVFjMtN/KUJGvzJQjrRjVVfG8P
FfQb0firoJTWJUGiqDc0MoY72uSvzQz5trbA94FLX5dAdOqEdRsFQbMt+mmjawZiq6Fe9qivkJoy
mjXMcc5yYWgg0zS9p7D3NFaRCOYnJphV5QQSWXv1YjIr3TWq2g65+Kj89NCPdndkPs0sj0kcagIg
1YBM2YWdyT10qYfyG1ZmHyLtrz21m/15xjbVWMEprHEeSQfqg1M8DROegBaH94Yj1KZq42ZPKY/x
N0ZB7SdZtE+YV2OJRdCjS++DWNnoTZV4WBvB2zySbLRkywH9zfPcwZcxA7o4q38JMjncJcMCi1d/
CzuoDE5ifQRp/SKd/Fyl/mM8sEOlpX3LlB7+8k89BsMecSPhsqBbyBdMVgQeojtQ16lnny25YPhV
vbkutHWteYLQqIb5PhodRiiTynYxMn92KQSnzbB3/LZ8XZxPWnHFLpAt4Inxwu1tG3Qs3mxxA036
1MMIZhWrnvUSvEDg5X/te95E36fau07s4psrvQ7arMuAsNCMdcvkOZEhOO/yCXv3t0q2R4a3xdqD
HuX4OT+7xJnhNwNzN2bnqy6DfS0tmEuuR/8iaSXGpbHdjX7xkPFWHRl3/KDtcPTHeWMFLUgg/A9d
OxD/nSXRAYL0cFuFsXc7N8r87IoipGlGAlxklSccuv5uiMZlX47RD9T8HMw57j91lzjiyyGfV9by
/I9ksZtdadw14QDeTpMceprzAp0g4bmXUsoHBOYgbUlw7OIPqbJNYKMmCKvqLF0mGqaaqFUaMgKc
ckRlHnNEMGOac6q3qGH4whm8NZYCOFaB61YY5rjfnFvr1Wipx8AHeOKM6dqX+vtQLjvTUecTyEMi
Xo7UzYtY80G7rlsnfEhgWzlZ9NrN4LgQ/0CH4b7HViMYXBb6mCQL4HO3ehadi6MadBg+uuYtsyH7
4TBoVmn9Q1nuq1+IDuQ/e/bcGG6azl8a6fR3czGULxPNUIiaXnHQqMIOREDXW9yG86ohFfw9Hfpu
n7gJPkYaIidVXSZYqrU2bTlS2yr9vWIcsQdZyjcVSIBJL7n1bGK8kUCh73WK/peaE+eWySTVne+Q
dYYyZGcx7cAhLc4VZ5Yd/u3gNFYRxRGmQU/qO91xwPCaoH1LGsvbV0nU72mxPLY98YBRg61miMlv
K7tb01pIKFk7ti6JjOeaoHiK/olzc4qo/sJrY0CFfX8nkElS/etXJ0dyQQKz2MlUi20cdaggR396
khaJN6rCnTlq9Acx09GPiS91UloVG3/ilkq7bw4ysfo9+624ATqBwQZ72qlsD9W8ZFu/Qqkp5hZA
IgP8c04Gx4vBAf4SQNyMJlvi2iASISG97hWLW3eo7Mx6bJpB/xh5tu86jTgAi0xDUJJj7ZsuGfYT
XPH1iBznxuvhUbu0cTYIiNVKtKTVX3ArfEdjG/UsLqZJGMNESJMWAwyPHt+6cAyadugm/dGUhAug
WP82t5SK6FfzD7DE1TZt7RksHaVQd5E7hYjH6FXDTcgzgZuhrTzmd75/Ai48f+sXRqZoyLYFr+8O
XXVPmHrmbMcMoY4u4+kuZXpMtZg3J6WSYYP36j6hEQXPgTu+gJY+yMGzdxO9lBxiVb+vpUnP7qT1
MRPFtgrHaRfyonOWQu6JOWVABK6pKxkYn8ORVE/G/glcL3tE/xAlx2a5WMYnkPZl0XlXfM687dM8
2S+eHA64bINTFIDbMn3NrDWlmucA9jga6XzPK0Td/tR9TqEzvtl5zKR5Kc4tadmvBLR/chzXD+HY
FmgftYUkxOrNzs71cGUJ8yyl98rHmlMF8TLxe3drEsph487zWke03CSeC8ON0gmAG4veUIXufFv2
gl5Qadl0HVN/HQcVj09dNxBf6yjecehzX/uYeTWPYEO8PNt0xAx3FVQ95lR8Yt16zsiSoldRPTfW
GMJmSbDn54nzkA6puJNt62wToAkzUrdU3+Uy/NEW4Kjox/nrxsIDVLpNjSVoQZwRKgbxTa+uc1Np
+J1tvvXDCenchIanaSMfd0Rd7i20s2tE59UKend6mhNUNWDxakW0BebYrFq+j8Yli32J57ek1kjS
s0zT4fB/MEmFWE4I1tqFUbBlfNvcFg7ws3yYU6K5OWkFZCQfefzuASA35GBUcXsARQPeYKiwD0NM
uMLEnAIAQpO6XBVTD+bW7Z3hfs6E+zlkYytPFlKS/TBiNls7/qLeMFILKF6jmrwtvO30F44GrSC6
kCN4ncTd/LQAOlTrQhDEtQ2sqXM3bq6Lt9GHPI+2kJPe0i1PQsbIUoaC3XHO3Q1Tk0fgVKyZoc4/
CNtNduj8p00wkXArKggguQHBGuUV6fTDTVDa+lQo9As1YHceQ7tYzpUucRzBhuZbqMWgjWP4vWLQ
W7/wQfqZGOb6Lb+snWRu39TE1u4yADZEpYX2DptVwjIXdNU3UBXOqfNKuV1crI0bt26jgw0n53ls
5+Uxj4b2Kc0d9yzKUAD1cMVKQGCHSZbRZTdFA1SiCSfNR6f9huh04FWAMVkTL/6gFZbeoERkiAs7
VqO1TRFJwgBMrAtzH8d7q8D+MWvOo02esxlg/OitBqmVKRhYj807gnXpXe5J/qRYf276Muh/6sqz
yhWxMdW+51IH1+zfpOymUj9EnmH1yh/8IISdBT9l7dG/XAHyiM+j19+5MZIWOjmA6gG7rjA43NBw
xxUekTM5XMi0zBF2aGiZ/Of4atWAsS7NmnXvEzBtWdgnp9yD1R62+dlDy3SBerwo0FfJJskdiwNC
47/7HKUO4YC0Qmt0kmOIfE+RRvzAkTLi/S+zfYlleQtKjJ+qS97Gmd1Pev20texLJucyfi4GC181
DcuqXsaXfk4O7dihuqlmdKJBJO6MrMzWCUGHVP0FBZOiE61I8F3PSQ75PUixDlX9FnnmKXJxV695
WuwNeP5yS1enPyuTyR9TrQgTKLOytKnBZ7XvtBjgXoumu3KV7vdKeRZWTS2CT8QPUN1m2bzS/mju
q8B0D/EYdG9BGGQEIBjOxbTudvag1S21HNijNg52JW/fRgzyZ5fE+hAu9nTrLfESrfDGRT/owVLh
0y9vrionxgxN2A6K4sFAPt/hJLPyLU5nQAN5HXbdr9wV9rTFG7uIjT+CrMKXVCFXME4TPrOXAh5M
nIJuljf3HIPzOtLLsQtnwDOouxipAtIh3lYR1+Tl2XPuD9HWToL22sT+CJ/nMnGJUuv73ECsQwa3
LS6BS6YfzYM3Ni6BJ6TE0RZR/KdNSPvC0NHzFFKtXUgtG6JdaMFeNjnLdCJh2zGzXFe62iBdGW6j
otgA/jEo+rMtJ6Bo3QCu7Rf9XHVT+FxNI8m1JsYdj+4LVoyyl7eyml4XAyzO7XK5w0FBnh3w76Dp
4nU9k0ob1/SEGOgc4yK1XsxopZsQ7uul7Y61K1nIrY0mDG+JC2iAUxewwQx0d8hhdnAtGi+Jdo5U
sAPqbF0S0i46dsVVbYLG0NoZ0TfqgGAnF58xwmkL6dSKqYp1Q1DyXO8E4Q05ETVh8ohg1bui6KuP
MvNBZ6dJ8+gPM0HMqvNtA26OrIQ1DQ+yr5dednfGwdjKAub4TyJu2oPOYw6RmtNKvXEiV58wOQmI
FuLCPw8MEKuYtqYYlf/G91p2aNFAJbS9V784y4AcihNLgXYsxlBjL63zOcuWohfjSrhB/Agng85i
8xzMl8USCSAt5NyJnF+unyMxG7Ep7jNmCGxv9EteUUipt25O1LXO5vqM/1c9MPhUR186zrPwQABs
fM9KMqpqd0RTW5jw2zAH9cXiU1ZHFMIdiV2uSGmn+TTteq/k3coGjBUbC5zVT3RZzjMqY/ECl5H8
CFXhJuhCU97iyEf2rDHEgzwm0vwTh6E4RhOyWsFk5DEtvSgG4mkZ9p3a/z4rV90iLC9+FGqJ6JjG
8W0/1S46HQe1renj8j2DxXZqSveivh1D2hCFxYEJ7ake1iEur8cQp1eDwdu13w0yq8OouwFIVJD4
d7mI6EYErYnvrMWlt5tYO0k2xYsghfNXXcn6hSFS9FrGZf3N4t3fWoYrn3E5cyxGihCxKl1eia9O
3ipsxgQaplH3TWrLf6cL7H4vwCqvB/BtMILRTLuGEn5x0PdUPCKnBggjW0qdbUsE8L/kEoxri77N
uhIuATFotMv13FbOi4V46ehMYj7rcQy/ZeiZ1kKZGollkJ582syE3Vhds2tqHb0vNFl4Aeqi/RZU
XXQCveRTVC8FhGMKQCRxpUl28eA9sXlVP4eqr+/w5pC3LqmCVp6ncZGlFEF2bn1PafcgxEdGQe9G
oK0FrrEHbJjdoONA6MayDzQYkdkd47KOU15Mv8tLC4qSSpbN42xGHa7yucD3NJPpjRXSZGfZjcXR
HefgeOFunFKUW59kPDIYrGETEP1kQ/hcySAtnkw4CrHBBF+fWTAIP3FT7pxsZl3vOSZPJNXIllM0
Dv7sglos0JSiQZUfdqbHexrW450QUfvoIbD96bV9ca5ElcMuiAC2ul5wjroG/birLFC09uD88rAk
/ERyOcJNHur+W4X05C3TGqhb4Sho0EF6kVDOo+tCsa9g/vOohpuEAemT8VoyvYPag5XiRkY8WLpz
X2JVlp9VDMsxpCtaGSqSYcYpivcvBkrqkOF0h4Z/fi9hfqi1pnfaU09h3Ve03peD6WjreeFgyF4f
Jy5y3wwUGJbfLOKUJeS9ASomZW6F1TS9mafOwzDE1JU1Iq6CnQNa/Qo7gVabnH7FblyId0X2N5TF
WgZsNhLLXwiZ0hLnoXUhRPBIyBvRKxp2qutALfgqfu/BO+SbWJs3MDxNtikV6TpDqeuHhBsV7NzA
uM+GAeG8FWWrPimNXMJuSRX6yND70lwpGpUdiLB3KKRQdM47nubM7PEzXzqDKAn9NXED/neMRD42
LEr+qxjU+7PfXXa20B/38WLRtbewgZ5iNf8gsGxZMTm+BJ05Ne8JNRLfgGGCLX3MNWy59LEn5jjQ
Woql+NTxGNGyJP4p8WekIrZ97XW0MNkLXO3vHbhRyQbv5iTJNNIMPBx+48nuhqEnTZSMgG0TOxiM
elvVOEWSlNaZgTEdGbc4KpccpHURd8LeKBTM27KI2g+UoDO7rmuz/TO6ma/y3CrWYuz8NyL12D6y
mMNbqaMyP+gidz6zohNXs3YrDrjLbO/ngRAqJx98UqUAtaBIrhnmBdVxjHsGZYph2p0f0s5kBtmz
m5jIfCxZQzBBIy39ivu1BONANVEn4OQHO7zyLDc8Zait7sbFAYzH1zYXu5g+z3NvbZjVcsaf853r
Q82wmPbtOdvUcPAc0/xqg8FJVmGRASsJvNuCue9exm38lJTA5tfSWNMBUnwy7JjbJ7vKuO9eLeYH
C6LFh3XJhYSCcI21uf7sPSd7dhRRW4dlrEOav4TdQz5AVQnN8qZoaushtuTfCTH+KHkJhYsKio1b
4uJ3L/KJ3ygW4HOrpkna4HKmZ3jKiflO+Sgti65J2bcpVW8H28qeSYtiK/1rwYT7Z3IJJChMQYFy
Ibz5ou9ZpAXlI5yC/exDKg79Rh8GbZgiCMb2qMsFiIOErbUW2fA5Lmwpuu/LXTPk9qrnzuYN9oog
KGl2NoTWFxUDpgpJ/W6kjGfeLO27Kh4d2jKlTxIjO+py0L5bn0Y3Qxlt0KXiRV+NHr1BB6VWse7H
HBM9XltQrwVoO8xqcl9OubVKUQdt/Av3qddQ5MXoPU09hwNvnO27NvU/MvKf15YaugOZGoi8ahBV
Kw5jah9NIDH++tLJP8oIwaKJEG6aI+kOqi8itpJHicvnUq2joeTcIO5cd5prfH3zsbKRLI0z2gyi
ktmV5n6+Sk0/78JiSxVw0RiMckN8dYgsORlIpO5Lf0vC4HAEs5qs68m6mgSY9KDIKYCdLDtUhB78
jTDnIiT9orYKQ4+BlhvwK/qci3LuN49eyl7SDKEO90I3UC2rcFhIDVim5Gqxugd7GsjYZHMmeMMk
J1js/U8mXv1Ri4taj4abZ1cEXJsRI2KFbuOvL/AfZXv8cC4Jt2DpQpSpX65vTA/Pt30CsnObRhWj
yDi8xn+u/+ZjLlS8P1yE0EXxyCvA0m5/+ZyGgbFroibcM/6c4YpKZR1GCGKbaSr8H5IDPGtk3qwr
mxRUACv+Q0oROm1ojIOs62R4i/UpRzbDy9J4VXmLsR4STx4tyKhT8dR0uXn560tjf702rNfChl+O
dBL4BwvH728cOe0LDQmevcFIFoVFVt5aCZqDwDkwsXEMeQnz21qkNaCCCxKhlGKdDEVymgke2SBm
mD+9LJyu//lz/VcO2d8AHAEo8lT9xxrt/0UohX7/M4Djv/7N/8tvVL4XKkKV/5n5/O8qbeX/Q/mI
9Hw7pBvNH+IZ/TeVth3+w/Z5SYRtKztQvOGm7rsEGa38B0ck5Kj853we7/C//89/+R010Xz5599G
gNqXfeB3ukw+wvZDzJEBvR4Mnb9/4HxTWAPyNpyrzBnNIzbtAOejVTUbpvD+rauSgK4NMLtdJSai
+dCHbYsu9v5GZMur/3XZ5cdQqGw55VIHONC5f/+TCG/wIVuF2BhsY17yAKdt5IekqcalfOrzNLye
fE41uFFIlgKOVffMqEOLuJbJO/CvwCjZOUJqWjTfvYRBTZWkM9AjP8VCE0feneiItVnAW2xog/c3
CTx3AsVaUnbd1pL3iYHzlULbODLc0GurtZZuPcVFtLU0qi3HUzNZBpznE9HTrZaukrvO9wgtC+bw
yu8BHdBIAGCc8ecvcpjJPmJtBd9iVZLNw70pU8c6BD6s+dViOuddeKI4e05BwnLXFjQGJtFeTX5H
EhPOIcLJlk+63d4T7Ql0VLMz4KQbzR1HDyxgyARSWktj/aNTgTn2/qBvE7cjF7Nm0uEnsPH90O3u
YmQZG5dEgK3InFNRN4cpJSm37P34ecZd2SJd4vDoolt5s3uGa7Uv5DOMWWvX04g5Zv+btTPZjVxZ
t/OrGB6bBySDESQB24NMZp+pTPVSTQiVSsW+b4Lk0/vLew5wfT0wrgFjT/ZGlaQtKZPxx7/W+lbJ
Ib+Mwj431Dtv+SvmbnJDenupft2zc/bPkSH0AcySFbRzTuY0msHWNcNp7o17bZwTbWrd1Bt3aLhP
Qn8QW3hCOBV6BySXVP2LBFDC2uXeyEvj0zM8ZfnhLvAX2hmmi2hNQMKdWPjWGgo08BoVROUuEQ3g
L4OejHetmxEl625dgnuKCZU4YXPHCAtymX+aIgXBUmTlo1N4QDtDZQwXXRftMYkEXZyKDP2kL07c
7EHTnSjzVNtoonluNN2rKwDvrkyksvWCPGMXGCcN2VIpkpWcYII5s+sUt0UquPdE74MyXLJ1xxWx
U90tHxIAxHHYsJrtykAXLSbIkdm/7hHI6izrP5I06ndlRwPpEgEdheZk/HaXZtp4Yzk/FFzHAl/z
eqKZo90yeGebGlHp/m/qT4SPa6dxErwzsEDaIZY7XyJHl3zNyno0J4AftMFMV7MmFtbURJv1UtPy
6pfXJM9blMJh2dVR3z9i/FC4P5zl0SFHuGkWcnuFQBIcETFuUJzLK/Em+jxp49xQFKUOcUOiX8ZN
FLTlvcfV7e/VLHX9lpdwN+mHpTkqp1uj9Iu/0DWjDdnN4iV0XAjkM3dEPgczVdyo/Tj5y3kCmnao
ZO/tSlYcG1HOPleJwiWTawAKb/GtUtUQ1kFL8cq+7Q1vA6MCx4jL2N8RLm/BieFKJPqlFO817pqB
UU/MpiVF1uSXcoFsQl3OICZ1TTpDPI2TXptl9zDVy8K6u5IXr3LmHWTTMXBGZV0iL776PGQ2TFhX
c+BqGdOiHpnlcMLEmnzPVRv/RXUb1n7ek3akiu88WxpohCvIwfLU34shV0cyWGAYtQO2tBzl1nBd
de34374v38KniD3Wl13fNyxpL/c9Rrrv1smbJ57M3iF3q/aX3QysSVyYT36kCkrDkgGotXQilR3I
ZmLYl9SrhOz/Z7RaBOIADw4Mgq5uwJjGmd7Kzvfqh3I0NRUVOBQvg66jIIYZuE0jKnhwwRBuDO9N
qUBu3T6wG1MwMw4jepUlNANjEkIsM8Ir/U/UQ9rSp0usju8NzsT7e/lZWN7waNgVli1Yq+1bB+6B
WGcYXVXfFpRgqfESAj3Y8kyjw2seyiOJ0PgTZi2xaS+i5piRGbbuhBsLqg3oAzYlVPGe4zqTR5c9
iLNhU/0zZyqLDnVZUvg79OXRo2Ltw0l86u1S9m8rdplkNBjsd6B1J/atgAf+JlUGWD1c2v6v23nd
KgTN8VFY/rCvVXUtY+O9mXS3L0FHEo5XeG/LBD9gnbNMWc3KR8Y3F+cTxx87DIXS+OEULT1IKbVq
PkvVQ6gTbz0XrC5j9sEgBuxwwtXRhPmNbCmX2yLUznRQ6Tz657oIrexHGbIbnsBeOM9RXYlp29dG
/dXxVvgKQ7t8q3LKpJpIUT8cVhzQG6vlqxX+ol9rPG0Gh1TI2mccP7LCN06zJ6cQJ/XcrpW644Nl
z4bSTIQWaxQzcYzqVjzR2154aMplt8Zrqf5asy2fOAo7OqfcNE8f+66rDj1X8eehbRgJqKWGs2Q1
QGDHwm/+RkUnzE0M8Oid6KP4htU6H1huSfiSozopclU/2IFJlIS2me4Nz5LnMHWAMhiNxgMXS3Up
J36qWZa7Ozy+aFqd0ShALKoBn6yaJ4en9TOc4WaPaXLcRl1kyy34AQ+EiuNNF7GENLXIhHYc6A5b
7YCp79G53sge5N61s0I3PY4ZnLXRO+EKoXrUAaVpomig7vtmY75Xfpt8apkO9qqtkwVbJhsVsUlo
X/qlTAzy1xSD4n0PX7JB63LPpFTIwL242L71aJXYRgyLPrhYS/0BNB+4nKHFc9VbOGKsTm5tMVVo
Fkb0Ct+AfmirY4JXI5+CWUungSjbMcinRO+ayu5PlovVjSnNeJSzXdFwPcBF1Uv14yaTvYXlZuA/
jZAW28nCGpOlTUmatszInmaF3W9orLGJ88djQVa4qFiOWHoINMhLErbT79g1dFC1c/yOP6m7EDcu
1kYc0xWEfLQe+QGvl5Hzs0gb6oommuyLabkO8E+CtiE6sRZmYTCLeTv6chDkyyIrILdmYdVPpzqE
gkzrl6Yvze1o6jx2VRofGWeqgA0MYFzGBvXidAOSIiJDqdmJuNYta9i+4t3ipbBUKLdpK9onPmor
U1DLLTi6eY1CRROX6Z501M1wWueowNXAdrAO1bIKUzkfrNTutwR0I44j4W/L5h6bYLO7I+wfXcdl
ltve4TXqkCE/KwP1IonoOsf3VTs/uEjuSFJlDl+hhIApsqPtfrSjFuzYxpDaSTC5v5kvq21vUYXB
FmQe3w3CE7e8Ba4t6CLNgpz77kNlcFjuZnNQ9+I5f+cZd69x5ue7FOMi/bOR2kkzoYeyVGPzQA9B
DNNusFbWUBBQDE1rhrZqYresqkVeFMLvLYbSSXgAuvApyfzsZRxQl2wQLzs5dvkh7eCkwXoR3Sat
q/lntAtayyIq0t69nnIPOCFAhP20cwGymgIqu7ZERYCBuvZpM5WdmYYrObYctaN04wPAqISioxpk
aRgWOPUn7RzoYa63qmnLc+kO5kOq3cZmvs3eJhAV9nGMRgM6iuWGez8Mm3yfgoY4e7Y33HUkcoAm
4odi1bUfWQv+HkgW3xxtd8zV3Ww+87Sh6nSJh6EO4gk9FajzphjD8ZixGACosxVulm8YevAEhmV0
ZqfUrUANG1+LDvtuNwJ5PHpp+tUI+jIbFn0UYi52/jOULn08PBU5/WENr9rJ4fYwzOEcoISWFzfH
3d4Zo/nGisu/ccA1p8rUACd8o9+ajj1snYkseUpY/S8NF/kGQJ17xRRvM0C7A+ZMTZPPlNTGm6Go
QaH6N0Sx9OvS3GXodYB6ZPO0aMUGf+pt8dCGVLsm/jJ9waoLH1lvOyw1DdJ+gI5XhYX+POTdT+uA
xyV20QSutGpOTvpADUl+TVr6IWwZCmBInAS/oU06Z+5mJLX/Wtuus1EcNKu8xj5bJKF7meM8frOG
9qGxFUEJVNddjuEH1YbLzbmVUXZSWevyILHzYV9xxwj8iOyaiU3w0ZkkMkpenvIqf1V28WOE3rUf
sdNlVgzSc8oAD8Wlhj7hcTKl3bpy2Zor2CbXvGmK73Fuh2vF9AVcK4zO8ZLFe+VFmLqs3/TrQo3r
nW0m0JhAQeyF4cTcpRYd4G4pthYHErQK4F4pWPJor5KBLAq18VV8mBJ5jGeF/TI6ZUuiLpEbWaeS
piScxALY51JLkhYWrX8TIA5PNxEFraN+qXkzbR1wCJh52ZabTZYEeGOzR1RjEApt5Jy8fnAeHavw
jqNZj5sedGTgGhCTQ97tp2GGjLISVWsxgpbm/WXIgoZurI0xtTm0yWkf5kqB9UyOXtYDuyHs68U7
0x15Tc9rXco8YOpIjmFhwcO30+nU2tIMoHtX3LMo5KKDjv7p1EiJ/zsSJkyRtQ4lO9PeSZp9YzJD
LM7o4dVjqx/hYz6ES8HzD5DUmxWyy17HxWzccSrGKY4a/8NEPd+BY7HeW8i7a7+J8mONnTGwIDZf
ckM6G6npD1zoA/hF1E+8K3epn5iAMQWFyfiWlWF1EGVtPFnjIJ+ypcl4VoKvXzkE5M5tn8YX6HHL
xmRo+7Ygfh88qwbl6PTVHzJNuEkd6I0NgL8ilMFshr/NibNPzGuApJL6ReOlSQfjZM+4Smo6uvfG
nLsHnJw+GBLtP9+JhAGuJIphLAbY0S0FDeBsjaVbn7G/Y6sF7KiA8MXC4RZpFk/pOGXMCWX7ZakS
ZK0BaAZd1Dh0wt5D7zCOpkgQ8izdP/Q0pYK3yJ4k/HnpYUW0nfahst8bskxDZmKm9LZ2rz6zWF9L
bVr7LJ6ePR+zr1HQh9Dic7Pux5KKkISqcc1o+N5G/geehsAek6+WxcY6b+El4TeLn9JpoKywh1zG
MVOenUzbvI7b6uB72ckjZwxmw1lOqo2NjSs9mtUyb+fM1AJkaZzvQ7NMDhq++06Mw7Mp6H1DlB/X
ds4FD1MOzgXJGH4gI6v2CwUG3xRB3Tl8brqsE8IdQTrwjMQUt4+rVATEyGAQ+WDmqswNT1MuqW6C
DbP3LW76gEFSvM/IzrQXuMHSeeMBAQl8lHuwhvhkFSR2BeosgFn5Wtduf0YWEa9J6mAdb0dq5aQ9
czBiHCoIT4W0w629dJBbdNb6DQddHniCK8qiUBaAn9SnuCIjhYB3u4OA0hk6tQcgOLbTY180P+Uk
2ws2Q1xMkWeWGx7wR7P2gqa1ii0rpvqQetndxjsB1Mra+bKgt1JSapvfgu+P1NoAlMQtp7u+79Gr
l3rebRpKuQ0J5QWlS/okyms6ryZzq8Z+PYgQLwqkH6EM82kM044bzuTPj4VJ2B9Th2q3PSiYnU5K
vMb0ihzMDHo4lE0f1xcAxlXdynNROg4RKqXP7hx651FUgNLxhC5YGQRW6Q6oju8/45oLkljcqBg7
IOT9Rn77maMWmpFZVwzidkPOXSosep3VVluOTYMAFuAA9t3mpjIKDaV4tLhlkxTl5KKcVu4t5Btk
0kATXVtxD997XsUbyi02nLY/StsPgO39Xecue2lYJ+nhnGLW2jbj+DnYOmrXkxDZoeE4eCZ1Pz+I
MP4chA3kjOSDSHx5LdKp/zKkqPf8OX2LjC0uF4iDaLiNMaIYz9g8L5Vogjplo467Up0bG/RZKu0P
HuBYtc1GkmcsrMBANg282XorXCTvVHktJmp6WGnQbfEIz1X/QybShpIz0T9Hi+YqGzzs0YXCBmIf
VJwcCgD6sS5eGpUwXlIVmzQ0LTUc4NsipJWhEDtq7j+M2nN492CUSvTdqZ47ef/MJZuaBie5pOGI
Jdfqb7rNGfVEEt/iTrymFW5Kd6KTxcpN5kUy7FvXwkNOAJCGy4SEVELeZFKW8zAR+QInRPAqawlU
kGja2J25Ue09yAUR7OhkZ8M3T7VOEt6O5fOQ4vgey2NI0d8ebQl0mT9BuB8GPxgq+lhBaU8fftkf
0wXuXc6FY1XUE1bhfNohLQJOzpGrDklPOQoodos4Y0yjSQezrVnG6FeUWVDTXfHFlf9FoMxpbA5I
zc0flz3XC5mf6mAx+h5iNkMbTHRnQ+VcqNXd3TS53t6xSfKVerhGBeuWYajqN2GRvgA1jscpMTyx
seo6XZU9ka+mnuuz7bIx49oQbkf8Bs/gtECsm8t0oTWbcrHUVs1BqXTA+jMRaEK/MNyiBJeZTvyi
cJ7Vdgj20HZnf9XUInkd5eQ88Drb2CRWZxV25zSELFylJluvw5LaHp7oqQMx6xgH1FnwYhj0sKgt
7ne9hN2ekPWzH6bPhV3FO7dK613rUx4LCbQOGtneBgE+DjonIHvIGYERYnWP7h2YOAINlq8YZ+y8
fiJTRY8tc8JMvgv+GMyyw1IjKjVaf8pqnFgdtPFBJZFzyU34CtEYYzdM86wG4BjxO9vrSXhnN6ol
NgxXwYiUKX+PmrwxiMuYDVUj/7isulYd0c0bEKXpMe2iBqDWfR8O5EWzScXhZdvRe7bIDEptVR7x
i0xUayZpSFVc2OGMC2fgexrs6C9oyXTiZEJuqc1BAo6zgVZvTuRkMVvgYi6CPs+FObcuvsTDeR7V
fCplaryFdk1KuObqsekMy3qB4Q/rzYYrj3uxKlL63RnJ3LC29qO2zBMdACWvzrJYiPvOyiVyRwNS
GJGA40Mo/LMpLOYub78R2pIHq1dgauOa0TF0urNuuTCVhjAJGEqiq6oSuwar/A4iNAOQpRprEwEC
B2pXF/LeER+0DH+Cxqp2lbKlOPuttJ+Hwo6O+WzbLzz4y+ugRIyzqMFUZLZNs7PTQjTbySTXSkMC
Vfdc/muOPndZz06Drw8zD5uwarbjL0/xvMCyobNXNHd63+lWdmdd3tKmUmtrcn5C3xS/Tci5cQA2
IfwT5knxwhjymfoSo1/WPtpD9wIzcgzG+8JrWPS+X+Z6C8W4O02TyctVsviiRm/cT8ZSftX3Ylyv
hjtPOMXcjFXPq4j1YBDN2XKDO4VL16TejnAIYNUlu7dFmA4LOkVyuahcYI5p/eCBAF3XzYRHNe5f
xxkfq2m374nVNOs2wfmBZUc9LH1EaZHRNb+cCK8iJUCu3gk5OM16cLBj1JKLTRS+xLHvH2iYZdwZ
yBl5w2lK0pQH3pQeZ9v9mzD+r0Ra9FReJSZPggmw3jh4wPvygsOkWzKw7b1VntUS3iDm3VQEBDJ2
vWkNJJFoTW9/k4njxSgTcZkKZuM2XcSpg8f4Naoo2oSV/8vvLW+vahAfTEnOeh5zhjBfUHBUhHl6
mEabuvbS4WpsHxOmptc0h01pW7z8SpdQ8zB5xp6LnSZInD/2iSI0iTBF1rU/WwzqndcT4VrYSlL5
tHQHPPrGw3ivauD38RLXii9Hf0JAES8NiYYawRBQJY+9nDqgeg1S+GosjXkG1EGyGKT50fIiLsVZ
5rMZUhkFCdOTZeMADVvCoq7W1tEOYQLihT/RwfBs8iZamVJv29EFeNvnL1WePszkRjEW1c499oiV
ZMnAL63lQJoUf12/tZlweBayGnU2vT/yTMYBXp38SvT0WppkYatZ01hiKR7IRKzq19k31B/yeWwt
K7JYDBb0zvrwzYFpj8EMRpZy0yXD+Mdj8dLHXXijlmY5zr3yQKVBz8jA8spIPaou9beD43+p1CIo
EJ09tt07RwIxbGfx6DMX0YBGVStAh6Ro3+Yh/ZBkEVd1V9P9RKDByB7DboyDBYHluSV2srYxwj8J
E/YxhrI+gCEVv0lMsnuoZ4w0U1cFZHdIdVtu0MS1s3G92tgVhLGj4XFCa7pEIKtxIi36q8C6FhLg
qxm7+5bdC94m4BylPFuDjS6Gyc3cYA8+RqPjBTThHAj+VmD/sNrtPDyp3FaYFkiBzRwnOK/KtQmJ
ipWjwj3VkGhYuYjyb2YT3wGnQy0PcInK37QfQW2rB7s680nTY+nNr73Hiio37G3F8+3izzntJAZJ
yO8lYzDjPNSPiV7GQ1SX2Cn9tjc/wHoYVFcU4rzwUn6bynwk5WqF9HgMcXfluQDfij6G/Bd2rfE7
dnvudSwN/BFRKMvkcupK8Ftsb53hTWLTuY7GxNt4zvgloDHp+AECeTqTvEgYM/Na+C9UbHSHeKoW
Hlf42z+16crXIbbiko5R9lRlJCsKaybHqZgG8W9HEqrdWuRAXldLVGi8c17i1Fgy3eQVuBxUZoND
co37L9lyo3b2Li0Dy0pVtc3fhaK69jM9fqRu+U2WzVgT1PvmWg7CskkIs5iN/Z0z8CG4LSysVkbK
SqQbTO802n3Ck6Lin2CAVHqZMVwxUpryA5sN7yX+2OwuhlDdb5Hbibvu7LDa1sMo8YWKaruMjjp4
YaQuqKzTwwDPhvUYmnCrdL+tk1w+DsrhiRa7ES+UxuW3N8RK3KuBAFagbqxJo/j3TRfFF50Y4bvJ
gcwx/lHXSpO9ObVPanKQIfOQJDbYCAOyR5pfekrAn9msxZRHFzSgjD75ZqMpeogF6p4TpFUuClw1
YRy0Qvm7Iok0bpzcbI6dkRevdu8TnmUru3enXFxz4Jfd2g09jRRNJ5BoFFOlY61NEZFea6dki6K4
A2Nb0lPifZWxGW29JkxvvPAbelH84VDZlX01x/jLp+0Mfzsz7WrQ46dTY/nsnKjZZM5yG7CfBHZd
+KvBXEAuxjbV6X2xBM38Qdd71pnUI9rVA4pgxcc31itmdYypWbvzE295o6fXhDULanVIB405xyI2
n7dHUUpuHe7S7rkFxttOUAs31PBR3EH9otUvnsm1Q9s2ifZeUo/l18QK7MnJQtrY0lI6L4hNyxbA
dfioS51se7pCPkM63yCCyHXmh9QWtm3xVtIUta4ynMdUPSePg/bFbpQqL9Zk1Yn6oKIo2lmX0Mee
H47cOrI0fYkHs39ybQSfjV3Qg77GiZOciFkxEkQejVOR4EyWeLvCRUzP05xZ+0QOBDYnnwsaiTIU
xAOccqTTu1P7flK7XDw27t28W2MIWNVWY76B74G9M3Qz25SRipDFsII00eOmkvULNzOmlN5pdx5R
pEuq03FbzDAB5sz+hf4WnhhE0nPONAnamAvNTM3USWJLXI8phSP0vI0Xsr/y3aWHp4hMvU0TMeME
7t19VtftqV6sZJsNnfkUa3vcITKw5uxrDcWcqaXZ9aUOn+NxUg+sK/lWUkRBtymdE9K0deOn6jAf
OHN9scJBrlHXqICoFtfGRlF7y7lcJpcy5rLId6gv3AFR3aYjVu5kDTCMVw+71JdocYarGOqbES1B
yTaPiGCvDk7uQhQ0laxOURmxjGtMcqoBssqwxZeareHq/W1Aa4AQU0gqbiWGPznWgW1v5OFeRHBP
CGrU9g5qsHUi5bPP6Qz6ykZsPBt/NDRBElkmb/x+f5GFSHcTSwSOLnR1ApwW17YpDFTafZhOGhPV
TYi/aismOu+wpmO5g35nBo4jjAE3/qA2OlNIii1NaPOCCdlryuGzn8V8S2fOx7px01UfczGAiHNy
y3skqCYikZHx0Mz/zRwnT31DmwtR305cAehiZ67IMmX+NtG8fiERvFq5zP4sRpHgaG/dPyhw/lkO
1jEZUlGvuG9Dr/Wg6wB1TaycRk6j+jAQZK+V1bRgj0qLV4VlBGYm6l/axwpMQ8OY2fS30OzMWRB/
swPl5mE34hrBzNhgDKKPzsMgh/A/HSogbLBQJsc8RQWEjCklWjIaWIjpbPgM26n95cfMG2tVjeaJ
7TOnzZhKzM0sK7kmOBqDtLbSPZ4dSFLV0LyzGPoki/NbT37OMa7aV2HH+SFpwE2sOE6TD4v7J2Ft
E1lnMM2Z8AVzOneNjtsUmKzM484Cq4M0K6Tz8tGb6Q0JS09d+6JwN3ad6/1SZuOyZtPXb60uqpwt
5DA8GRrrHTwl3RvrORfrf7vgZKwltovbPqJ4EZdMKostRtRNe8+wfaQMw4MHNtmPlWOOZ7g3hAR5
Hj1h8jDWC5t+2nqm6ZbLyAEA2UcfcV+KV3D2GV6HeyusAMINBskZd91w348Tu7To9dTsncy28BC8
eirl2iyoEtLjKzfiJEhgvRerEVQ5ba1R0FMTR1MqJa19aWPyKRdFI1rluWmgKOnceG73N7WSPuir
sIGIlmJnaLN82djCenHZ7a8T06KElafpBn23OBu5fZMjPVgdgBbSdov7QDVPxX1/mn6PuWjIyXja
ewQwS/wP8IP/YCZW8YRI6z/jxJxuCNh322VcnoxZoavRc3ZMW5cmgCiioFxAqXh2ZlTGWfQfHXvo
OweFNkFxj5DjpGl3HKX4XehguA528YQFLztPzFz71O9E4GjvjcxyHHQ0FjBKelP62uDXuWlKgqeV
OTjp29SQyKUGfMHclIz1uhbLpeUFsS7JatK9ObuHLs52caHjoyxIDxeh58EagWcc0ss9iMIjLDyX
B3YZ43qB0M87YtJHq8Y4s6Qt+83WdSnfBH7ygaUV1wcu43dDiSevDV/9qda3uI3IkIfc4uj+ioJC
yzgopvQxRieEpNDvaYTl/eP784mkLJvXfCof6IloScJlBwAJ+rF0E/YGXKLO/lzMGVXkSlxq18ew
b+lvrwP4Zs6nKEIw8gx5LJsC0Yba1GGfhpP5EbcNcQIiyTvpOMWrRVcRhfBo0ocyLY9WpYYTOwE8
IY6cgoRC8TfyAsvFo9doxTW5AfOHUA2pTeERx6/UrBul8y3m/HQPng5bB9CSNWyUeqvJ7hQcXzNp
vjpCl40dM3/kMT3md0l+2nByVFs0SfM02ONPDaJqV3eR3BOYYrWH+79+4LklyT6L+YifAB+4H00v
Yx9ND/DEiHIP3vKExTLfLEnISsq3yqeG4eJJ97O9iWB2fgJboD8jHqbxNBXUy5Hi9f6qSYRvY5dN
K7gUnPVeGjYZ7/yF4olE+u8kfGbCqxVbg7gy6A6yaWcrZXxItawORezaj1aikgdRdizKlxgYvK9F
f2M3EH/nlKdApqshhwsWkdgdLHWaVeeQctcTz7OlY2s4SdpXZx82BFwkfFsJeoJ0/O8m9J0jg0r0
zZKQGSK9r6JEkz4mXMILLgIDxRT9x30V9G4SQYEPX5n95xIq+43tRvKJP225stsQm8gPjc3S+ulP
bDjWEw1DKAdhlb9ABYs3yAJc7++JZOHX7rM0AQ7FQ0NdBX2CT2OEfA7GC+heH6fZ38oS43PJ8Yow
M4fXxm8kXAlagPdFnzpArsPwOBRCbOktQ1UgrG7e8nzWn6xZ1AXJKt94lTfAGNV016MYOM/FwAXc
qObsGYDO77RrITq1nJ9DHh5hu0OGF7K9Rs1kfclyZK2Y8Z5ZlYCuORMTA2MQTbd9s9gHKErAVJRB
mcmCXLyy9dAGpBbq7dKyyKhTHwSob1t/7dQLTzh06pLkDz0LdEQM8U0xHGwR44DkVbwP6a4ueNly
1efqzLYANcp+0lUXPqW+X22IQdcvZZg8c7oy80ju0hy/Yt8WrouWFmenLsunV6VjggI9jEDHyHs0
a8bagBk5e/fTGipLY4Txx0hQOL3nXDRrB/bbC74aHlGJkW1dUzinzlbLV1knaufFqHddX4i1z5Vz
7adUjKDuzM9sw/q9lO7d3Xffvdfm0P3FXDOvvSqSz0tjLQdqxOC62nO34tLlH+tMK3YaKDG8VZtV
7xSa9UlHoy26Kjh8bHkJL0sU7GJ6GJP+kZ6PHmdcP24HgGFb3GTMnFFi7Eqkm+dupFQgGju5Nx0a
U9adZ2nJpRIS/2Io6kDapaTgl5+BcjqxTXJVHapRhw9tOrRXEmwZxQr8/0eU77HLd4Gisn384YFj
XMZwpnhI5YZnrGSe8wz6b3jF0jS185lEr5YW+Np75K4KoVSE+WdOLx8SCpbhV5Wjf0jcV7exDNNf
md+ND1IgurCnxQwLRTTniZSW/yTB/v+2y+9+qoev4qf77/dP/F0RJcTx0f/P//ifuLn/9XWDr/7r
P/wHA1PSz49E9uenn27I+dB/GsHvf/M/+4f/5ec/QyvHt+7+X43wEK+K/x1T/s8P+BelXP3DtITN
kYCzW1ETgKde/3T9//ivnv8PXPF8boUv17H/7U/+nVJOq4UEMK/4YMjBWOP/5YC3nX9YcLR9+Pmu
lAAvrP8XC7yy7qGKf/fAew55a8z5FATZvuvwtf4PD3wVu9okCyz2YQzqfkXaP7Y2gxUKymoqjJa8
jZb85iVhHOPQEl65xpbQc0vt03uNce+OHXtK020hDvUW0E+TfhpRyIHaCmMIE7zbDsZvvx03tmU5
PzPZU4pmOcWPjswHCHfsMtZwbZODKqNNSrXNzUlK+9Fnq0T+dVZcLo2SUkg/OXRRiCZtO8+eU3dr
foLzzqytNqgwkV3w+Ww7squpAxoSZO+RROjarWkbWlq9QPhjK2HfH0hL61VblwUyyI3hzqzFXFE1
/iWMDOsBVGm0c5YYwFCSnGY7xy6ItQkDZOdvKyn+8CCVaz1237jAPJwu9BL2nVxWwxTOB3xI/ePi
+/qY0aXzx29oR8tnC06L1X+5k+HtTdekz2+gjkL7fE0vUT/h6FoPfTP9WQaEYZMSuJWTGg+qcdF0
lt/cww8GZZt9Eb5PjThxOz47jLL0JR8Lh+Lo2MQj6TbGt1N5ehtO4g8p0F3nYJTP1Ez3NvkteoFe
Iv/Og06gEMnsjm6I4BMQpX3PYzltetf9UKl5TltqODxKqckUr5Nhajb0yHuBNxh0A2qij3C8jkVR
zRgenR1OcS4deX/L2hohcqEgY+OQWdjr2vk9awO/R6vMR+o+7es83JOb5Cd/FR39tKtKjdG3HZLo
j1FPb9kAdwhHgvPdtoOxy4fGuxbUnZ6wLM9/W78fVzT+iIZb60QHfV3ocxtnV9Oqk79Oq7EHzLWg
ThTsVdFVPC6TvP9TZwM3CA/zRuMfM4xQayuyOCEXoxVXhvWQR613yyrXD7Ranry4esxcE7yWdm9L
keiDHPOEeiSAsPjgQ/uGU7oJEjl/0w81bT0j/0WV5njpXHUw7Hwhf0rQ98l1B0zyOJHIu3ks7hQ+
rrTW6IliWUPOmk995l4tw5FPfdR11tl1w9RHfCmtBqSnkSDROlkxbPuC2X9Ni3CEGcLPFYGFkW82
yGFC0N+mBk52pI4i3zhLWKBPJKniGybV+9R6HonfVBQdaksiIOrkajHN9TBSRsAxOZFAp/lrjrDX
xMCAXKsK3SDMQ43Yl1pc4SnqiKcVmWpUMMNJin4/UA3bU9VM8Rq8XCep3/8Xe2eyJDeSJulXaZk7
UgADYDAc5uL7FvvCYFwgDAaJfV8MwNP3BzKrk2TWFKdE+tIifUxhkh7h7rBFf9VPcfk1MVO2gjIR
6ChquZGZS+PPoAq2m4grNMECjAhnYDWZ3oGjAg0NjahRjB9rTpOpmxnl1yqlaZzXZVK0M9so89ch
irTkgBIUtBMHvgq3VPagDoYDhNZ9ZMuJKnAXiWPbIT5FuyA3VPteiiGihNxSRAesEmYADg7ffYWj
M30oNE+M3yXo92Gjpk0CY7VeETeJygPmKhBVYoC+sOZoSSuNW2YkfThO8WZ5qYGZw9kCXAifYFPx
hHSM3AUNZZiuwPO2BBm+6GCha8YRiQy8KrGV3soyyZPd3DuF2uY07oXXUVrw6aMJRfuFf91tQewz
hTalmu3NFHID3ud95FlHLIdd9rkG/RTvfC/F1iJy2lNWzmBxJPK9GA9aH937xQw7NJO8YF/B/bYw
Wn0oqghI9xSMjbuqGcNm1BNLQ4hXusmjq4JkzCddlKRNs2isr/qyxU8fqTk55iPnLYUq60YtWVTZ
Piad9xh144sqknHTFvX0Ubmw83CzZXd2YrHsxSGJkaLoHuBblLthaNXHUNScLe3OmV8tc37XssfY
aPbFc2A0C00DDgltOMAjurPk3wU3TJzbtVlC9ZBfumZI7b1vBLyjuOgWMyCA4xX1RfXN1GQ0T0cj
WLZQV53YlB5zkK0oikyfWbWfh84ZvZ2M6u4hyb3MvoeeTW1NRm3GBiFRcqQs6DWfmCeM1JdiRzxk
DjGOwSSu8ZB5Fq3AkunCSsdkRDeqceLHBgjS8MqFoGvgPKDKLiwV6M01pX8WuI8D15q3EamV3mm+
y9ZKMc/Dr1zNOytoMbqN7XBLxD++cQymm4M9jlfK7u+mFEZ9EMnkTnFj4lLKOdGYTQ9tLRs/towN
7yrD9MFVktl6bGn1uZuCJs9uB78s3wrbdQ/QgPUxGHLPwJOq8k8yiK07A/GLSULn34zdUj6MjU+9
hZx3AYthnSay4pLMaew+SNdBZ6uvKpvrSzX1+mvAmRLWGA2ZQCGMmsOsZ+CoF7aMoq1HXjr7GiuJ
2Zg+W/M6HciNlqUlP+TaSPYQwGhS98liZhcLdzyrwhRtFwLqYwmIJ1y3qS6+CE+VXwcc2S+6Fthe
ASX6wFBgHKyQdriMxyPXUKNk9BlmrZFfYRdwHnEE1vmlqEaV4ukpHfDx9FEnW9+M1Atoa8BbSeuP
+6QKSnGSVkoFldEMd+BZ1KNZFtmliNH8UGYD7ylrLPd17tlB4ukbfyGfwhc5GMzaRyskQDRluDPI
nG2U8OQhQBTfWqFrYSkU3XGgvIA6TUCsG7fXpsEaQX3YTiGn13j6JoeQlD+3TyOVQ9foIKieY9ii
M0nwCJi3DGz2y2hoqWkfakqXG5NgHfODKdtStVWe2m7sgb7aduveNcmQveRtyJeuDEN7MVIOgU3Z
r4/J3wd1y6wy6LsAHyogAm4gJvsf7CRZ3KHkGtONKxlK3BnmhIgODI07jIEgrsAegUzYVFyhwo3W
WZiuciPVhNkVt/R92PhueIkLWALrodDDnYUHJTw51eyaF50kMxN0KkcV0kR5D8wUqtGcGFN/H9Sx
Wz3DuFyPmNfxeiTorj6RiSLlkfeZnWPCJguTkvukG6D2H4Mxl3cJJxdUE5obYOLV8cFwZvvgu2qE
rxCLA/tZfmPP3LaR7tSeEBkjwQmJeWMk7XxpAwf6UsGU5Bxjla7XFV4GwHDt0HwelaRKD08Qxwfb
vG4nOp7iJrg3eeDXTRsH204ikrY0Qr0oq6/PdJuGT0kL6i6FiMQEupLhI4BzQlycbgo+4RKTzQQN
6IJCodI9nQ2Jf2DkqPhYq861YegQRrwVONVvFOZzbKaR/eTobqz3gJY0HWMyZVnOOynh3CX0Hhgq
sJ8ma4BMVE4THFl/6vuH0U50dbQIYp8iMYfvbHMslkGjkfQGHdnhIYtNKFTcPz5VVu6fJwSm29kp
b2vPGvct9hDaTKGtNsXsXjCyq03Ru+d6BrNYCKCAErL5Ki4C2uLc+RMbRvIQeiJ7r4Cf7Ou0tqCk
2kaKN6WhI52rTP0ehgVHMMhoQKOACYLyZIOqxshjTBw3ibU1W9vZ1ba3aED49Zo9M+owuHIj4npt
qdGI9Ui6IsWPuq67qfxctdPnrjbQ3DorhoNVmsKlrtTOsPAjTiW/xUP85sbzSzQe9k9hliQ3jg70
ng4yTNucKHNNHn+4A95+v0L9mC7+Oc3+/WKlnCXLLqTnYWP+OdI7zHlRBoGhj97YMH8mAJFQq1s7
3m+QDT+TNpbXWT5fC2KDyY2Q//z5dSzfEB12hf4490X/KVl2eNnN3AjCSQGrHI00/pLR1kknItRs
9ZtXF8u79fP9kYw2mA/HVx63219/zViHqUGyqjs6TVzt8G10D0LlckemduZL2mZ3qsZilBIu/JhO
JTIHp4nB9B9nThfOt2MGFJVsOXgUknP/PN6OXlkepV0jq5hmCAAvmTtUYYMqpZu2aViqSkhVyFqw
Hleu/z3u/1NK/MfP7e+/EDdhE/oAb6wS5MJ/fj9n3KiwEPvqOMdtiyeCqlugfWWszS05Y589PsyU
/Zv6rr+/qG1K06Hzg5Op9MxfvpMN2UNnQKHhRcP5Yns0becd2iHdA95Uf/rX38yfARnLN4YXAwrB
L8i/RGfVz79h6NuiAK7YHfUcG1u3Ee+ASHa5OXa/+a3+/ghgOOcYQpkaIgellD+/EFkrqwIQVBxj
bGjdjWNVARsntaX973AX/+T9A/jBLZJjosB4/MuHFqaUjLlg1umcRmyOeo4UQT9GISWnvk0pibBF
uwcYyD2vinR7k+redm4J563ZiKJ3+mo4/VUWJgN8McF8GL+dD5tvZ8V//eb/7T2hpI2vFn1aFm+L
u+AQfqSTwHsLu6ZU8TGNItM7Vqrvbsdy5LL0b7+OzWPvulR38TJLBd6PryPrqK3DsI+ORcBlYNMw
dY43IRjB791q/91y3xUTtLItv3Y/C3zfRLu/1L//QaIgXQEsEgvI4f9NyNh8egeQ8al4/4/rT+Gn
5j8On4YvWfyjUvjXv/JdLfRs6gmlYkl3PEfy3eTr8V0t9MQfaIUOiAgWeaWEomjvH2qh+QdPGVMn
14Z4I8VfuAxh/mHaQpoc+zBcMo/+98RCvjJ/LfWe4/omO5lk3eAnYY38ZadJkk4wN4IJofE3J8m4
B+TF0EhgxnX2P7xP/2TztBBYf3otwCCAOSzFC1p8eeUvrxUyCy4rtw0YO3Gp9AaCJnj+U29XlGQn
fKKyprvu9AffJlE+Y8ZeXIH2SxYKbuUjMQ5Ce4X43TLz88q5fCL8VACtFIsafSq/lu4FjMR8mdfB
tsKA06X1Eftkt9bceqyw2c4kDD2D+2ojdyrFwR1iHwzIhgZhtXdpWRXVb1rX4Pn8/X1SAmDIglGh
9tH8ZTlhFAehkl6SLczECDuvcwyXaTv9aMHNyAqDa9UAKpoNPUYaOZ/ismBoNLs9+s1AujEqXg3u
g3dM3LKz3TMecpz4SMsBZzqGSHahX73xcwb5e+g6TGrFlRxondJ4RQfAfAzDcVj60iCiCMw+Ij2i
UCZKDFAR41HhXplA2/0q2VUw6WmIuvLTHtMYcX/jXovyHtVqI0Lgx/VA+GjaGia53d5fQVU4hTLY
93V5aaU44NJd1c3LMiE3Iq5Zw5tRnKWHfuxo+1RNq0w4h9R/Hvrhw9ATNoaeASpg9I5O94ykdVQT
SuxQ7u2m2+RtBnE8vJsdttfkOlPukm8njjoBiQxOHFXJSAYrP6BpxNUPOYEETkC7EZWc8H2+7omc
1ZBPdoamNEJ4G8F934g0AmVzNZCHaO2vo6c3yuE1AVpW5bCza2Cw7gfowqeE25EH3BK3CtopDSIx
KW9spAnQuabVa669vD28jE9nca3vy8a94/NcJYZ96DsCwzPOT487gICUbtXEm29EUWMn6rCpqbWG
IsC2d6ocnsxBgT4h7Rw/pLo8GM01HQawUaJPQxJsHeetHsvXFi27YWOm8ozU6U1LuYi/9JwUB2Vh
7VLeLqZWKAyIY5i+Wz3EXfAaerlxNdV8cl6f3iBb6XsqhstujU0BlT3wb4PcKT+Hdo0Hv6p40/KB
Axu9V9mXdiqiO+4z5SffZuDHCXx5aAJq6fFyHiEaPnj4UZ+4ug/HlgTQRwCz9GLbfrjXermvE4kO
n/MqLdDWAbSAsJrrFYw5wKSB2+cPil73HcZNj918hrZZ6HFq+Cng0bhQWg6FmyN+jWRirqKhii92
b9+4AOLumnnw7juR17tvy9n/bpK/Q0gtmyTH6R8W/2U89+fYbZn//d//88i9oG84wn6fxR3foTz9
11/7c4Ym2OAE3b8mnbrcqRYg1Pdd0bf+sFwYZyTM+XM0A9a/f+yKzh8s0qCnaKZ0lAQE99cMjb2U
MxiAOLpbTGWyav5jevjn3vSvMFK0lP68CCtT2hxv+Qclm6/kWM2f/0Ccw6EMoMCx+gOQDgp80g4F
SKtDPuQZheCIpxIv1zBGS0cJnHgGZV9GIT4QvXtBozQRTbByImW/oxGChwYtu+1G2W8MIAtkp+vi
Ia3M9kwaJVmVpB3JOcJEhtBwJysj3eBNjA5FS6suXGFKcvCrtTHK21S6L6Vf1TvZT/fYsb7kII6t
aZkEhC6ABZ/itDk13p3QvoZ8LZC8jfo1KuuQiN0wHrppomTHpSJvVYbDa9xmB2MuL6TBKLDrdO6t
chnehkbgb2JBDYlZM9e36O26VHTknvFFAA02SLpFReCNqOgM2ldmNj0HfvhoxuknIEovqQkQcTV0
03xlcATZJnBu8GX1FH31E7uUcPr7fEoIFafOpZLWeBQppuIZHvAGzxwGwRonl48xdhqxq7lW/9Xq
fXQe3KRWY3t34EZZz6poG9Vtup9aN8e2UxOAJ8i2NsY2eLPr0DhIp/FO1PjA2JF4OYFX0zzZEEA3
M5xbnZxem9GPcLTQSlsx/lsL8FHrqrCrt176xlUgB/Poa2qJ4g7AxZy5zhV9UP3OzcsviQV/3fBr
76bBkrjTIfngPrHEylpmJaRfnG0aFT3hxLo51fko7lU7v1cVdWNlOtY3OuvTF7ucXhyFexUiUoxH
CrZh3poXp057dhi4SjPefIoNkGgLVFLvW0YEPIOk6gBLewYoFE5Btx1y81R6ki+ASrODWTXROUbu
jaV89Lo2OSkTsz5gH0yUNG5tyBSm27ZOw6uE8PS97qhZZ8pAzjxFFtVxBOelcp5gRQVbj66bK+iV
H/i++l9Gs+i2plHktKHgSc87cjdD1T4GBiGaaaTsbKTtbm6fE1CIKPAw4tuCLsDRcD5mFCgccPph
dKvGbbrc/2Vit7u8L7tnk2oGvqLqHmH8cR6T28JG9eTY7K6HyJGk3cHfUgMJOWz8Jj4l34SofO7g
4gdLvVE4NdWts6TELNcwQAGl2Y3fimxbOqE+5jFlPZLv4E3YtTDwcScdwhQUVhZFLGd+u5+7iqZ6
bERrlTX2mUNqct8mjtqLSkzgCtpnC0vkQ+7n4Ulz3j9YHT6ZzpFPFq4ZxnQ04GRJGq/5qIatdqeh
Y5BEl53fG8HHpiRUF6SivpBjDE/zpBn8MSV2mG9yXd/0QfOlrEDDhyU6jxyxG0oybHfhuNxvRyfd
jtxv110rT2Dn7BuzCYhhBgyppa/jO23BMJm4ed6YCLk9jOP5czeRt+zYRqX2ShjvKPEr7M93QdoR
VjJiUhKkIHad6UMOaAMPNFZI7qKjMGpNMyKVn5FbZNB4OadNhinhdhn9h6n15VMf9t6hVhO9JqYX
rA2Tnih3MJkXANg7Jl49nWvPjZ/8uKovYVlLexW5s7jPZvRzP2/mfY5D6APH+Q9mRMKnlNMKKE4B
Fm28rTrqAQZu7vcxYfmNgWYzr+xB0stAaOOkiHp7EFzecJ/rLwPi8I1X2frkT5LoGRmUtRNgsDO8
DPvbHFLZnVXXRqPOdDsJAgecEoFW+EUOjX2yyyWUcKYFVvDkwi/Fukj9RDVE3tlBqIT0G1SXwOqS
m4grFEJmf+llPOxzp6s/FGbPyajMG0b9U4/VqDE3PQbDbd7S+zQkc/I0+PwYC2H1HjPG3ejSTidU
QRsLovWxSvo79iHj2GNa3bmmG74R0JgPVmY8hmO95PQXe7kouhuc5+5GKSzkKP39phDxZVRRes9x
rbzDEwzAgwgMXmyPSR/a5coe1VJ3Zk0kkLCsHA3X6HHR1i40V5XvzSZtLqPRQf3JMSWQ/DHBENis
wrH7xSILs/GZmWHi8O8Y93+OhYJWkTBMcHy4WqNZ2XQWJ5pqxnbefoO45AFtJmURPJuIsN9/BpGh
SocxnTJl54sPCqbeOoPzQFHS7F+lKQl45iWuA+7MDvWbEfY5t9BCN4+iUl9dgOe57pcz5EFpLCzc
oG8GFBKMbKkNokVFnFB11O8GxTDXNZJ7b7SqK6S45LnCbbMF8aS3eBmf8wJSjQHECpRawzTY8D/O
M/Ffqovey5EvFNzIx6Em3JCMk94UmXk9D/MVdKiJvgCZPLVdI469YdCOs3zSnEaDnU3lL31nLD2d
X7wXYn7rvfJ18EjgrIzZpi1CeEzYQAcRmyji0xiEt3FUN1eUTupVaIu72JL2egrIfpbFIDBkMKHF
WYbsnnj2oR3S5jGkBgNGQUh9YtflBxhMn0yDVQj+3yYQwVZ27tvErVg77ntO5p/p31KIaLvv/3vc
/f8xilkOyuq/OutyTf30OfqU/VNo6ve//KcO5P/BqRR7F33qjuJg+V+uMc/9Y0EbgzLHUGZ995P9
eeK1EY9cF7uwx6ouhJCopH+6xmwkIqQbuoyk5Xrf/ujfOPEiSf184nU41Vu+ZboOvjHQh84vJ15B
c0Cl8UDsC/wZm9hrgY22PlP6ypjqz05nN9vEjPxnXbtqL5drcu4E3cbTSXAk7y7eTb66hxTQ7wbr
1k3PRrl3cNK+wgkhtIuSQuYCgeVz3dGk6rd1u2ZdDK9Jc4/3aqmQKPvi2/i9a959yif3Y9R693S2
xXobmZXzOSCSTXOdI6Mdpo7d5PdXQDkyki5ExXotu2M9h+TuAWFNwNJ3ceVDOYzrQ+WH/QuECf89
NWTPXhRNVLsaQb+zC4sxc5Zk43sYO8Er/ML+NNOFs3Ep8trPsJwODGhwRlH+tm/Hut+EIiPbGKsb
QKd6O0EiOZQR6HrWBbnSNaVVMWviraZbZ+snTIxh7MuJYGRBI/UcxNXTABbnSwwI/KozDftUq/5x
bk3/A1EkdWt7tWORR8A8J2QZ2CvKHdsKLELTeFvqewHmTTTjkd2cxnVXivQFXLd5stXYnYpUfAaI
D5YwjeNLHEF9iD1FcTYBKZz2LXFMqnLcVZh6MRIDpFG6N9S5jlvnEmKHf6MOHcbJ2LrG12GS3VU+
qeGlZFJ7xQfO7+ni2ApqEnau6Vxrlxz+xlNuCcAiy7aBqb5yUAFvJiOi2tkw5Kc6XUaVmf1Z5xpi
1UwV4o4RYkANh3R4o4ziwclFsstIo0Eu6s0XkuxMaGRWMyumfLDqU+vKjqL2wNS43mjb51cPF4hV
2LmrYXAHyue0nZxdI3hWDbQll5TGI0PTjtogOmu6ObI/jlOVHnqhwH86Xr6wQommNuwfAOw6kryC
BkIvaAk0ebTqadlsczf6InhLAmaplXttWUNyxL5GDjowL1Vn5hddzv67Wznh00i5Bwd9O3+mACHj
gAIbTkNzhIVC8/JFDXS96coUd21tmwWGfwNuSumQqnaavnpvcY9TOm6srT6sdn2ViOvZhhiVaDle
R2NGY6cUfGtj6h6eMs8X9Qao7rwzct4zP7HMDXJf/zpT+HY2lKruoa95Z8IcajdpShbtMXmv2WOl
1Tb7avK857Qii5Dm7rBqjPCMfpJstEvFHVni4skC/3sd8dtRZWQMQJACMmA0xSXhNeGs8NaeLWfT
RTbx+cmauQWzX5v71tYDlZOUSvfErWhncYvPak5bTlquUR9AzDo7slmKZPpS2lF+bq0RolSQcHjU
G2F2xq4p9VU+wFtRNW4UhOvHCKExtAoBG3PxwIlIGpsf1up/Ikqjlv8sSrPqCdNhnbZcmNGOYlH+
8Z4PV5EG25blgPpDEa0Gt8TwV8HipMFLFdWF4lyx1jSi2W3xkpFEjbZl3TTXDjlCUnMB6NRuHnDZ
5BGnsqjIzv6wsAixbqQXPCzFS1lnza71dGxvITU4+bbrGsBO3I7Te//b85x+e7btiCn7seC5kMd2
WRe4QuBi1YPtFFvCwunrv/7V4Yn+8rsvHmYmAEzxkMHZfH5Z8Sejc8DnhDR1u+GDn+UrL0/tB0ON
rwwfkpVFgRbnuLC+eE0PtxZHMWY/nPF8G5qKfL8Ruo21deeIUAfFujh1OG9t6EYfvqR2Hz6CXJyO
Xq0Pzpgda3uux7Xom1fVcuAns7PHF3wSmeC2nMafa2RL+MZWfjuCvjky66w3mHZw91kw/QX5BcIC
6UBGt4HiXAyNLdcmSgOkklSsAw2acJDQbVx/zCEwaP8VI0fxOnEH3dF3U7wJXJ3XbjjV11kIeyfS
Vr4vO+29YCoKjjK3g9spj4d7/tPbNXMf035qA30cqH33/U5t55yGZN1X876U2r4IosjHMFIdPi0Y
w8i9InyYMB0MKz2H7Zofm+MxPYq7FOl+j8NDAsUgkZbZuFbZg/p423Adf+4EpOmQxMpzYgNnq7PC
+cocKdzEXZqeiTG1q7Fyk3NF5bRc961wn43OFTf+rIwHu9WCZKEfsrcos/wC4nN8prZbPrteWdyC
am5uFWH4kznn1sG2nOgS1GZzEEwKciAD3RCpDUjejoAZhc5oLtZ4J7TWd6PO02ti9n29ijKa6yMH
5k82UbicTHXz0AuMPaagBgc0s3hzKjt4LAMHASbInqKOq8IykyArT5t5/pqblb6abQEdpenAx0Xt
eC6wNF1yQB47JbP44rnAsYmbKXvXWMkE1ypX0dpshuriVTq4aQ1d3UlPe/UeR9dEWbCk2MGxi23T
4G+lEiK97XVUXnF57jYRIRIUD7s6jTj476JlFcnqgOOKd8QNSLC/uIGA8pD5/arWGY2U4XQ1tpLO
L+XhM2KbWFPfftsua1YoWb2CZR2zQysiO2IYX9WywlF0Qlqj4X6j0docgiVYljJ3P39bGPtviyQr
hQPoiJWzWdZQ1USsM1ksZhaCyOzIJrHeTsvKOy5rcCOc8VTokjW3EkTOC64HO6EnVnSo9fcD1fLn
2bT6V5dM1qbEBblJjUbs8m8bQ7LsEYR6URUyC80nXfaQmlm6cfDEXMSEi5YtiCs/uRTfmDq9Sa3a
e5zM0r1pq8wJNtyx/fe4ieAkq9JK3X1rquZkDFW1a5d9sgdcwthn2UGLKlRvTA4ZhLl8p232qbg6
k6CiKaUCbXYo6UvdB3BPYiS4ZUvHcs8HC5El2uBYHKAi1h5QhZaPyPt2apiWA4TBSWJejhTq2+Ei
lRo+U++51H5y7jA5PgY+EyPI0UBvgkwpWuL78ZxnFpRE3xiPAffsFUm9fF9x9NkMKk+OSd+LbtWr
CET64DvrYiyp++J6nl65ok2OdlcSOMDo/iEqAW4TAFD31CsG+appo5Z+s8b/Us+VuB0z7X4esn64
jdspfqKFunugpmxsNyHdT8cuhJoOPcGgZs904huo2RrGDgi0a2nY/aGBZ3fFmQ4FT+MzWmydwr3N
sQ9TzVfl110/4A+ttNe8jc3wYsoKlrwypmidwn0A9qWsvRqH6NEL+cUTbg3Hxqi4UUaJHAgEKFyB
VcvF204d49adS/voQWh4yJNS3uJoc9exx9ZlQb1+rEhL0Q1oAn62jRgmYQ4AE+PwoAC9WhVlOf6Y
tFeSkvathP4GFzA238Cb95/tsqh4j2e8NBxIQ4p0NEbClZShB7EDiN6HyYvdPR5mnmK8QPHJk1V6
1o0yTn496AN8tfGUeIb85jJD5KpleBcDD/1ojep2xlP0iIKdr8fSIEiKxnci2AgdQzMZuIsmkb4m
NiQr/O+uvbKbvHsLaXJ+rfqu3ZqeQ39NmQZ7/pc3E3Pglp/I3XYIAWdR+Xz5Da9DGqSi+M6gpWRV
2FnZYj7nFLgQfJ3bhfceYASnxItCWeBuS3DjiykMShK7kqoC1kREiMpMyp2KO8R+hvUvZZs6p2Fq
e3oQYi75ltejp0LTKRNvPnoiIp+pF8qD4sC+BRoDTt+XJ+YQX3Ptv00jSCg2sIwLUlAWRzBjiqcd
tPmqQKq9j3J72rPycLAOUvM5AS4GZzN/tpxKvDg144qhz6oPEGWTD9SoNV9SnveNj6PyMHTza+Gb
z7YE/Mqo35VH1ymvhNQ3CQ4FDv1g33voblvIETMD7ixqy605ALljakmJwrmpnOqoZMe+G8Av9+3M
PiCaJmjy7vQxNviemrMjziMyIZYcGXwWDXmSUCp0Iq9cjvVzMXJQHvt5PUbOe99Hwd53amMngXZf
6JuMz9WErf/cF0Z5T/hRPIJQasd1XI7dl4EGeSoQ0lZdirpgtRnQ3B9ItUsGJ0uWPIEWsvPANO6b
0nY5GlckBozAlfHG8xvJvwq6MosHQN5e1ZxEXMCbVS2/+5AtheEqOS/4zAWGxPQZnAgRDK4jN6ls
GcY03rzVftbuq2AeuTjZNoHHdDqOvi8IOvP6tGF7LzknwRgu++QjHxXTzq3AsNhW771GdWztoWcm
qwCScg+ge+KpbSaTRqmCVMWqKluC2O1HP+ivZs/8uugX28EKrE/dYHg3fg0KxqsesUyAZhOkD+9F
2Ew5CXLKpRN75jGI1HPeFRyqe/Z22nasjR4avVdmDcw3sse9ucCcQeGYzySOIZkSRowgTYIciUt4
Y+FiaKi8IBeAlXy+3xkpkEfkiflR4iCt1qlJxhLT4sVMo4roEb/zLe3C4irhyg6ZLZRXthMKqCNx
JzcOHKNi73u+8eCyVd/aVqG/Oulb0MK10NUIdSGcIwkKbXIOTZxyLDKKqxxOlmPWkLrbDBB6kSV7
aLk1q4jgjjG2xiZ336FsZ8mO1rNOr4wJLgDTHQvhNrgwq5mvORCeO0FcxexfVPpazvdTBH7f6axV
XYjka+KG12maF3i8K/POc4P6I98vNi+a1m707IXnLCqqF3B4GiRAhgoBtcAA8cIT/XF2W/1E45P9
MTBTDACJrNed2TrH1jCTEztBdJFZYKxVlCztYxlYVgMTQJKEx65J4hVRDziDZD3u4qSS9wBkp1cq
XmaS/GF+bGaHQFtCxTCOAjcDbUn8mf3UG1/IIVO5XZBcXiy10SF03Bx48lRvHYAR+Jj98UH0AdYU
o4TcTU/0DudlcnCW2mNSLPNmyoJpO8TWeOAMaYLiKJVEdLTN4NbNiuro1P24C7Oe6RUYyKcm5uQ3
0IYAO6anT8Rp/EOYZRTGlzHVw9CHYEq76Oo1dh0mQV3yUg+TG666MQzXRZzTBsEiSqumMe9ohRzJ
NEf13rLSp8yYqhOW4X6fBhUHshS4DURX7vyM9x7pD223c1+Vp4Q1AxbDBMHUjUtPrLvM0CQI25Qn
MC1MFmzCgIwsep4sfpRy3fk5f2PocupHAmpAKRtt19jPQSWGhX2IUlaIgBDVpmUGyKMS54dCkDrv
CIOvLJWCEE9KVjOta5wbKYTfPg3OwgqCqwL4SuFHby7CTJLSsotd1YqCc4P6jV1htLd9Gb10OQSe
iBTmNnPn6YTCVzCP8u+5ly8zRs17y5hhJY0gv4oWwF2uB2+DTjBv49GFKQ/Jibs5s7xzhOOQtyCw
jropLeKEA/WXoi2+RgHtjVLjOlT2ZKzJXlvVyg7IGhSgod5FVqYfi9hpMuyuIrgHNuVfAQjJbrmr
0ObM8IRKWomy5MrWfk6Ac6yB5VUfc7kQyqqsPJMHSbj/VXRPglk9gBfO9s7Q4EqBEXBoYwLokCaA
pXjE0x1/hiCSWHueMPup47p22xmYQ4rBa7ZxjvYR+bRKmqG96pL0XAr3NLaHSfF+9oX/kSzFOqkj
dS8KRoYQ2ZNnLPzOsU6z7OLFLT58HkE6KeA52VL3v7M8/7OrMHAIJSwP64Hp/+K50kkhgsCx4ZxM
Ez2sTiI/N+FAELJ2CwYOkGfCBQAW4q8vYE82qa/LTRRVBsiUdHpbANPNNnNcJvSEMUnDLXolmg65
2N43e3jO0ewYdHMvCqcp6SgGPoxAOJVSnWK3BFvZckM0vhfn/XebVP4neTSlxaeEWP2D2PE3/8k6
ij51Xdxi0Ix+MqH89Ze/a/LK+cNZnJSuUjYkZVPim/7uQlHmIrwvRlss3CTVlj/5y4VimeKb2Row
gYdH5b80ecv7w0NDYraEio7PES/pv6HJe/6v6pTk6XaQ5YUiUINJ85evpRkkAxLZMO48p4zEbkTB
W2vUaaZGpAQZ8lVo1dsmtUj/DGFAw55HOpoQ9ChGY9XJzmFblOJSaAuHPWBbnrYgry9MCLOHNNbG
o7v4s8KxHG5lXkSsYx7ctMb1csTu1N96dkUHedFG7wzeZuLiZGujRf2LDsEos+c5LGCNoG2rM0Id
QOZISLwEOpju5FjmdJHMD2H/DYwOjAo8xkpQ6LEFftOwtJGRGpVrit1ELJ3g2hh2gKyzydD7Quj6
Oi4nho09GdyHgOzvCym78AGKGxKzKZI3BtDh1ZTVWHImlMq3sCQWysGS7pQOe5KGCrX2rfQIgJYb
VWMTqSwTC7WIroLidmxbXJRzmrA58+4UYjyHZod7gKp2BmhcqS18Imunjyty8NJ6o6wXcwMhy0D8
J3tnshw3km7pV7mr3iENg2Oy3kUg5iAZnEltYBRFYR7cMePp7wdlVpWkrFJ2mXW33dvWlguZZSYV
QUQA7v6fc76zar0ko0DMyT4PDvUHmOxy/0tUUY5i4mmASumCY1sl4PQY7ZgMTlhskSI5kq14jlJ/
mEbmEeyZhrWILtDWSWG5VOqJXqqQIYU5JhmqXzkiTZBsWc+jLDexmDMrIAfgXnWciN+SUhQcSKhg
2Cl6kTU2Nj1Kue5PzXlmaoZPlFaoVVHMJteBOfdI23rUrqg3Y2DHxj+6ar3BP45+Wb/G1N+yDhEs
5ww3JpVcIWQ5awU/8wUHABtOa9lw0GSrrYzJgqJJSNPz11mEl4mGaqoLVlWofEg7fpjsAYV1X7Az
DPEWVt64B4nv79zOnWCxRA6Y47qDROhaXlZDdzaax1ZY5oWosziHTtc8QAqu3iLdilOCpMR9T23E
V3ENT7V+lwXHDRqfK3BAHGWpu09V/ckAD0qzOk1H2S5NS3VPxMW/CGFonBHrwT+ntEVcilhKCdsr
Nsy1P3qKmGY5PgFVLghhFbr2wfjdRmg3DPUi3Kz4DFyq4rg98d8r0x8emrIEWROxwo8rRVHAtMcq
jIDca3Cg4CewJOcmxiCCYauI2PAT9cv1nd1W84HN73LfZnLv4mEAql87ZJKhUunsnuxRgrk1s88R
N9fyoyGZalZvhiZ60qSKk4jjHXpSnhcaDkDFmyIf9edITvoLZE2LOjwsujs/LPgAva7iXVuTR+uT
JfVoxVFwMOAJeNF+ZpjB3BpEQW7Or0M0boyQwWsxWO8VUZiEoWqqPtsuh9C1MMT4OvZpGciOXUnE
JvYBG0p9jkEB7zNbmEdIdyShbE7r6wiK00ZOY/PMPAfvUtS0YsOUtFrBAqiOMGMdolkTjupyqstt
NkGtxHNMXn+Kd7zvmeM4lNl+oEW6tmKFURiq22y64ZNvYnjlyIcXxsl8Z60ZjEFXU6tquR6iQgbx
vESAIezpBpsp+LpLCJsaeJND1wcx6vhxduP4pGcGtUmytSA/asIcXjRuFGMrTUt1q0zK7rWgH09x
i8AbW5Ff59aeC1teakCD05aeOMT8YqY1x9DqdtUCA4GV0DndtZRLj99UEnNqKRJ6aRZfDA7nL1nR
wwEvFc/pPs8JsvjZYmXoNNtcYXp/1FszvZo9hnNEKcf+WYSROkOjj1+NnvqqFcbWeQPKFXcfeD5P
WxduQYGxlGxnmxJmaFS077pceKTE86sjS4mdraM0l1+ERpf4SlMdYB2OScMVLWtU8hEDneyA+m0a
TrRmGc+IgbDmit/Tcfedn8dESdPIILCk+83HJIDUroeRLf9MaopQU7FXhZLH0KFEr+BK6ZChwMkG
xZBn7c5sLI7LVdGaW5E4rb4v5tKnCwknQ8JU0rGxJJMEJFjJ1IM9ODSlryOV9kcdNTMwmqbpVlT7
8nCikfgeXHZBk0CSjEE+SPmKLq3Tc+R73m1bK/NpcqnAWjnscenNqMxHoCTyhSOPR4NOzmYTYqyG
45H68Zu69cobB2vro5xoO+Sx4fD1cRtgb9sJvmIRNEl/NbktdEwxiujJNzq9YB7qGl91SfbnxDuM
Lcx3dm4Srp+813Zk5s4CZTZX3Ld2sQ+FafNgYNb/wLNJnSkYS68BVJlbDP9uMIZ4qsjvARte5TCR
mIzBvd1qskrOjLzd5ymljj7HRHeTUeu1zk3JJGiokguNfSAmZ8MAzU3PIBhM+dRFevZYw4cO6G1+
rcm2PLR1Ly6QkjCU0Ryzl3ahP0i90j6QqUfKrSOT0YzFSBDHEE4hsLnhQ6FH7sWtkoeq0rVLWE1h
kE0l468eStaFnK6xjgSTwvVAOIDAgA9cYpPoQA9WLZeN1mVmLsvAyBuXb0Ju1W8JKLMt89XIJuiB
itTAodnHsHGYjrJ16PNhfs9jIwnASaeA4Dg03dCz15yLGnQoE53kU9Kq16KO5t3YkQEPE7A1rlMk
b2E3YTPyhuyOOX0Jl5CibruPy63EnwuD0oP1TuOxx6EthhJqNo2prly7KD6BuJvzlWeYIwb6PDOo
9lS6OORRzcMFPp84EGJoH+SM0l1qKibXoKtNu1i5qG3k2J5VmYZTTlg7wQNoXQH2fbBZWm7BYVlE
4YchA3ySYTyidal5m410ADKH1xY/WBMf+iqMoYr25r0ugH9iaUUqonrWPWN+dO4tmw6udS4yYzc0
lokOMXrX00xa8lTi32dqoMf5lcNp662e/PC1m7LsrnUN/6uSueWyKrOVWFNWz+jXAL448G8YDK/t
qCvzSzIKzi22xUfM6BdIimpafBKtqCZ8B7a/qmGtXLK6JGkgGlcmdD8Y1pvTs2kO2jSKnyBdxWo7
+F6lXY82DlMRIQQ09hAyZY1dYtQplUbDwQ+xPGE0Tp3nXuOOLBdRDRURtmpWGDeDGZtMS+ympbpS
4/Hg0Gq1Y5jTvgKAr24VxAxKZqIuOXZSlycnzrhXydan1IxY01k5ksO+BoP0lg3sIFfS7+OXmDhz
RGFbj99SZLH1oKejfIYHV1/8JsU86aj52uucqKc7Q4gxsOUyiFEqYdQ5Fe6XSohlnB2b07XWh+XR
XzqvFE0V/VoNLaQWcDDv8+y1xgKQmN7auAUZS3ic7uyp7j9D70q9rW/RUQEwz6ehax5u+6w1ut9/
S0LCUHCF7F/93n2wyF2hEg42jTwV9lgClfXFW+zXsSwe7Sy/y+MiCcY8as4+JdncsyFJiEz08HTo
UEWMnWoahCyTDz4MHf+5BnGOFlKT3V0TXy4SpgQe53onlGffqJZEf+Xc9YVTX3F4yc9NNOUvRNTt
FBml8d6zaY53OMcXRjHhw2sy9jRBNHk7fvKSSZ+OFfUgYDF8oye5XpoGkY0IFa4lVoUxJ1K7sNQZ
LJf4RABA1W5dAWf1/OtSRhgaWbk+NKNxPqIoVN2mTzNKCAG8eypwCj7rld1bibkzK58uDFy7WxDp
6Qs6GyxEinysbT9VPmtb3D8ZmR/fuVCcaP/s5sucWO2H9W3xVTTZrLjwuDyGKGTgNzWfx8prrlxa
MB6YEZ0M8pMOLbG98xZXCaW0iAmxhcWBESUFA5jT+9m0bryMpI9O1yCURYZrfM65jU6olyLDRtKl
82HsZcNDA7R1uso7037RIwM6RidbNEz0hmElkanehSbb/VCp5ArncXWbFIN8VhgSvzTS9vd5mRlP
PYQ7xuHTGB1A2yONG4Ai6aot2+ig+WLWDhlOkj2o8RG4rMXQzZ7i9lPMIZmJs2o7fD4WVXKZg3eL
Vp8mPXMkSPaOQhiuKR+klwwQEabomH3o1OPzj7uS6ZZVL753mvxmINpAXSlEqRowUCmpnX5kLweR
wqguFGrP8KasZXdjdenO1pt079klbPkBJutdxDdzD/+h/AxVrPi0nLKZ4kIWzYMOUvC93qnugjKn
nnG9Twca5+BMSBb8NSmEeV0bJKiysUcIHehaPTU69SqVH2FnTqy4gquQV+lbUeUq3pttEt1gt+VX
yLLaFdwPaXrb0cerWsuxuF2YhRNluGjwi1Cl8g6A+2zbpygejR4EiKY/pHbo31EzMG+EN8MfRNCm
tyCV6HlUoVjNsUloPgqcWYjFkuzU+6aVOkzEMtE4msbpsignhb1XbcNHwzZeLyCb9vagji0r0luS
OaCQyyRE6CQR4oJ3pLpRBHHbkpQ2bapN5qFlJJo1DuwulbpUE+mZs8EiH58akxiBAtz7pfAMmLzj
yBCTbSR9im4XK6xqTpYcfGLlH2OUUbikviVTMADcSkZbj4W9nClamE3YY1nF17pnACTsDOtcOC19
mHpf7vvMbQ5lN8USyk8xPqFCmvquoL/4oMk+/MTQPiGP58z5AhaS5sFSCiO1240E93t3QGD8Np35
3z2m+n8vcEyI+5dp4+MbM5H/+B9vRf0//+P01vDMVz/Ms37/+T/8pc5v7kIkRKwzhLCxcP5tlkUC
mSQTWQmcz/zhfJeosuzfyOLahkcGGYPAN2Dh3/yl5m+mS/oeX6pgqMBE69+ZZQnnx6Atgw7iz0AY
7GX0+l2SqiRNanQ4IndFqABVatjJVjGFLjwkkv66FplTbZaeTQ4HGoDRFSbojIiJlKcJW/4BRI7c
UnRtX3NSjwN9orMth327z5feT60NMVvVWmTQHEb7VIDqSSFYaDUrWbXToTCRNvMmnp5BbTc7F8cF
wRd9OZ8oeUMkMXuOVIiz1aU2qVjEv6HLs5Mf0QdTzgOK2iISMhlTR7YxdCRRdfgG+dA5uYCRkiD8
pjE2i9zoLcJjtkiQPcUtq+qbLrnEgu6rb2ql6xneee4iLaWcGjkz+qZsYrEzH9pF7mwnmRCbkH1y
mig2PNeM8LahV4W7Ca1UpDO8Q89BP9XKFj05M7OB/sha7KpFaoWS3kN9Q36VaV8HYL3nVw2H/gYz
jLU3FsE2c+PpoctIgZ+aqAnBrv4u8XaFDmPbKWi+gOS3is3lUQjS5mSnbv1ZZDO7VMY+gRdpxjr9
Jigv0nKVltkzpp36OUpondYXCdpF33bXuh2Xx2SRqmfsNS3w/0S9d7CpjlZnOOYOTTfTOe029mGg
rZSNQkpjoqYV7ng1Cxfn79zl/lfchZC8xhllJsk1dXL0qH7T6iQjoSx6gl5F23IOIbgQzil/S1LH
AKk60sCbBqvhvsRvtIlnxyC5Rf0aTcp6YDkmfGlKlsw7PJXFVznwKQSmsuoneBNoMp4P1eqxsZYQ
TNGbEluV01CKmusFIyCRedFN4bjWwS9kfLFNdFKjVlTYVnU1AK/TVDWtGZZMlxCuJTN9SgkEf6V5
UbzFtw4MHY45tr0gAaWN94NBEfPHodqGs8upEsuKOsRCm7ZFbIRfp9rhPTWFb+cIwVDm1wZflXgT
wtm6c50mfENcyDyMlyQF7ZHkCYRDOw1if/JRlSWFRCF5o0DH4XVbQS/Ca+PXNCB0M1x205yTu0Tk
0VdbkkEbw6rGz5xQJGpXBjaQXLG9wIkyNxad43kHbtvT9C8Yoaa3mbPoo8XL2kGlGdZXHZMLtzTV
KXRhzEVDXZ/lcdawkqaG69JD2sXcWXpWkCO/AdvLzaoKRsIf+Hxpx92amuuJS5zMdGygMkX0IKaj
sxhPOzhlORroPcliUupWrcEy5gBRmpvUkN7SXdjpH8MkWb7ggVGKUswRRW1RCcBI00P7SAgmapg9
+P5dPo7vLILiMBmV/S7KmbgcXuG7MbIxe3aAdmcKvC9cFCxChlePT6OWRm9IQ8mhcACW11PYYtJi
g7PKHXhsbuabGKybgt91jpnMo+XxOY1h3p7QZJGJbDi5BOsdv6s3A8bCPV53/JaMQOnSpP5dmdis
grHV2ieE4fhzMqfD54ix/9aR4XQ94+25JGRBj+1kFxdoihzCIwazw0oYkyDrP1lYUlyLmBbIhOoM
VU8PhqKiGS9MgcnHun5pUgMpQPifsnKZuJYkOOce0dzrKLJLei8/09tgf/JERGdDuZiCKCLH6N2G
uBRrl2dPQml9vzYyIwEfhnRyKDyrOhYWB/7AQ/5KgpbkyzlN3XE/OTToxgrTHx0mXni2G4MWZ6Xp
lIBI5Tb01uet/mbXwn90rI4NYdP4d0Bpb6cShFo0juwzhFdubY1o7Gq0u/rBsXv/RNqVOSM4g/fK
jMWxQ13FotLpO2uxmPZA/zd2Q17emqtsbyaaHeR2PJDDlUPAra421fJML+kYDmQrtKNDL+krhyyI
bQn9Rjt7sBhpUzhyrfHcuypg7pAhhHAY22Ef0NjU3Nk85y8y6umiVhX1XpAJyOYMsbg4ncgejEaL
PwwXjXg1JVm/6VB2TjM8/L3usysnoYO2ISLtWPuxvReDWVb4GggWBPVQpFeRXQzZxrAG1AyN3tg0
K5K7AiH2MIztLQUglIvytGTr76e++cq6zcRdZZhPbHtybmcdxztMSmiV0teLo8f0ooRH3Y54har4
a5pm0R0mgvDBrEeYqXiv/c8RihKDQEUBYWQim9Bq+oyWroJRn6lwT6ZiL0Q7uyu/NLRt6cAcXiX9
4N4Wo+WeczU7VN/Ow7lXmoBwC0me/JIRHqFjVSvmF4wEzCTZRvFsHVqtp6TENtp262ppfme70GUT
SMS0ftWx+sDLlcTXJnviN82z0DDabNZN9seVvU6Rf85xkkbraAqpxNY9cZ69on81myjdovJ17FkL
e9f7RbU84724xqAAEBEyS0kSwaqvZ88hdcrY1fyw+qq8xr1LErXhbMlGmZmc7LzmPZxpFzDm0tz2
g9SOszd3HwUGvG1lNP29iliGVsSaocThwDvSEpC9gSAHrlr6ZnRDqFTHOkqX+haevLWOaDo9dB0z
h1VTu93JHQzjRF53wJald7vaSpMdrTk86TR+5pAYEb5xGY4X4m3Ojma09Ng4nuRqtvIxHEr6k1lO
aPiamMCPVXM32IosgBe6D03qU7DeD9iyaEwOPPxDJ8pcr0mnlIem12gUmhvO2m7quGefdfXz/91t
/HJe+Ds46L8GJxzplzPakpX610igBQSUQwT6YWf+95/7fXPu27/h4kQSFkvgwPkmJ/+BO2BzDghB
ELqCtOESRPiH0OzANCBdBD4MxdsE6/V3odlk387kDaGZINeS/nL/nc05tv8fowAeCrhleYTJoJpz
D5g/RQFmr2FRnKAWTglSUum+Ieb4mFZVcR2LKaS0o7ODUiseqzpzAsy+VG3pY/42CtulrKox8A96
u9TGzBnXA+FtvMcQch8jQWM0BmlYAR1aHQj+Jesu+tte2cWKIi8VDHWX39NSQm+Yr9Qef+5rumTx
G+dqauCfeJSdxi7DurYPbzvcl05ZMLLJQpItaQiSE3y/6hk9kTk5s+l03lyKgHag1zZNZVLQ7Pnz
VV7MMHKGlkU7RyXvMUTSlTxsh4b8EBUK21l4BgNE+h4CWcBCorUr6Fhlg8ofbum+Aybgf0HqWw11
cS7YxE2NecccgKcvm04TonNXmV9tg7YnLQ5JeqnMm3eYhu8Tru1NlRQwj2at3jFZeRx1Ij3acO5s
Lqbf1hbDf37lxMquRdnuFi/PqqzlFRjzZo3CUOySsX0nho6v7amBsLJqZO5vY9kdhRHn1yQ5nhx7
CnLZYUIJJllQcGl45ddW9IQXnHRrWEbASI+lL32QfnSgk9QEIEaxDr7uFRaIiFF8ugf3eauZdr+J
mmZ87JLZPlhU91HzR3FKVm2muuPSuDLas72I78tC3cVW/zm0SRlHjci34zhBbSWmd2Nb1EBgf0Kb
D/ENMtVNd16Lsy2HLXcw/Xl6sIrqzsqkALlriS5Ii3i61/MQAHPTtPUO/1B0MzpXfmE/WqTXd3ji
ysugNAr0+v4q0sUNlPEgy5znKJ+uwZJO67aDW5UO6hyp5qDNNNgyuBiiQVHouZnsKeGjaq7Z137N
aKNEbiT07Ft7XE75eoJJsWmNDc2xax2KK5NluvrCcQkEmfJ66vUzvcvs5NhWep63rRhnjY3+GBZP
Zl4Dw4gLjWTW8trpQbL3VXmtP5qJovtr6u3VGK/MZktGqFkX3mDsJC3cpW28iVBLMPf7X/PUv7Ky
Ge9jcXRDebFaD1JrGnDWu1NzbLz2BIeQWKpkI8BW3/tOucUuIPl7J9dGw1XaDWk3+2IMc7tNfCOm
zcKz3xk7k1JSWdKum8lGQJbEIqywmU6pUB78HImxA2fSSTN871AaqjvkaZg/p1bk92wRm+RMZkE/
EF9Q+4l26ofGHeuAr2pzQFCYXinWIAMoh+pCdWB/cN0y/0RC2r2fRTJzdMqYSdc4r2On8k+1nzhb
wxmGbWsYEaFqapOLXhQPS0Xjg1cX3THV6+KxAPe0lb3JXF/VvnpjfMauzYj7azH4Nk2+oj7DQhpu
ja60rm1j7o6troxXI827jRtVIwKU75wkE7ODiin0ppA+/mCjCCeoKSb1peasPjD046rP2FWvOMoP
Zwo32lOOx56sf9/rFw9R626wenlthKZxLrIqfiRV71+BIFdnviru2dIG/QwZqcVxgV9yvcTvdkbO
gBptOVoGf9NtiiGi3H+3yvyz7Nq3gNY/6G3e4jQyBaI3D26gOFDVfhytZDA0Kqsh8+rROMUoRVX9
IW365lpaZQlSQoe1awzDajKNLjAG2hEGohAbe9SijWi7R6dvtC2jXY5sbtrwhG0MjiuUuEPbRrKl
AS565QTAQTaheOXilHp6Ivp47YZ4RhPpz5d6aaMToZdfTVHOByXjRzskXKgAm+2bsS/WYG3sVTzZ
D0pB+O26obhxuoh8AeT28KEeBlPb+faERE1Zu8QnWfIXU3cTQ6VgszbtyjkOURCTsMe9XEQxOjox
o1dKwKlchfdUkUAzykfLjb3XhmZkNAv2Q6Z317mIJUlbrjEaBHWJ9US2LslmPXd2jFTPmkVf2VQY
hEI6664e26V+5z4kgbSu6R9iCG4ftTwZ1zPhgw0Hn2yF6jSvSTxP+PmKUzOL/hSqCoMit3+STKid
TbQdygSLUacgjwGKIV3kRO8xA+Jj2Q9iq0UU+5Dys6+rKYV046NDMjZJ7+rZiYi7RsU10pG7ODn4
Ks0u36qZsd55qBEKaZdtzomt+VcdHZKPsR6Z5yhx5HUG6O8Oard+oegKwZZmuPbEZz3C13aSq0Fv
/StgA3zfISk0X6ixZpgFCjH+KPIKF5YKx61a7hS2ws7JW+4ec7mPuuWOyrFfHuNwtK4zrRxva5nI
s9BL1ueY/pkaAk1QOqp5kxNUa/yOotlmyx3sL/eyvtzVIXr7A/bW8YoUZnSoe5KEcnkOJMsTYZoH
51SLKlv3sly+B9K795ZnSLI8TebluUKStFqL5VljL08dvNCYspYnEccBtQdbrR8yz0jOZeTwyBpb
VTwr9u0Hzk/+oW4H7NxtR0lk63hvaW5OpzrU4AA5mXuJC58Ho8//fWID4rwTxCcJmzrtFo6Yc+H/
1m46SfKO7gHBWQXH4JpgJnq0HipcQM3ss0NBGOPX9vwM245pu0v7UQJ7mbr40VkaKiw17QuB8nRd
uqnHiExSqzDDMZkD0x8Rg4yB+vZjCeqhfsajoHD42BnNDCmFRO2+ihSNDdCnI3ggTbI0ObRe322s
vJzIEMjEp/2b+ZxYeYTbo8CfRhltitlGZhttG5KiEgsygiAtdiYMMDcWg8crLxrt21FzjW2OdLlR
qTDumllhILG+dU9IJyaFpSnDY9aYVj5jxxq4Uu9wnqaKAoQNqYhY23TfOi0AnlDK5PLYfJnznMIL
UISUX7CvpAhjVIY0zlCFzbuslVyXUt4y6sO0nqYDAwCmTq1Z7kld6dvUbR/bni5tS4IK0a8Qleor
kYA+NFstXLNHRQFS9B7rLmqHEU7I17SoBUVVMx8SmF70Pv1UY9LdTunwju9Krj1lrT1/Mi+hLofr
quUedRr1OXE/51LzafkGzOQgKwJFZBmwKinoRNZ3LvUhxDfv0qVPZKRYxFgaRmIKE9cR7cGbDmH3
1CL57KlmIvabWEdMOndEZ1nzEmQXjfV/o8/1e740mPAZRat0aTVR8XBhOX+cl7ITWwzxoemYtA4U
O5zSRb0fB7BIhqdTamHI6atfGUv6M6IXdd2oVk/JZiVu9P+VmI//JcwH1A3Mtf/6kHd+y5r47cvw
8VH/cM77/ef+UGCWHqdl5OI6FgVPJKv/rsCYsD8MHtPwqr7x7vgvf7iJDeM3V8do7MPbhl3jCN7G
HwqM99sCyMP5izLjmoLM779zyPsp6g7k1GeL4Lq64Timh63wp92CXQ1hrKwS9sBQHP0CePLA3I9v
8Sd6sxkmunpA0hKsuep2IeWKeP/1J1gG+rlq+hdrSF+7Wl1jpFjIHH23b2V7SRmyIpzj5KkgSnFX
N2Kt7Pyl9ZZuTz97oVww8PvpCFSd6XaH+W+otbU5pDfffRr/ZDP0I73k2y/HCRZwID2aMAPFT78c
pahxO090tYxFGkCj3mbhV/oqL7hl1//eK2EYxw5O6TUFWwhtCwnxez0r4mno9qTRcdChOYAAS0vt
PLVVYNRR8OuXshb6wD82eKTyxTJNW/6wbP5YMMDfvxZz1KHQGEKxvvbvHAncNT6b53Yip6JgOoV9
FaEI91lAWqoO3J7jou4IKqUjiaUSOWs/d/VOJO4r/9dDWRZX2A7nwLbVS6QNp8px38w4EHbNmd6p
PquxmOgQRYQbgY9OImKmBX1lG1o6k96O3T7mUQ5f9FwKPRmCOJxwCM2vUiafLOlyuM5A+P76Gnzb
xP50DYBe67bpMDaxjZ9HE6Htxv1k4QmqPG8XI5wbBV7ZOqa+HG3Mr17qwmFY2OP1xBCRwCbFofiF
foaPX7+Rby/04xtxFyw/NQdUu3mcAH76MGLc50VExIOtBGKlxBdCLO/FixpGpUb+DtDvJFImyXl+
Ut38UNnTbR+m7g7FIl8Vvnlrdep+yWyOttwxaX+b0+hTMRlbyIJ3f/Fmf4YIu5CMeQgh3esuLlTr
p29pCYhSy9ox3uj6TIrnm/92eBC9fi815wpF7qHpqkPqO/t5ZDtMMTcVPOwqBJZJZFY1g1OA9u+S
5lnPdA7EDkyTWonf15t/Seb/06fL+6Tzw8RzxK1k86T78aLakXSdBJ88fVb5fe2ltFMU7FLlMN4M
dnfClQ4/Jx3ox3RaDB9q/tTL+R479qZjr/nri7Zck+8/4J/ei7dc0++Uat2pjTx38zAIQfCNtb5i
U7fSSXqRSNk1f/ly355JP78eIG/wI3xSrvkzf8O1QmZEAF0Cq8WFBvyFUFCrAkps+FaIeyPKza03
FVXQVzhFZeEmFyeeDkKPP2GFI4CWgqyJBuIPpV++LH3kEYV2Rdo8zAkiNriUfE3N1gi6ILn1CzDM
LQXjmjWf0QXEHm8YQwtafdaqx0yNCrWBzHvi0IkcgO14I4Q8szmKtiHjbHZYFMO27Ec2VHTNJO2w
QnM4tzatNV9+/UH8+DDHJsCXAsuJ47BWGYxMf/pSTJbOZqnlg0DQ3swiov78ekw9ChSufv1C5p9v
EzwRWB/QCnghy/5p2bBnwFVlyD1tpe4p6bMPBjKEIj2qCOelZcBv4ud0HO6FnA8tyFVrMl9Dr1hE
lvCTCr01reZfaPIBbp3tVY6U36qrscp3v36f4s9fzR/f5zK//f6riUEtMmuZESx2zpMxbAkBp2sw
0C+4/3T62XqiN3WfkJ/F3k/D8pUaGYd5tXyJaC2BTzHTPigabTOO0tojOvRXqlFFkJpDtifjFu4i
6YjjjMT51A2iWteyve4rxl2i7hhstJTbaGYNfouWorXDsBjPPa2GoRQLGXdqqSBNig3krw59q3oe
2/QtjGuQX/UwfZrs7slEfAlmdg5fMfnS3YrPfRtysDrhO5u3lI89/fqa/flLxG6HUDFbKwwsrCA/
XrKs9dluWKUfRHYIuSjjIdgzYnV3YW1uf/1Sxj97LfYcrmUzpYck9NM6Paa67Bqr8oPenK1j183P
4JesU42Z9QnQDK1spE6ccrpqoq9M1oc1Y5ulRIkFdmjhqM6T4fCh2Opi+NNfvLkffTfLzUSXi81d
i7mHu+nnbR9kX6OwIS0xX82PU7R1be00y8e/uAI/71QWPh2toybcLpjNpvvTFVBmFnUM4Wn7BFzi
jYsIbJNhCm3GtklcBSAR7oaort9yaT+mw3RrNxY8ObJPrii7jZyLGmk4KTcuBFDE/vica/BKVeiK
v9hQ/LN36niCRZGvBX6dnx4uLepnPtqUZXpOxVMlwa+TUg0YgzWKsAKsnNjd6np48qCF/PoiLWm9
H573sNCIvzn4Z1mVEf9+/EYyjmnnKqqo6axdAPYujxjUPL8C6WneUWiM0U/+xUsa/+w1aYhdBCZW
WMy4P76mTxyIHJMNKEyGO1pXmU4wrDrWgj4aM2FrX3TvcdY/InG8pYnzZs5mvA61zy3dvutYq6pr
byy/gqM8GJW7TtKHX18S8acHMHEUZCc2uAvLkJ37j+9v1KRBkr3VAmZMAaLzLrTDbZhyu1Cd7KCi
zPD9+BIRCiKzHx+72fnUVGrctg5QXXgsNGaKO3Pov6ZxvC1GfRv1hNdoSLpA4NvRDMNSVWGer6t3
h/UWG2W07dHWDxR27eZaDMc0I3BVgG+Zxo5WI5vIC6kJYgavBn32COjbni44EUH76y2V/cUn5P6c
8YTr6HBsYYaxZEmp7P7xCpQJoATPiN2gwRhuFvYt8vPeLXsNDNmYc8pv1aax46t6jPK1EfJvKrtc
wbxvNm3U3LVquBMqZTFg5rlOMkErtmKBd4mBFfqLC1UlKHz8OIaFMtG07dKyNuGGIOY5OITCiuzs
RmIIkMrpiaxKfN3efW/5r4aZXDG4CrIcwkzKapCCKR90iDVzN3+JF5tZhy6iuiToeaOGXtzk+Xge
0/Sc5Zi0wEu89W0baJbFzKMcdm3rXFVatpOcQTajn5FZKIGwCmzsm5FRT6Xpxkof0OHaYgwmIxu3
sWjW1uhoOBUMcvT1+6Cimyp/cWkWTdqPX38Z/7TI0qficEgnh2ssRsqfngydU4bEXiz2Y+Zakipx
9321l6Byqv9DY5b/RrlsE5Acz7N/PUC5+ZIwQPl+dvLHj/yRxHZ/Y8DBVphezL9NSP5IYhtktPnH
NnSk8N+5qX9LYpu/2TxHv0tp/312QhKbJA8Db4ZzEO4Yxvw7sxNuRO7C75/dJLHxZ1rOMl8Q2H7M
H+/ShJGnh8QzbyEjSG1dFdAyVrgM9avYVfEGU5O/7Woj3KBWwkQ38yI8Y4rPtyw28pSltOiFo16E
ATkHH35VDTHSNFuXrBsrgdqZpc3G0Ugga/gVphSS0J6BjRxbeelP8gUsM4Z6s8oPiZXH+4KQ5r4r
evgwTRfvJWa3G9jboqUosu39wEZQZW2hbgNr4iS6AcukUuXB9HJxSjgl+6uuFs0mpKH5akhVJvHY
8MjnmDpqH9SCMH9Go/Q/Jz6mc10fvKvK/k/2zqNHciRNor+IA2pxDYaOyEit6kJkVmZTCyfpdJK/
fh+jewfdNYsezGEPCyzQt67KrBB0YZ/Zsyw91tAMIMnndAaAunVfO903SZDCc8PQ3lATvGrTdsBR
Cf9vTXA0e8n64l3NenqDDvoUEXwjkFQOZLLd9sN1Z2JEpkgeorZ3HzHdFzd6Ckx9pLIbiFNKCIBi
kcMwaRq3eh37UFtsIaTPm4C3bmPEWRJqoo2IZiTqoaUAMcwD/8avx+Jkxn3KhQgURtxQyuLW6UPk
OxnzzabYON4w/RiJdZ8TxHFMnjDtizClwxGMEELTMV9KtcNOt2aG7eRHkd0ZXJ+0hZGx4k0jjVMU
hiFWzag4PlDa4z8b8azfuRM424CoZ3DwGQR1Kz1bEELWSF2JX5rdR+0lShwUMJQTCRqTuAjC3G3t
l7TMlsIndVMSCmhOituohRmtSewVNQrU4uAEDO46qNNW6PZwCLbVhLGpG7FvQVAhbK9HPjMxKNrY
rTjss8ODRbzE5Gku6aBlP7SBEtKoIzZXZVRe8pKGAoJ44D83fedsnN4fz/RAD7c9kQU+ymDA6m8T
0e8ZyLXDo0/scAGNW+arBD/3UpM6ggKiWuOeenuXcCXSy9ppo3ovHa/Yl4GtEPzkML32OnYj4aTZ
fUdeZWNpSSw2WTpN8RkPRjxsZWEwyeOiGYUVCN8HGs78fe/lBMTyeNwySiOQHOXLitx49Q3j1Z6t
/hHEFEKlGrCTJS+1AjFZ59NwkT3vsdF52TtuBXnn1C1dRHZC9LutbvvRuJBnMda5HOf7nPQcPQga
bxnu3bAFSXcTAC4vdwVOS55qyqSJlbRIpBPpOKqjW7MlkkvqfAYOPjprW9PVt5dF7z3AsnPG8PVG
iWA8xA21qjQdemIvu9I+1+C9lgmP360AkUS3WYe1EEJKVJ3Ix7d4YJWR4pPUU+++SouOqFOb9KCy
Cu+mC4z2bTRt+PFG23AypnLXPTlNJMeD8s1OHghauUwaBsuffuAgSK3HzmdM01Fk8FWQIXXj0BCu
25x9vvsB2BoBqv5VIxszMtn3HAOk7gCZjDxarv+EmxYF56oWcDWdyUr5KOqcnk/p+eUx1fjxoW4M
03OC0kxnbl++kqu0y+MSq9qlTPyzcO4dmW0pLDWNFUu0nm88RxavRHnVTgYtRCUW+xcpGLcYVt9d
GKNX9Pg6jk9RuOvhxSbh/uVBaN112Glv8Mnm2yHRou1A4ffiZZmt29oYp0/ykUwpWw4hXts7+5Gn
iBW2ibd+1jdPKjUNWNP67EBMphm6/oqHvqYpyo2+M60j1OZxnmnVONCgqvODDRqXYzCdsz3uxthy
uqeUyZof2l7nx2GfYPt8mDrhDVxWutHdcmaYKenK8Nj0VcsxMc2qgo5hc6kSKJl4k6MpvcY8lJjg
Gb+bKQAbgujzUyaJ6kHtgq69spGBE47BduvuTKeKcV50QX4zOrXG9gJgr8H7QBJScp00qUTeTUE9
Q3JcCERFfFt0ZXFufci5mj2OXNbtmNYENp5VqbrmCPZr7pjNumo3ESq6icE3PDupiM89E99kRXKg
+SFbXg4kJh6JVaeAjq49KaxTrGk+rHyPBo4QNJ2X7fO4UmA/0nL6qdsCzXPIp+ATXK9R0uGZMkRo
vAQe2ST0KthBx+GEp5fTNIWAhwhW5SBjHzrP66hKACSZnCLQuLDsyKcH7GB1ld7STN2eVJkoVEqO
6QfVmLa6KWyCxJbj8hR0WnmqseruFU3yyFrZOOI8YpnUVdLTBCD7bVe0+ofo5wd7ACsKzi+Sj/qY
2xUBf1BdyGGth80fRlG3Mufc/WjjSS/W4JHd11Y6Mghtt8nifd7PQ8Koz50pIiFHQGCL2uVQn9T0
HePTe8bQqh77IO7zdT1M/aOL1+8keIZXo2baD0Yn7FcqvEvafCv72EHnWjlZu7Q0TzdzUNhjKF1g
1L6TQ+6Yj2bPA7vCNE0MrKgBG0jLJn8HHxzbQJqUHRQAPkpaoQUumS3kIK3a2YVt/cbBiZ6sRvPL
6d6KsQg4+LOWn677p9yg22eXkv5+zsaM9Q7JqW+Ool5uGG0p+luN8jUgboNJnrQIyr1RZTagaFhs
WKQ0Y4i4GUbRuHYTzmuARVrYWF3e8UHT1ZmVtxg+kn7jD13xvvAJb9tM66cVkwOXFO0wVZwhAgb3
ulfId0Go7VaaMw472iDwycZO94ijQvuA1eOYIdY3L93IOGah0YnAhglheBGahV3e8qrBDySa3u3d
RldjmCey++7w2FjrMlaxD2EvsL19PfWAcVqJN2Sp+YAClugJC7ZLDQlEgr5UNx5VFjP1C70LrdEx
mi8KZBl/c/+itDvBKBXaSvykb6rYNwtyQeKow891JTH0VyoDO9NMWY+A1ZBlevzuLAAHR8+GVy2l
/n1FTXd2Mxj1s6+4+BBGSmNjAzrIOZULFCK78iESSBFMHSK2sqh9mxeMRHslSgwSuMSYY5oiNFX2
q4jyINaUhUNRuCT8tlUuxV12JVVo0UKtKK4EC27Q8j2VOVyLGDy+sY0dU71NSQn5Is+NLN5omP1P
mu3Hz5KcxbcsesBf0cAAegMpiFBoemVqMPMQ6/lK2gAeAHVDdLYb4kVy6WNdsByDlNHLsKA6xALt
aF2izc0C8tAWpMcM24MD6T4n4tiRdsyqrb0gQGBMQgPJFzCI5YMIUWVl4wJYuCFpmXevKg3yDb2q
Y8i+z3pC0pL2wAU70scFCdEhVk8iwpZQ9NQNkogb3wOo8QWzcV18xm0JyWROEuvnWNahipbunXp+
Z5r5PaQ4RzXCRPsuMgdj5U8uPkF7gaUEV25KdGWo5GkCQW9KzImQWau/GVfeSiJq2CvziMnOWoAs
FArDZrGunBZqjTF/qIBLMQttlX82V6oLZjHiGHaNU8G9cl+wvDT7lu0i7NkDDiN0wQdyz+oFm75Y
OVd+TJdxylyQMsOVLiOupBmtu1JnrgSaaoHRAIhjEgi2A9jLAqthftW+mWgAzpo2J+27vXJt0B/4
2QvshhVIN0OpWw0MjgWHo0MvwMpjxNoaF3RwB6qvfUSUx9weuTkUUpAP4od7pex0TQZOkgPa9I4p
rvkp4yuR50rn4cHjYJgu0J7AlR1UqcE6M0sy78rR6J6BnZI6sa7MH2vB/1RAPil2WqBA9oIH4tsD
KahMgAbZ1Bal+3pOgxOaEZ0Beu2BrcqutCH9Sh7KOpjb5oIjKq5kIq3z4jcm6C62e0WVeXGlGPW1
BU2KI5vxARNXHrEcxjfKJEq8mvzlCHYlImEMho5U6BZjHs6EmK0WfNIUMeZeQTJstNV8JSwlC2yJ
RSL7yJTybgrqlCwEI7BMvGcQmgYfo9jQGwlJnivDCarOS7dgnXhYbXwhoJ6GxjKOxoJ/8hcQVOJI
tWFVxfN25USlV2aUceVHxfNEY/0VKhU0QGjaBTU1Sic7t40TmCvvyqIautb4tBZAFY7iOEy13Nw2
MPVI+lQNWvx4aiPibmKBXAVWUtxa2Vzd1Z6bmYwusZMEHSYSuKPES5gGhA6L5EdApdOq9qXzIwXJ
+Dle+VrNFbUVVNlns+C3ZsgEj7I08jcTatIjjeHc//AsiQt24kjtTKOCJoXPvM9DHiwIX73ukCZa
sF8mj8VmLBVpdV3bK3oswqp6nKx5garwuu9xMVCIYzfWsJZe4J2mK2OM8HHx0i3gsXHmcLGGJw2P
DEpk8uUukDKCkv5GLOCyqrXmmI42cGZxH8g7d0GcFQvsjEaJ4pH1gk4qqFTEpRYs2rC0gPWKDXea
p+HJVMSC+EAjrl/vXsZqOwZ2/Ahc6d9I5r/ODLCJ6OgIKE1o9FQP/DKfaBxHeUVJLlb41FetfI+5
/Vi72ok8FybgIoiWyME/BZe739WKP9eg/6pvof9jAkFlDHSkencpoPnzEMm3+Citpp8p3jOye3J9
/cVOlngkCfVjyiRyZywR27//pb8K0MvLtKhS9XGpkiuwfhG9zdSoZ+x/404lcXHmXNPfoaSieetZ
8tTMtOlxCaTxAJTH73Le/6fK/01Dp4n7CPnqn9+Mf8Ej3skvRP3vtp3+Isf9/tf+kOMIf9MNsQhv
Dis/zqR/WpkoK+KyhuxG7RDTruX//LeViQS6bTJwMw2HaIppI5L9YWUy9H8w5DfQCC2yKsTW/6Mw
+fJF/YsYx8rvIxeyJdHcwdH9r19kpwkmXTZScIZx3iO41Z3PEYFqdI9KIe5IuVggtoF3birr55/e
qf/hGfqXp/aXX/3LINbMDC/P9U5sAhuEc5x0Odz1ed/k0acShv9vhgPm8kr+/EqXgRoNRJx48e3Y
5lJ4+udHNosGjKg2GGmIKTZZswinKuIQWQ4z305dA3cky3Z80mJTFNLfBN7ghXmjO5RhyDcibgIo
WvwCGftu6r0bJxtpbKOjuNejVyEik7eqT3F3ZycDqOvm798rzG//8s9n+Or7DiYmx+QL9cuKY7Yl
2JxB2Bsn7xlqWBaAlhoRj63VXs5Vs4MdbIJUjT52F8gsfbQj59ak+o5JKnu0LsVbji86zHz9XbOr
c2LZQGKg5HkEKsAlHDCh4XBV/FmzVERXlxRfrCioqhOMDf4kDrEw9Set0vHMRkW7hya/noZ45c33
U62HGbDuwUkebCfbx5P67Bhc5Cqh0g7yVzRQfpzm9/izH5piwgXwNS0ReUJIP8Z0nHfeRLCcc7N3
U7cBR3KjyQ+BL+UB7wV1Ud3SUOHzYkYoxHZrWDvqTuInN9fvK5zlrPH8Zgv2yNmMx+kjK3tvV9MZ
hb+uZ6OklWpli4rtmLlRu7YNmd5OhHZWdqHAAno5u5zHdYzqo+Bok9g/+/4SHwmy7k5hkicG2FXH
vqv9H5ZuemQG0/rWJzjN8XTRn9HZfiBRBBtHJeYnCLfhG3q+fhyME5QmdVGEZ6DV+l23zay83pJq
m4+V5FfoCyJtqCCXVV7zlabZVxrX7gE4FBgdU6gtfTP3WtcATZySY5QX76Qxj4K4L6QrTi98NE43
tXuj4y80GcBIVUbZmu1Q3HAB24yyfgKaUp3//gtpLir9nx8njhrIKK6FDZPjoPerny6Ia0M0/WRs
ZFFUFKzQjgCVSfRJHlZ+3KBUONZTmprjeU6k9iOJnEXh9QVyUkprue9ZzzDIw3mR7JSU/vdY+dOj
levFrqMNK3SDTicRVeevAI0ll8tI/+36Ev5/U/u3m1qgs7r83aZWZR+ff93Qrn/lD28uWUp2C77n
FtNU+oFZ2H+fL0FHYYWihBoPGo5LfXHt/rGhWcyXDCyzAYN7trTl6/LHfmYG7IKc3fiLnKcwKpn/
yXiJMdYvX0z2U5fddKkGdPhvMQH/eZ2P4ziHpmhWOymHbt8aufyoUpdqM268d1ahdSclcIIXml2f
qsFPsF9V8aEdqSwI9IqgCKrpi0/G5Sto6XfBlK5tPQZqTACy8aTlVYKPChAi6mp0tEsGPfE4f5BY
v6vpZrEkDbfuWJ40jfggT7G3AqtIm2iQIpRzMUDzeDFr+yuyZWgN1E/kXSN2JlgnNEadOa1o2Hsn
00/RPj3juXBSgBQCU88RabS6AS4333LKLH/CqNPDxSPxOaVc4Ph96pbtXNua0Cp51ly4i0RR4c3T
OBPaE8PlNojyHw5o2nU881ujkn4t2JxF8zXo5EMQdONXG+LEQatqi4JXKDCiKu8BhdQfOaysY2ZM
JRccf7yV9KPBS3FGi4gh0jFIv1HeJUAh9lruVqc6VvKBFIuzoHKp6aHHyHyeEDXjdhwfUwJxly6x
GabhvN3BK7lDkB+e+0CPv0WRtm+pq+z7knEZnSp+cJf6wiL4AFajdKP0EZ+JSRZ+eoH5JO4SiupY
OoSztL+Szyuj9EwZU/WiGBQioetLJ0fMOAeiWytE9qFEk16SxEcopEnCIIyhvOGR1Z5AVpN8R8Sw
wjldaIvSFW9uOlHMC5vupzsDEskmf157wfiamM0+TxxMSnRAp41h3A/QWDapD+uRLrTgzaZC+WxM
jX0iULhE1+fii4kAMLicclrIoIlzmWhnvlRzs2zR2Dp/No4Uu8anvKAbuU3lSauOlN9EF1VU4G7R
7MLe8I0D9BLzBvrmd9SeDPONdix9g1M9eETMrY+F03XrmRk8gJcMWMYcT5QIlFpT0XloQJSP3Tq/
BMmMdV2bp2cTduZtVTDojO1avBrdTAoUNCI9PGQ1J1MM1ImXbWh5g1pLgw9oBX4mWEpl23qV1E23
15PIWtML0oPjdH/D+ObTv0OhtjBFsHV7xklARcdDzy5z4aZDnpkSwiB3iFfSrLhlD/OeArQpxsJl
8eEmGjavLrXS0AHuj+CM1Je1CF9inqbtXBFdHSeoZNqkC9TuWt+ArOUYCWTupnTraW8K6e2KTC8P
5ezdVmO7Ky2wxp4/NzeRH9lrh/CQ07srbxqb3QzOsMEz1GaEYtBXQ2XWn2Akd4hV6Qn1yV81Us/v
0bNTRGHq/3IEPNvIbRpXljEDrVP4nHT/PU/HaUAprIZ7IxXqwQUJTWDos5pj4nXduau8n9lQuXcz
Hpp9oy1tfkYZsfgsP5EiMStUhirCZn5Qnf1AFAvdt2j7NYfM6TEOKMayFBxHRgYiHNPyy3LqC/BF
GsNJ/YSGdMnMuI2kewmMjm7k867NXZ0pADp7PVXGiTFqf6ypyNvIvvG+exxt9Hm71g3yLg8Tx+hN
hILyCLaad3W0TRaPYAy7YRBhTasfyJui2vjGtCQcIPi+xjQpHSwvw8+dc8LhIF4fR09LQy8fut1Q
Z8DqameMVyBpuZ/OoEiJQs53fjw7W7SvbhVZsUe6eRrXBMWj1ZQ7SegAuwVklfS7PBBEpyKPAtVJ
cmqVJJtwMVufDRY5wZ+upzPCIrxivR+PEC6iV8SqORzIWJ3JIFHZJsbqWBXKJ28UVJ+K6NuJk5pO
jinXH3jIsaxhGIjgXgo3xfejrGf394qMpS0jvxZnRHbiX7qYhW+TpHSrZQNC9Ri58dcYlM+WEmID
3HinFQZd6Hm3Z8LirdkwnLeh0u5lpy5TyiuneScZ0mqR8Wn3wMqZvbVL5UdZ+FmYTfA8aqC766gt
gmmVwYdBFE06CmQlzz/gGgKcNIn0lQOLxis2uc6gJomBONFvtqKA6Cwzh/4hCxkrt+xTNtPGhB3k
sZqH8eRcS0qcyu4fE402H2ZqXzka2l7VsbGOouGG1Og93Sj2Os80AHv+0IYpoOBtj/F1B3mq2VkO
K7iztKSMEV4jWXLaZWBznwzeMyDgPgAKQLmKkTfTW5OxbADJLjNnP7gRxYNLJYsOtYlCmnZH1cvi
GKC0JeUE/wD2cjjx08PCH/bRQGQ2Z9Uv0idUkYtZxpt6KX8pi7jcIFzqK2ephkmWkhiIONlxrHP7
AJID/jev/NVZamU6K8OQJfz8wC6xr/qoeYxBYO0mISMnNAb4llgO6KcZl6Ya4U79rUeD2Kmm1eqb
qbtGk9W4bIMTl4yl5abjwr72Zig7Hak03G5y4+ryTdKQAyNoKRmcL0YZc41JTLZZyEDUTxFCC0Ra
w9fKWFRHQz9CZYtXyurO2BnCcqnjMRMadezM2sHr3LX4qla9yKwGAx5pQ2PuDy1u/nH0m7PJqAHH
QfZtdFPgbN2KwRHTELN9pPtbnBv/2xst9VvqTdFFjECtVOSYJwcYYbUbrm1Cda36j5lt6DuDHLoG
blncwR9uFrjSKNjesmF+KpfCIsDVdBcFUw6fSxWpuJ8ATK6nBo+NthQeOX3ZOqvUnPQXlp4lpUl7
ZScqur/MSe10E6V79gt/LVWbhZORuI9anowwj6a53LnwZ5K1lXRPTaKxSQv/1tdgFK2gxEDw96Ba
1hxRYr35hgswPjWlVwDY8dyttAt2b8sqg3vcRC+jN9zR/E09UJVcEEe3rvSbVW/JN3C2zy3Xt5VV
5dY9ukq9xeM/bdn2qHG5VkwxqfTesqV3ip6FQ+zkP7PE3ln1gnhPT33q7VWvJCNGm5vObJdw8nIL
ZB7oIt72bFNnTr01dEr6HHkHGvMh15OfbGgvOD2+OsfeAel0Ls2C34sNOwjdjESEQ/adfZdTWJRs
HFhA68ydp5ums/UwwuOwtiZbXDDUbwvmYMkabHi3DhJbAj4G+ec1AvqfxnRjneGJfGL59c/TFUrT
L3wajvDVwTA4ddrJRa/z9KQtdU/pwrQRdCTfc4qbHuuswDU4KEAHPs7dMvuicYr9ZrTlSfJBh6KQ
gJK7GhQHmcvOIWrrdCYYtMYKjpGZ9mt4GOOeCKwe1q32kTGR2k+Cqhnk6IXdJdwNfgdkis4d1/Wc
OOdORQbkfVscsU8AVq1VTAdbdiq1UbyDdfNeiPr4AL1wt6xyGiyIzvT+Q4u4extEBkznrP7wC2oJ
naCFA8buA0jDPeA7AS8r+jeBH0oMtbNOTYIuU7kUvufZMdIN7dVJS/+tKpW2SUWiPVd2uwbkyw0e
oAUdfbx13yNdQhtOlO69wlMTjgwlmGcxYTzCRi/I6uFBwaC9t1Tv8qaW8TmKtebO89mk4rogglLJ
V0JVdIOkfvtOwR32GEcs41NXaCw8lFrgJuq2Bo2ifHcI3yZTGUHfD6hvA4IWzo7t7JpBRs8VZNF7
oun+WiQierDahurDNG4OnMHUQ20W1Wsbtxg7S4W1CXDVg6mV+mpI++KrLg1vRy1e9VvAJGE3qsYO
fcEJGtuBfQYyCVBk1qryIzXT5OwMc+asDAwwJ7Lh6WMcc8pjuCfSl476IJbaBi+ajOKLUej6LrZK
/WJ4CE6S7jic3l13iJZeVN2r4h+VPRuriDnSWmmq/LKFDC6a3zgvk2Fo5K2VuwJWRj1bRxNfzrz3
scaVfFS+L9jyjHTgrWcGxewz3fDEZGHXLZtrldx3mb2d8bRzYOu6F1rv7L3WjeriWYzUXSWqi931
3amkbWYzR9G3olL5CsRyt1UxcXQbrWiLDuZTjdjixwCA86Bmt9uMvSFOcZe5nD9dZz/1Dgw3h+1t
LuPgu+kjcx1wATwkk1/funGaXqAIpnvH7jmQ25U41oBD2TXsYEvij8GRmd7lmqJvOOZk7oMQwetj
MLkxwdibc3tb6gnlJ6NDAMbr4YvNOfJhYwYHQOTW2VFt/hsvVGyigApqgJOIbkVfR8Sap9+caP7Z
l/m08nVcKo3yY6xMIyyxwFgye1C1yqKKTlESX4Y85+QIZcNspnyNN3Og+9dJX1Mtm9ZqLt5rfwBJ
F2fezUKkKYm5bysMJmFtduq0XPIT2ry+haIJzS9BpPXBtImggKybSWQvSWJSjOJRI7tOeObWxcAs
GnIZzAzZGmebI1goTLN6jjnAR9zlhpdYd1wiLvpjNsXR1o62vop2Ri7yY1QO95ly115Ml0o0cSTX
dSgPxkSp6yy2fWyOTBbH28zuPvl60v1CRPUia8g8kAG7teiFx53btXftjAi7yvUKAKPFF7WI4By2
mXsri+R9TvRLzPq5KXRTX84GKQAaTdsMjWZuuOdFe5+Axzq30/Z+aIp0jSdT7IcumDeas2AAnS47
GgOjVDGU/q2cJ3vXYU0jwRTfDJ5FSwin0Zj2OmlQQYB6toZKYdLIUC8o4zkwX+FFhuPigxIFCKWi
ph2nbjQmfLmzT+pz7vu0XcWDOqPl+UzktHF47Jysei8jOtWxORkR9fTVrK2ixBsx6iRi1EHtZPdl
a2gPsKTKnvo7ewAPCai155jpDJe6zKtL1mfGD3bA9kKWkmsu9dEhNWfCX8102eFs04I3CbPgBdKJ
vRED95ZVn07cT8uKEuqKiiQY80G/85rYxSg65sepd+XBmWrnwRpteychzfx0W1oXsLfI9L3GFoN5
oJzBtjU8jAOLJ29NcIpILBwAK/n7wFQ4n1w7p5+y61GsW5uuQV29DFTKPfZC2Rf65ClINqp6Xrl6
e2vxmd4DDeUfA0r+JTbVd1Nk5oabEPWm+mDcAj0FfD9GWI8sa0A3cBYvFkPsW3ZbY1PaQ86VIwFa
P2lnLQN2mxcE5Og7TVaBIbTFlRoQzEsdNJ4547HVm8B79IpRw5psKg7cdXmjl/oGEyPO3thhxRpi
eOETYPegtagK6uun0c0/2obK5inVVplKv3JY2wdPtKB6AClA4aWYwhpfOy4/Ps8wTOLpRgbTD1i3
2jEli3H/v6J7/l9yzBPp/1tF8+Ej++j65KP6i6j5+9/6Q9SEEOC5HsmexeBuLaGr3zVNN/iHTQ5+
CZYs6XF/Icf9t6ap/2NhCvyPUDnrH8jj2Okdy4ILrhMW+g/ay0DR/SJqGqSrmHH7TLc9y8PY/1dR
s9abUcMx2231kn6HnRaNXXRjFg7p6S5gXIDk7tYrTGOduwuyDKCpYMJQrUsuD5euDUBllGbsn8yB
jnBljdbZFUEOG39qWqyeqsW5NXMrhmIvS1PSlDBupZdZdDwIT/W7qbVQ4oahmTe4yzQVSupObmSr
2haTUeUegBxR2ydlCT/fhcbzPqfjqDgckvTe+JzYWgTCEjKbXkXxefQH99PCV7WJvUDhUQ+oKc6N
+UZovrYpqRKDogUkrREyfxhIa/4cTF37mCq49M9wzdzPMu+rN3jYcYtWKhfbuEPRzza2uxgt08te
CyJiNFroJtMtGqBzfwdqYHzsdEiR4IVa86xjZ36fpiZaN/M0vtNaMioahfXmkiLU6uuyMrKBqGE/
Mwc0oXati57E79rFhV6shpIq5NXQGmBCqcJsbll4KQiYDBm8N7VhxR965TPHonhNyzeKOSoeQ4ID
REcN593vDeL3vUpI6NgBz3nXWQWcpJIehrXmBYN18uk+ZvCFf804wBBuQ3s5V0rZIzqYfd/xAliv
IM6NbbkV5AM+rV5ieoSdfYc+Z38lhjE+B9CN8D+xf1Yrhcfm2FAXUUP+VSPkWNW8MNeC8EdQih5Q
R0JBgaaMr0efpfOS0HH0IkSTx2sxB1AMxWzXD4YbZ4LG9W58GVRf3IHXS+6XtgRCqFMf7Gl+6XaW
PsZvWTwuZmiT/h5/nVZytODbkuhEdhrao2soQwvx8GjGFoPWZO5pzsw+nI6BIcmNPLZOBn4lXFno
8HxmBjkuBGH9qRMDTrHId6dmxeFQDFwSlw6UfvIQMAO2qhdJcnAOZaHGd6a+/jlLgyDneNRGNGZg
W2n4wsKp4SjkKkQm0pLWDs5vy21Mcefe9KKEX0zbz7Czs0CeuY+Zi4LjP+cZEC6Kp/itWtWVJXVw
5XwXZRjWIR8LKoyCztqnwrXuKKrsT+OgJ+2u6EiBrwxAgu9Q3POT52mRxnkASFLT697aqLjwbtHf
+mMa0Zkd6iNowtapaLqravc9iDMm4qWRGkhwUoubNdeDQIVWYxawjc2W6lJywltEB7nVax1UODFl
ygK558cP9mwGciWSLHjTVSpeQXz4n+7g2yBUB3rfdY0fTpI0hwvlv8oh9YuwtrhRTL1hf3g0pem3
sc1YEo1KwSYLxkLewpdS0zqHx3psBxu03Fxwb9tyRZFvTp10nzDuuFMW3BGKXcs6kG3NfJbWPp/M
yVnFrr40zmOylysMchiXoYUrJ6xTj4hNgu0B+JQbLDBth3amTZpbXYlaz046zaNtrM3GbBfYFJYk
6vL8ZYit9xO9HXqQE7HnC/tR21r6kWuNRltDkBRfaD7GNgti61zxhHOH1rvkZ+sSXvW8xtmNAB5e
kkDSVUontf2zlWV260+ea5/G2U3bS8xR84c2V/ACKtJ0hl4HZx8D6DPfqKX8JeBbWbVzvWUzmd5z
ORUXEfu6CjFSUqUo8tjc4W+uGBN7w8+sxRQPTVuEE/e/TZWMOKRkZkiuL70xuOe4cOdHFhunfCKK
Q6Qw0/yLGfOF4Joo2iN8q/wtnSzGSxSWeN5KL0rtFZiovOSUDaHBo++v/IwayxVH44KiZC8+67pZ
f/UWREbW9pS2Ch8fhv9iA+cG36aXlrZlcDZ5O7tqecyU7eiAShYC/E3rTf3ei2rnyY+MwlgbSqIV
LKRvG8xktemyOjlZTvoj7o1ybxUpFxyzkR/FKJtHqQYbFOmE8jE62qPNclbirhPYxsHpkVGIg8Lc
yGkePrA2W+4+Ha3qjokAuZ4BOxkTj945eIWY3/rCY6Zh1MrfGFRwVfs26u2ULqhydPizUfqC2gBr
UiZ+sSVOYx3y0aReJrdnzp+m0o0vdEzvFou79UPThvLOhGEO5H2UL0U8+inlhgyR+MdzpltZjqp+
ZEU57okijFS4qyb9cnGZ0/nV1v5Gm0mohANNXN5TrMnhN7ikJtmdshQ/nNb2WmCAXUsUOAMEhI2U
Crh0jBxmBDVA0AI8Js3Bw0RexJmjO9kOs76BeBYPa6KnrFq2ZpAOo1WCjTuP9vrMpcgsAzoFg0g9
UkIwnkzNNPexHJInQsgJJAp/2DREtPAL9PK9m5BcVnEJ+oJoRMm1f3kONUIhXsW9v7Vue+E+yMIb
15YrXusY308UI/fQpO7TTu1EJ0o8JfTwzv4a6W05xEngh2RIaZ8ammltTyk0dK6vYHW+nTH97GNb
2xlpUa+XUgnEaCRrGqVBhL/2OReuTQ3pn34Epwtwm9S2sg60YKD1InllzUHZEdoe1n4y7ZYGrnwN
lRTwWIzbfd6ORDNGEKD+V12LGmKn0RsvSeNrNHuDyHP2Kqc/7YKzuPqKyMVhWh446thJUfbLVa4+
233GCCnQl/RFpm3MgcYMmSA944z017RLoLQVVpodIGfomwQQ+0PuABd0hui/2DuTHsmNLUv/lUbv
+WCcyUXXwkmfPeYxY0NETqRxNM7Dr++PT+p6maGUhLcpVAG9EZCSIj2cg9m1e8/5Th5Gg599QRNt
fPdk1H3KPbMNp2VuP2u1WQW0FiyJtRf7xMayI+faZbIC6WEsdaYIOQw50ZQZ4Im00rQnK5F5vYnG
QVaBh/q8DI1aDst1vfrdtgUPDI5jRTQm7LbO1LfA/Kejkpp5XeureD6fTKCNld6biHY5Yx79xWy/
easaqXCIU17xG/mxKADdBqwIg7szJ+HdLAukys1SNv7VuCj/QnAi0tFO75PPhWrNk900WraJcCB8
VkbnUKj41fyG7qVLwxmDjR8w/YUn3GM3cPccpsjI6gSK72OMlHRfzIArOT536ZVO/Ia56TPTJZ9+
ck5ZgSkN3SvH28ox2meKKFyBwGGML209N6991SWnHMhCEpaGZ8gNm9J0HaMIYidhHk9wkG5H+qY1
9fSmd3U4mKZjd6FytGQJ9axrnAtHsOJoA9rD7MFitxvHZt39OKDnbKuCz8NSulzZOa9pMCFmCAs7
p9kHEv6Z7CPXRbwrq6OnuTSFx7pPDyVTprshVXFFcocBjZLQXYoC5kOzvGn0KL6a0rZhnm+01C+O
X98ZkJTuo7Zx8acaTscEZFho5Re9wXMyrFGXmZn3AshlGjb0P8KhS3DFaRSmd3Zsj+c+4vIEwNxB
+LKM28/ZSFXMkpHMiol2mdVb8M5e8RLbafUNdZghgQESiYpka62O0kQtRLP3Xf5OoUCC1zDhD/SU
asWmqrt54bXxGaMAxXcJna1TWiss0HPHhCLpnrPIIuYJHkp305NieC77YdjyCjTfit7W78dsSNpQ
V35+lyyT9mTUwn82oHzujcH3v/XmIJ5moNBnz7a1T7OINEYydbrcjVXaf2L9pVyw6o7QqMJr0z2G
BTw5YyG8oyjj+aWSM8agnj3mBfkJ6WxWZuUFi4BIsz28QeZ0lm/mbRCbGAWolAVzH8Hczdu0KMYh
X1P9nxx3QHJUDYl5lK3h5Lta0PiiJcHutrGSpJ6Jrk9ieVo6cqvs3kLh1lvkQm8kkZ9aSHyn/31g
pvClbWhMoofsycloOUs9w6ZKkgCf0dToe8IyCbTi6SVGAUcx9khTS1W6s5dxHLC8l5WvvZN34B5m
ou08IG5AqtJjUqYLnoxl4LgTIrKpvFfGBLp3b1fUJXufJw1GTDbptrtJo/7dLgFkzjEE6rHTGG1M
ubuNDavS9lNpOdCDHfwV/YJf6ZJgRsKpZFqDuWZeULCalYtG3LMfBfvNcsqiObrLfGqC27yHzx+z
I/gAUHOLWfs+Yaqfbwu4dVtDAOkzA7MYhpXpjbOaMViZ1HV9lSwktt2oSvZIY3RVWNfwQMroZIP2
T2680e1xsUJCGA/wcLuQfJLyDhNqrWF3piZ5nOm+kbJbz7a5a6clkUdGijJ9pbvdFAecr4z5VebN
7VuxzOLdl2nmrPNfO3rLnLiMaDrGukuR1JkRsbxyxL8KS6ilzGymWga6MROGEMazId5MZ0BE33TN
2Ac10JowkvbsX9i+6/EA7RT4N/TaZmsQr3EAopHtO/wyaCciZ3pIyq5Yae5OKnYJDXhvU1p9nF5V
0DEBjxR61W27DB51rSWDFnbx6OxnDH5k9DRoYnYKF3Qd+GXkRqey7ufa2MjOEMiEKjiiW00jrfPT
lFFuq3qai6t81f3ixcZOjc8Fcb86laKc/UPk+au+3i7c5JlNymmP1tSVlDliJDJiNHH8g85th+Ip
cWYr/azzDld3cd/NQO8UDnBGCPjoROsMRJ/6/qeU4s7aNDMqgLDl65AG2siZjMGYycw50ZgQbMk1
dC3mBC4xE0ZTO3QSG+2MseiTnzIo2dSw+iDlKvZEK1JvmjnRMMYhepu28X061KCyGplB/EKvji1h
MYd0n02OwpwEsuhs4BwjMRwr6ncEN5px1HH/augwR+z2XZ7MX+a4MU1E7fAzqO2H9lTXQ//QY8AN
CKEEX2rYaJIGs9aszWjl930MWS8kJzc7xxNvLFULisMw8uB1k7scD59b1wOuiiJNOOxC5LTTBuRc
c5Btg5GjHSANtUTscj+8dSaS4zK7mR0zN64QiA1xyE+TIYpcSWhhDcq1ZGxILF5A03d1uZbu15ql
X26n2mifWgQkvF6pat4LzSmPGimAgAbd6OKqvO0DEnZ0Z5PHdpOHS2GbNzZZu/fMiq29JE31mDJZ
XT6bOpfDGZ0GH8bUPXLl/YPlx+R0dGTqVttxaY9KlNN73Ir4eZ5l9zKDL0j3eqobp8HU3WMP/AB1
m4cXI84GVwUZzi4RuBW0kXAcbEWQUp1qoLb7HrHOYtLt32l8sWdiOfyzx3Cy2EwZk2OkwaQm0f/v
/LBtIqcmkl0S9bzIVAzh2HsRK3btO79poP/L9JrrB32pFBFBcdL998jEAJKyhrv9uRTz8b2Q+f+6
fv/a/9i5/P3HfvcXiH8AW6MpaED/80Fn/ctf4PwDXSVJdHhkvd+bmv/PX2D+w/KJyUH65iPeBab0
n3pM7x8oKFGYI5LHOcnQyvl3Wpcf/QVAsgyAWaZh82kYyVYYyA+0taY2vR6kb7NlWQf4W9BQ1Oq3
wiLkt6GCBEx1slj9cfVnyeaHK/ULf8HqH/hZocyXEODofBt5phAf/AVZ1BpFNmrdtolaMEaLKi85
aMTzX3+K8wEG61qegNSFU4wrT1Igl/Pnr0j7SqQjL/NWX/M9ow6NvdYlc9BMLWFSSODojKTGhYU5
2fdKSGziuvjCgh5vfTVBOEk6C6gQWdDT9WAzZ5mWyT7TR8CrZgNBrhtWGNm0JBrIlnlrM0NuiHBa
zodIKHRCyr2juLezK7VaNQETPJr0TwIwd/yF7lIR00NhcWNVTG7D3iFgm+Ubq0KGHsyGw5Lj+uoY
8LbmtWst2iNKBiokVZjLHdQ144J9QHt0sfCjNq38m9HEDu/idMH5vjbmNG1+SiXOhNqN8o2eToSX
5U6/Z+Gyzz6diL0NqOC4rFAtJJyaRgHuJlp2sNzauLh4Ltuw0WSP6rS2K/NcUy1CWoXpuI8llTKC
MCcjjXn23pDt4fXMDGXc0yCKVdAyiGKf0LhqrTkf5gGoe4eEjDNgnRR36FuHb0U0i0/0a1rOXrZW
zoGg4FEBI6fxdQ2mzTZUqsVDabYvfa3ZMPGRq/pGd/ZK6+yTd3uI06Y9DER57oFbvDm98K9Eb02E
NfXYTPO+7XF/ZGkvz05KGw6zwDRd97SguFlZBjx+goCB7XBveLHXB2ntVZeS6fgRuSx9kiEZH2Oz
SgHVkyIiAZ7u2pY++NJzu1s9E+956YgtQsI2Cny3mPaZ5t8UpERc6OHHu0w16sqEBlXhFyqxvVIl
uFrrHfQOcYrP+2mTidbrl1mOiaLNW0DGSMdIIWRE/pE3xbLze8AAsQuEHV2pvxss2LZO17cvTqx7
L6tR50qlimc6ts+eDsmpXZ9zEC55QO1vXZlz4z8OkGGwkvRdOLZVuzUFJDBEWIpuXw32hTvYPrpI
TX0itprsAdyrr4fDiqol88LXUBNlVa33CIrl+JZ6vanvlIOokkssyjrM2gEuYqKPNgyxZSlozYyG
NexgtJBIXbrm55J8rnthltQ6LrSc/bx6CkYzcr8tnNse3LH1n9bWOZrB1ZSQrvYE2RfWo4lCkliX
aqpdjHyZTztuGqAJRoMdjTtd0+o98FXQYKOQpG5NGWSFI57j8bOaJ2SnA+PdS9rojf6GIZbURdIc
A9Ylr+a9dtLP7dTkt6SSMYuP+/yxlYZ9gAhybEv6FV4+fl/Wmr5opnGXlab5ndYQZhBwNIc5tuVV
nfXJcWlgIuiRopMf1+aAiDZRZ2FLNu5+0rsnZzT8L2lkRketcpgi2BQaJWbABHQPKbuZqNM6lEgw
rxYdzhL+3+YFgB9j8H7UkQgt9nu0DOWuHyv53QCnvUU8Ud6X2uAhz/D19yJenFu9X2BaJxGXcPLa
J06L1T4fWnHpsLe/JqldP1epaT7hYrSOSUt3XVEoRAQdDaRs9n027lXbQnyiGzIR1AMgpPlCp5DM
lMRsyBYs0tyzngxkM6TN8ZOvzRLtIw5c36PIdNyDhWFt2eoJQtQDDtOF5HWZQlJ1KgivCX0Nn7rZ
C0mNYCIei5rDjT3N0CYYbEMXTgf5zpM2zZsySmYWJNeXItQkqzF8INQUCfLRdOfC2ixDc4WM9G7t
+pdOzcVpMWedOp9g+ZiZvOEdI5Qeb7Zm+/TtluFYCzd6aU2jARGpDaMWwmqT2hZZJa8NHu3oncqc
PmyEKPWMb3t87tOyc48RZ5eIWjJb7nTUMLSWzQSffSyn9zKd1HWHANQ4JYXnbweNkBggFUY4x1yY
csi1h7I31TfUwQPaWiItR9cgz0D0PZIjtMxEBDhzUb7y8CNBRqzJkJ+2im/us6hjQtXbNU3Zehwc
pJVu3bVBjxWM3tGo9E+TGsy1OZHpq6e8tDZOX3eftBJp8tbNlPVSWEq81jKWgagX44vsOyMwrQVK
Yrc0O0Ei4M1IH/9rS5DgNTJcP0U/2gnY04jpSbRZVvxKzOkw4H+TZ/rUNOwIPTcfUQNDUxktXvpN
ZXU1x+eGXwBiVrZKNhd6mqMOlWYTZ2mhEQKdKYTuYGDEBp6qzPfgi0owD7HdFwFOz2XaeXRRtD3y
cA/X+7rv4Basntl6ojgkWsHtg2oa1BPxPgsJ4am/45YhBU+9bmdlAPkQN7Lh0YH3N6J2u9NQDVjA
8sTUuqCoivKWwh+GksXrgJrDRQI727dtRLMAxYBr3qRIH645ECCzB5Z7ITqHFgktnnPh1+M+yegr
bZj+pqRJQqEkmRCC+D1RQrpDS3FpV3LXKNYXHa0kIAljGwvf+5rCcCatdZY+HKrMb783BPrR5EOj
iNKW6FvOBNRbwNCSV1QPVkgOVnenZaAOOme6TYCT3S/ZGD/rnU0cLglIQdQIhnAqMei0lIUdJK7f
XNokTm5aqKJEijma9QS+bfgykM3IOyMbF45APE8bFJ5iAUphio1p2c2VtyTwz8stjRE25L5u95ao
FBWEkTwOUzpeD4vihxOrzq4NAlAZXubmtTXpDhEOiMjvp64TG9qO4gwkHTlWUWwGmDeMDIeNttI1
qMl2UsQlqDbzizUQVclB6SabY7EpSMxCU6v4PH7Q2Q1R4Z5QMld7GDVGUCiV7LDHj+uYpPRuxwTP
4MZpdbMIM0y5FedDVZ0r9Div7HIobyoeKuogCqHvhKcv1xhHicv0pLaQgps69DpNAC600viFsC4W
qLYMqC8b2fbNN4YbXre3PNl96b0E3EzRDZzrhkapA1JIQrHycgAL4uVSBWnhzjZLq42U1scgMB5X
GxN/NdYdcB9FXzJDmetzO3dLHwy51XqUfDb7oepl/9Ih03zB6ZQT4OTRSFhLFWfTOT1zSOF5ltym
tXC+LCpz7yxIS886KeVxQGZytsJBiMboDKqvbdOK6qmOixY2HYbgjkvq+7d1q5brTDTDoSld67fz
qDCM9AYmhfc6ISwWwaT3DAAyz5nUMZqkhb6mcPhNhtVxHKzTHrmpbSTIfoYAkUg3owAcQSLQA04x
m1FFO9EgJGZN2AcxVc2l1/yk3c5xVV2StFDfOzfmY5iMTsN6X5iwRW2CnAHPGosYSle7vTT1mI83
ZWGRatcwnSmDnF4WkfWxNkc3sZi8MkwBD8EimxcuUJr5EukXBbG9s0GWPAxkWmunPnKZQaaDYQwn
36kHb6djrLj2qtw/9YObe5Q9YqICdkgVI0o2OymU3i3VmuFhzR+NFzcRDt1MPx1OuoXysNATrJEs
OhlLeuY+oUMYyjNiIQwNBALUI60/1CUhysGGklVN6ryUOUgf4DtTGGkLbVtXUEZtCT5tCWPj5DDA
hnAYgXNP/OaUzFH0kudD+gzhdJD4MKGjHm0SfI55BSwA4Zf2TehpRDtQRz0i2FWO80QrIKi8JH1l
AAygkKZM98LdVleWvqQ5/S6zO9os5oeozY0zSHFG7nbUXYCY55h1orVBwFffzvwSPSNca7pWg50n
oZvEUQsSsJ37UPm1/QjIjpnv35z69I/+P86yvtAdHNCch0mV4Hz944mT8XrX59LqtpEuciY48edS
lg+0qV5Nv3gAB8bG6iJfpMh8a5G5/6au+lMM/x+yDdbPJ4GSs6Dg3EmW2M+fT9DiYIyLhc4gZpjU
Dz2hhq5mat7BSnBTBNlAYODG8Mvka8nGYeArrHO0AcwPX/Vpto+zVvYXRxXdfYYL52r9MoFjCQOq
G4YKhCgKNi0d0KBnx+puadBW0e6fh9r/slbLj52W//gfJCRb+yTcrz/vxzzILJPFT72Y337k916M
R8woyZ8WVGrbQq7Fw/ebjMyjraILxxCYYEko4N//3okxPJJu+Bc++iLdXgkR/9mJMVxaMT6eMbAm
a2YpnZ1/Q0Sm/9yK4XhiwVy1GetQO9AVsT+0Yph1COp5BsXWkJDF24xZEFfyyooMdXKnkS24Xogi
ZEC6HVU8Pckxi0+lTq1Tiy4JdXQtiMgGD3NEi1WIpvF9WfTTsdJUd1W409/1b1aj7r/6N3/8fVci
wg+tI1ubnU56s35gRR4Ps4V3VDGPQJEVYT9A1YSxUBBpKaL9D7f0F40j858whb/66A+tI6yzBWdq
GgoyJstvQVlzDcmPaNN6qrZpr1UhqDmE7Dps18ywb6aBiTSKuiL0XR/EAu6Yw7yUNin2I8WrX+MC
bpIbPMvwDBRXzzGnm5y5xVXU9XMg3Qo2XFOKQ0uMvBrSbZNLlEaCvbqrNbz/CkPUaya1eQk59te3
VVIghu2KHry0iCGNMt6hQJXbXBnFqfBFdQVzT141iHQ+Jf2ITUNT1UWSpbidC7TUjeq2ovwyD4k4
4t/fQ+MkS89PGLWPuniyxmo6ugOk6dxkc4umWO4oj9Gs+C3Y68roX5W0xT4ptXSH858RVVxTLHAq
owuRPtlOdNPP4x3T/IbefTjm2qvVlv65y9PiNKf+S7uQVmj76tzMlgjnxOH8vMRXVHeo4PEEhh7l
/sbu5d4cFXI7z33vCoTe7Oolq2d6QvBPET/MNwCb7F1bZ922J2Ek0BJEVGqYyOroEe1HJJBX0WIi
GxCgwqpHEIGnaJmxtjZElmLEMTTE12mNHi2iUWGKegcghLhHap6dXIxhjxvP2hojpC8E0FkIB77a
8sXIVpWKvbBxxNsYN/HWiUeaUQh8ZlyG8m7sffPEW7ORWn8mWA1+iGdQnSXT4zRow91UTIzFCopD
5fQoF0eFh5buWzmBvWygNzZMWPDWVsmN3xMOMphmfsEABAEEBHLrORFYXEfsO5lER8tSXuAZnP5q
StYA/ryNhJIo+WEyl0ecNaR2A6ojiDMYkuK4mI0Z5qgPQH/zNE82qh+ORqjXPOhNJtKl8xgn1HCy
k3sxFJ8tt3zsaBg2vmHv69rb+In3KATbKBGUDNS5ljbTpA3Y34NjdmOQ1aYblC6A3dzwwGr2CmV+
tOkH0ixt7uaGcdHesZ/LssWUbSLcSmyFeSbv0xBtnBdEeQrso8Y55HrpvsbuopdCnLWY+G9nRFs6
MZDdVKoDa0WU8gPMUC2cXXc/jdbDajel9JygO84J6TN9eu14E9EsCZ6UrkIe16VEes6asdfGZm8b
yP8tJ74nndfb0LLC8Zsd68K7lx4S23qeHrtJwoiVQdcl1wPVBF4vMkABl07t85LXN24NGdUV/X2C
FIWBeCZ3uutvS9G/ZxKloRM3V03Gqb0oH1uNUePk72hRfiFQfNsx+gpzF8UbE6MkwJl77c9OstdJ
sZNpfSexQ5CVdTO58SmNSgODc60ZGyak7i6OnJJjilm1nxER21z3UjxMLShLACn3Gke/XSRH4nH9
YfoyAEcB8Nw4RCJOpv+ekMlJU1TJ47S0JKznvjUDGe4BfNYKYeHcEYqVMCybIPEeGiXBXmccPlUP
zr8pMvvOizgi5kO2XKUEdxxyILgnk3UR+Yd4ojFnBKx+43kWY//Y+B6LRYel0ow1AcVKxyOLCoPR
f+mKi+5O4ujXfXNfR0V/O9LUOEhamuhjyJjO0ZYBT8A71YEiRb4c3ah5PjUGIdu2kz3OZdpRyEJ/
dTLrmZMWJHHlZkE+x/qmoUTeagaZa0ZNA1Z4DIY7K89I3YF0Q9tl2fjUgzRA8VKkWiP2Gg6frSsw
+PlVa78WSHTdaGG9g0BXLB6akJHgVSTly6EZ3WWj6dV3okAPCJC6ve2Avddw3hxaX34ysXhvLRnd
udLEn51E2o7JAPX9QI9n1FL9iMSnvMbsc//X+9ha6X7YxcBxGLaOZcCliPggGtc1K9G1bJ1o+9Ud
sdnOoSBNu5eJ/TczkA819z+36p8+6UNpQTpWmUClNg9D3NsHK/K/6Us7MAY2qgC102fHoBU12Rb0
4nXlVS7Usr/+riYDqz98WUenxrFhJ8Fk+4D98KpyTMt2wYA2AAiGh2ygLe4Z/KByw4XdkIslaz17
6Dg9H7JSw1q5riQJkxMM8VF9BqcGY6etwD2kzR3gIj8EvsAqH+tleW27S3TIdCHDdMjjA8qv8mBM
E0Gf2EjDthSnphbeAU/Md6ychCzACgqKprjj99BA0Ofvf/19f3Vvf/y6H3BQqZXnwJts/aDZbXTf
NugSZ9rrITLiJfjrj/qZ0/XbzXVcgssF/yBUYP3vP9Rh+siYv0OHcpC9y5kbwdpsW28mnLCwsdXr
X3/Yh2naHz/tw/FJk8wIpyo1DrYcbhGhmy9mkZA+O8ZfdYlVqXay7haxXnLyOmM5dBqiciNjxOA5
cXflp/0h5U6GSE72hKpOu7TtO47vLG6oAYpQSm5hZo+CMOnUDo25Km/B50FZzhps55PO34Ylk2mS
dpnWoqReyxOLOuWvv+f6NT68m1T84D9pAHhc1/Vx/uGiEpftCI195ODUNj592gZBYRoZpZuj3UKY
hy3b13n2N7fyVy/qTx/7oaY2uorFrcICrFn2SnC3v7qZzs7cRKjjkdedynm6jsBb3OZrlYP1I/ub
F/WXvwKLkg87aB1X+x9e1FzoU6sKqR9MSR+0ZUuUdntFnCdI5M7GdaWcG9sT1Jum88aqX/92tv3T
A/ovHmf/x8//8Ob0ow+upiSvusv7N7OV03VXRuapqB0ebC3+G07WelL4eJ8dT9jcY50ZuP3h2ya0
/5uu8sTBNtv0QnD4SCsw6rZ//TT9YjXgev7rUz58p9YU5pDblXUoOhxkDN9QSAIB7rA2/83t+9Un
rV9FoBngtPqHxUCRbr8sjjgs0YhbxtNfcsc/ss/8zTf65WPy4wd9WAc4f/QdkDmL3QRGiRy7m9Rw
rb2PuoQki958yOIOoT7NwOSmXgtlQ3XqbzLtfnFkthjuG7yigqYOZ/ef39IomcYaKbZ5wAulDgt2
/kdlWPqRebZ5UOb0VCk/C+MBeIkcZsq3OKkDt86JkSu0d82VGThrjRWT6qI8Z3Hx4jQmpAVpPMOy
qf6m9WX+8WEDMIye3aOPwW9MUMtPiwoA3CwqloZfjfBBCFYVzXgh99WSA4rSlqvJd6at6gVqC8ax
8Uj+BodQbSehYoe2XebboWA5bQb6gEUZbVOc64XiTNNqIE04RHxXiu6hqBm3mKBFdHeoNxIkAz1d
D/OjJrutYgIVdor54JB/IxZL38xjXZClOliXtm1/K3H+f6PqcVbf/s//fv9ayDKULRFhX7ofu06E
OXJYpI3zwzrxBzgpo+z35j3D9vj1T372966VjlmRZ5y/ceWv6TZL5u9AN5dUIEQtf+hamToZQ7wY
q95IR0L0Q9QyDa31jYFaitP5tx7Yv9G1cv4Q6qXjoNQRuQrye5kZi3VF+mGnZOajGtt0jH2c2lgf
3dwZyWqw0b36kWu/t3Nk3OlsVht8akwDsqWcApHNjrEzQQHsRttFJtHCkcoGLIxR2tdBop56zJEl
g4DAJdItTJw6P7q40j4nDDCPIpUmo4AuBmHkY/fBou3Zy1GbCy8LPFeK+yjXzV3JrPLGMDEA5rXV
HdKy57eAO5JsUqeftiIbD1qpmm9xM6Cud7Oew0Qh/TAH9HktSL69xISXbGcDbhx5AfWuMMxkC1BA
btsu9c6caP0ARlcT1HqqEdhr+l/TArX9Zp3Y7vQ2svbV3IsHd5HyJlNOvefOuGFhTpm7sbpxOWks
NaFg9dkZDAyYzOa0/DaJ0bznbM9MV2NYM4VXWzBWhpkBfWIxgCL02bsb8zQOnVpVtxjF1GdR5PU1
8LKLRWwcmLarhVgfHDX5gezKyzC4Z0JB7hKtJyLX6m/dMoMPoxi4WyhHzUbuYY825KukE3wjJK85
WsxCXSlvolpLssh57GzX+WeQTiRC3ZJ31GHnJlvBWx40lKi08XN60LR3CSMoGmPYAQZysI3qne76
fDU3TfQG8dMm5MJTt0urQwejyeTQ8aG706RzeyD+TFxNSZLXDEZNZr5el9EA8vXs6BQTIWVEkRxy
jDRPgwm0l0aUnSF6XAboMZqOY9TTjpVRa19as4uCPrNpbfCkkQZSju7LmDvGmfnDuCnihKxfhyuy
jUAEfgVm1xAfnM0HP6kY3FR2Uu4F4XNvA3ssaC54Vjkyss+Nqj51WM4++T7OChKqs/sis4Zb/Fhk
BMkx36DjFZdS1u4lzXGH1LoDwLudLlE1xZdBTOUOzZ128MUIeD62jDtXW9WqgMLQgVkZT7RNLhHB
LD2SmSS7yif6cpCNjCkAKohGaGmqmSZW6j53jGiNoPXH5FjVcn6YJO4TIlD0W4N+jrWNbTW8k5c5
YjPCsmguSPnpBHRvEEjHS4QE97ASrR9b4eE8IppgvEEZ37zlTlQ3QZYuWN+GSbPra9hn0BwiErpX
NisRIgiOtG1mjpiiotFTB3SC0x7cAR9T2s54OzhO8Yz2vSHbQ+NW1NnkJts2pkQgBciszgtZC4GJ
Fvrkpka01SQTcZYLAl/oxshryHv+xlssRDnd0l0Gxxe3k45Qa4OEan7ACqKfrKyj12nBKPgifCO+
wV1ILLahp8ZuaOp2KydXNBuO3tq5iPD3rti2SudDy/TGWMzyKhqW7JZEkX7bRRNdnlzPQx2X8cFF
OF7vO+Y5d54isQpgubqg7qDBobop2tDNNXeejUdx4zu5vBhpZOzcanYuetJOZ9F0yV6YRnfBrDxe
JUVevNE7G5dNF1WDGRjzk4qsyg9sZUaP9KgNWkNLhbW19knBqpsHu1RTKMHOhjKHJeZKnXdrHouM
Q3E+3nm9Pt3Ntj12vHCYLMEeuCFL6lZ3uwPkjubgYqu4ZHYkDn5mD6fO1epb3fGLW2m79jO52OMz
8urq22gqxILLVBmHaPG0B3fujZuhNexn4DfEFunkOp07+jtI4t30jIiUR3oVQJVZ5IWVjkHZrlBm
EQ7VPEtgEjwUWQ9i0M2XLaAEZ5eSWrc30izZiTYZ6RDFLczOBue21hrxg+UW0Q7SIzEHnFjnY4W8
6hIXcNhmgBB7z+/wEBI/FcYopY9p0/uvJc2CXd0a/X2NX/iWP0ZH1Y3uqxz1Yl/ETbIDtFdfG07b
XxPUWn6e3W7YWbpRvBm99N98D8Bi7wxyb0waEeVLZvC0O912BT44xKeg/Guyod7qdVFYgZ1nySmb
856utVWv+unmCD+nuMUOUAVpJr9gaPCgaLYnBEqs8exqRVS9KZNxRDD37j2t9yAugHN4iRs/IiAa
vpWtGEOKzWnfNWOZb9zeqPWtA3NrtYmuCa2NNY47bTZXGV9jqotyEbEslkg3TV/R9vMYaUTguw52
KrEeS3tjma/N3JzoyWtXejUcithjBi3jq0lrmgNL9RY6aBkUaVEffEWueIcgLtCnnASFpoEhsmFe
auanjIgqNDpeV+AwRKQUGAmQ8Qxj+zHp0/W76HG5bQg22CRN8yZgIhyGvgKw4oEuQM0q7PGhAVEZ
IvZZtkY92iC9iuGeThtZ231c+YdJVzMWFpoC6NQI20rv3UXjuSn69la07GeqN7ND5Bvqc00w+GlS
XB5KZvuxwALLE6usq6RVBFNUkQr1tpzP+mjsCeheDs4Ar7ocjZx5bfQ1Y9MiovA9mdz2QEDVlqui
Hbqq3XQWegq7io7E51bgXjTzvrUzvCZpJR6seWghQpG1dJO4JaHPHLjou9oJpFmnnJBb9VBd0dRo
36eocU66UTXPvB/1xfVUfzAXFFoFhuSvgF6Gg2codC2GWt4ZwWTgYMrbKNMhBuUEx8RDET1wAwqu
qYElu84a790z5m5rtXVyrccTvGgMlmHcTvpeiaW6zc1SXFopi9dxEMN2SGIFXkYDALEbDbqxeNom
weIk/O8FoaSEGWn+boRsAkHTbJyNjL1RbrG7w+JxkGMeS6vU7l0gQHKbTNZwKKepF5DcSgeaBY7m
e+oLWV7lBGQloVbkGPtYBoLkKFp9AQYGtXW88aepOY1+k9/R55XfClacGeEQujWSIfF+mY58MouC
JCDKXQyVuv7YukO+m4xy6fizax6K6P9Sd2Y7ciNpln6VwtwzQdJoRiMwM8D47h6Lx6ZYdENEKCTu
+86nn4+eWdWZ6q6syZtGDZBAXkgKudzpZv9yznfCaCdoJZEOReYW+TuKaYyGBzPDcdm5Q/mAZPJs
4DfMS7CxY90ccfEUSCzBxWgir1YtpcWafRMK9mYYP4doHH8Mpf3ZRLL+6qb9uyoxpK0khvkzZjF1
QDGJJtiNojVU3eHaJeOGYtXsEU/Y9abw0Vu5TYgZOuV6asxOnESln+x5yK4aQGFbG7clMu+82YSN
SypRyfBdpjLfhQ2S4zjPB1IGfWPvF4Px2CYZEb/SUmvHzhXstsn/xH8kdnxHg30ezoKPocueIlmo
m0jo4I5IKIh9c9/ujDizcLWl6jFAWnMtcq7OdWzP5NY5LS5lzH3BaTLcfte47cJMdqsPGBnjVhul
f4eXE9XhQLYxEZ4to9RYwmZCHWakvtgGlRGwjCNiZT1odsohPbTcYkTF9pz0RgEva3C3oW+Gu7h1
ffRsaPePRDoDKdB1v7XqkfHGqKxHxJPLbN+UN51h+weJ2mafTIP13LLeY0XcgBhQ/XCMUr+4c8Fl
WatOEU0DRdCIXmVUt4dqSEp0woL9mx0FZydigalRuD9z0YFtVoASN6it7K0z6OQUWRmTXTa1HC1l
/kPnib5RjUy/9EkOwhAL1hbhp32YSQtigTE5OzxM5jHvSwvnou9x1Ux5jjE9ERusm+N1Y7b30mx2
1Klovtw53uq0fjH8YgPoiPXSZLzl/YC1NSjkF4HrfKX0AlopaFpK5TY4aE2CpyUJYUCg4GuOTjRs
uwZnueoytng8GOidspalGZ5H9QQwUKIXbX3+BaNLFHjjn37XWd79OtH6fSCK7fxxokkswU992k9j
Yqioc4w6mlAZ3IMrQ8hkY/See8JhG+1sXKqLGNb4Unn2+KRhLr9Oui/PdjgHVxrA8BtbqngLL0wT
CiDtYB92U/nEkmreodpH/O0m0Eoh2dzlfU2wNtQuG40qn4C5htIp1wY0wldHeQaDfmR0a99ucyB6
LruXPLnSSPS+wcgJNsIYi7OByPaQ1UtmYmMdjbaUW7/yrFe769yr1pItIn3SxF1eOwsMKW9ZFiWA
GEVNHlSl52Mduu5XKvWA3WFPWkE8vBe9vEN79OhQocCkzZMNOqFpI+dwuu+7/NqPkvk66pGFykTD
mMIFi1aALVCodulY4+41AwaydouadskcxBw6ZRSF6MOs4gV1XGpvykiTL0uEUX/tu+50DCuq3RVg
NHVfFE1/bnCYs17iOLiZwsT+Ljsz+iyRdW9Kx3C37Kfth2ImYXBloDObfSXMbTH16sppO+MgbVIW
G4CxhMOx95y3xDqM3/tmfG1CNAN5J6OdU2cY4ccq3fXYP1aqlIj2MHHf+IPUcFKzuoUzIdmoActo
tojGovMMA3eXh7l9gpCq7iKz9gG5jX30wBfdO47eOByhAPTH2aTCBnjc/ICfSCmYDcP4hB1VGmtY
DmyVdZVDR9eWUVzbS53dX0ru9FJ+20slzi1MUR6XQ7PljbR3Jr38JccwPIulkheXol4v9b11qfTN
GNVst9T/g6Hba2/pCYB6e9j+6BO6tLdxSML8PTfxgB2h8JqnbGkw6kuvoajMOIyWFkRcupFuaUyy
pUXJLt2KvzQuQ43JJFODvdYhOoCtwGeyDUIDYeel5dGX9sdya7wmIOzGta6VdRpr6W0nB4Iu2e08
uF5SxuuAbd97mZv2imUqQgh423fOWMf7CafszCFGvzVX82NZO9hTjPLBsKMIyjRvmEAB8pB1lgNj
hUoZeusI3JZSGPVPXl0hCkJzCUlDrboYgWaoKcNWms9hHQam9WJXUq47An3vPMy9zxWfwbQyl5Yx
WZrH5NJHkqWc3IRJy6SAJtPJF8fEpfNUly7UWxrS0hLJvlqa1G5pVzt4QtcVHWy5tLLR0tRmS3vL
i1waXVreeml+06UNVktDrJfWWBqBxtRTveGRSD7U0kB3Sys9L011vrTX+tJpz0vTHS7tt7c04gTU
0ZOnS3sO5gqi1dKyt0vzPi5tfHvp6Ouluc+XNn9eGn5grWD4Wn4VVEeGwHeZDCTLkID1onuQy+DA
bjvvX0zaLyug/1gdcKCiVPccSy2iMZI29E/T3AZXHU3CQgxttXPKk+jY2gRzycnwtrZNnW57ZOeZ
zpJUaHls2mXUyT0pd9Zbo8MQwHThBp9T3w2nLHWmK0NbzZ1mmvdKYVA8C0DCXcReHDvTXFI8DQ91
1uJlgRKf8JnGAhiwOyWstGk6sSzElrtRgeGeGh3kxRbWjnMSnk2wi4Yu9V7PHYPurFUhKKDlIEsu
Z1p8Od9wnHDWOZdzL1yOQG85DP/8CrKW5dUf3rDLDUQxjXXKxru4jMd/Nyn06iaYnHHS+2zlPs6v
4rV6N16rh+G2uWehl5/xtv753/iTTuxy5y1R6i4yU4+j0v3pb8Q24GSI1Px9r7T/kRZsHdc1cIDb
ZEQ5hNGsWPRNVQsMO0jCD0vODMgdH7KnJQlOwKfr7/J4mPgsXSpqiKWCO9wuiP/ez9I3Xpq2VE9g
67jqkHkM1hqVs06wm5P4MlZFdS1IDj2pfB6PVDKcT4xTVsrVD8Qx631P+cmwIYt3qWNVhBwN1ZVG
t/KV8D3/CBQmPfaV1Pt2Sg3EGgMS6zZP7sOsD67sBQxw1VMQP4aemt+dAQP+BqDWsInHqH52ArGc
X4Rgvlze1P+2kf6/oc3XQvrJ9/hPh/X/B4DO+7fwPf3bXf3++b0J/zCy/8cP+HVi77m/ONaic9YC
eQcycBZTv07sPYs0FdKh8Jb9LDQFZMjWld/N4UBkq00B16B0Cv/X/7DVL0qiY2VxxHOGieovRbCw
H/jjFxFvBy25xEAMqQBB7c9rM9wCcPDtsD/WEWBZ+p8mObuNxBcIq4oYW3q/ND6AqC27lVsSzL2K
dN5VG/Lc7SNhqvFWWSDN5pBZ341FKAoGuxGaKodUE0EWRD1OnAsx8FsD58uJ7HlvB5qCtIJ6MAkW
KaTMIlbcU/mmUnphBkkRHLk5twLFyZ01esu6z31uhsDZWa2LPEqX/ZYQYrqESDsf5TwlCRWhQ96E
Ab09hUaDiwJEojfce1YXRwcMCWwP7NGEW1eNMWmtOKsEib9kytwJAjNwzpQlfLhJWsFNbgrnviUH
2ge6RU26FIylXFdGhb4Up735I4xw4G3BhXmY5x3DechhG6fsOLLgtXJSu9tr7U/fhDLauzJOqdPG
LO/WkDRQwYna6d/DuBmPUktQ51mpojdCasi/8YHErIfCNO9HXDGbIbMVWHDQayIn32mxvdj4KK3B
f2oBiLxaRP62q3y2fSYSZhEd0C4z0hczGRIku8aZ3JaNK27szBpuhnE2iDYh7RAwIB5MEVFePNp1
IZBc4U0JdggnhPcCY646ThWy4W3qIRNbY8C1q/00UkOksA9Yfx2rppHmGZraUCbbCoyRt4tTF5Fh
E4JnX7V1HcOjKctX+rtk20x4ONi2Hnm+CcPMy4FLvXWuhOdUB53obDpb45gTeeKGoGAxtgIThmEx
rOMBF6TlL2lulB8PbWT+iKeKHFWqmPXQ2D565g62XwlDqa4sGxVpM617AIq3NIchEcxMwqbZIbYk
sSasmHKUrKFJq9kIr3Mfe48U+dKwSkT/ZIkZKQ5CJ/Yfm1gHtyLtX+xSxAg+8uua54P8CflJHgvN
IssR2BF76qRsDxcLNFEeR1vmPPlNYIv8pHhsHgidNI6KUcQ6Fg5vHUrMfeZk6KqKJZi8ug4DA7eA
xmwz+xrLhom0AuM3Q3GiOiHmLy4tJ/x0CJbea6xdL1Er89tewB0G20t9Celphc8GIHrfBOdEl+4W
TWbx4NYOMSM53i8nkYQRM9knLS40/S9BOj4mLerYCUPsceqYQ1euW59KBb898gp/QxoB1rUi/iis
WDxWhZXsgiWVHYc6ySN+urRoUEBA41urHl4v4+jupoJ+BxsrNKttPMnuiaHlXV/W+x6EE3BkaSEb
BVV09kP8knKeWkJXI4HfGAubtPc9K4Zg6h8c06L+dzFJ5uX3rgPKPViY3X0r2aZt24I+btxz2/It
C7TRbcKFLkVmQv7qWF7JYSSegFKuxcTKW2b+Z2ohywSlcWfMs/m9jkmAIJToiq6cHPoB9rXp0X8z
C/3hEjHS4ZlcV4PBJ18SCW3gXYTYTFk9pwyxA1/WIIgQkgum37t5KprrODTcFVzJlPq0GNeD6xI7
Mcn51eB17+LYn7dh6lR7IeLhRtPiEWFiQIGTxaNq/ZjgH8zdHpSfnT3U7pZtg8PIfMzv6yZqmN/D
IilVNt8yPoTbMwHMO8CShqyCIrkDbYq2bu0sMQcTCCT42z4ZS1HcFiswg8MtEM1yC6wx2XqhlN/a
qv5RVkJszE5Xp1H5Yhdag7dtWd+tUQJndxId6yrAcX0aU5F8FGWe086TZY76QOZ3TmsGIMMRzvEk
cBKS6dFQ4Fb6ZWDj8lkmpFX8C5GEkj+VichkTFOhE0TOxhTDu6goflcmFlA+wzg0w6O2mx7elTVk
atNGxXRuoMF/GYrW4YxjcLUZRIVfLUcP8ZRXxrStwxRyYIDc5HqiGIPo1sr5YNiL6atePn2MUxbX
1GAOSBBD12d9xUYAIH+urfCID1UP5xH7J0LDZB6eGyWSh8k1cwGSz1O9vCqjWd/Mc5fcEU7FEYXh
lFwo/NQIlu0WdphgocmQWL0kzURUcp5M0NddyP8YUvnpK99Vww0pX81xGNxp33G+swsjyCUl9H2h
74wHObreyZt6gnJtyJAiZdofeH77jIqm3CgUqWwAPJyoRY9Ai2EIC2G45zt35N5q2cCuCmcuge2j
5TxoVS+zUvrwnt28ZSPJGbWJLdCcZHbtOhFBmjVDeLMjWUEzsjg1je0cWUNXM6WyaTwkiSq3Y9FK
iAaNuGtAcj1WA0ZPUSdEQ6Hss/IZMn0fW8U58zCjauahZ5Kb5EtuMKHvBXCuNq3KXdjilQxMBtul
GbJ1DvRjKHW+buTXPJ6ueq99L1pr34XYKO3GdG7L+KPv6wcP/ul1YYXWWhpzvdFx3DyEJkEMYcEb
R72xZrVfca4MjnFA0R29W5W0gaEiIO1c1l9G/mAPHZFixImsiNJTd4RXHFwSOI9cKwnLZpU+124J
vh+ZdXWcgWORnV02YBoDbAxeVuev8QQuwWQhMQ4hoW21AyZh9nIoDmRNVujLH6NAfnMLZ3woQr55
Yui62wafZ7AzdNgYa03LMB9Z3jn4dnpcyp8p44NXoF7ACJl+e8innJ4gkrnsbQ5lKccXb8amucFE
U76TuJC8QTJ15kdaDxsqXOlW01p5QfUGzzi81WUrbqMwVx+0D+4qKfuOuS7WgY8+TLAgZkxd17nV
yr1noLJ0Q9CeYDfVo8Af/U2ktrdK7MWDR5pSiC2VZCqJr2WdVp28wT9U33RF5zG5i4iQkPDHHmhu
nZs05rypqoF7voOPoRxsLkoZ+qlKHAJzkGq8U9XSU7oBRLDDYFbpCQOlQUNsoH9aAVxKHggzHxgf
6VJEW7NOInOdgIOM1w4FB15Fnp5ql4xjuQk4scoVrSs6EZzbwW3WBh5vpx1z7bsz5AG0ww9TEWcv
XC3Od6iH3YHSq8VcIBZeZQkSCt6TjW5Ad/mhnLyZ00+TMr4dOit/VjJObpIpEbeFw84qiD3vtYNn
+BRljrGraj94mA1iMFcCUuQjLyN5suaZT7eKuJoYT5knpQfwXJUjC1CFjXsdJmlPu4+ncqt8wBt2
bb9NZQ4H37XQt5tTEr+lYPNeJ3/40ZedYa4tko8OlpnvoKRxdQ0ylvsEa/PXGpJHiOGnq5B95Tp7
b8ywf7TK1Hn1RxdriZ31eKqDhoTCVeT286HXmfg6J2SzcikZb/TD8UNk+d572VTjk+WM+TXGaJGs
xtwm45cqHIk4pKh065hkuK6sIiG5WszqW6ecmFkV+IGtGGd73MoOvjC/IQqGNawzGJTAxwhThU0D
vgE9DAMwP7kyEHjcOCxvNiZ+nU8zYx7Jd67RL1hG6hY7qm0IXNx2QKeBS50x7zBhWyhRRaBaq1lY
tVwWbwzZs0fJyP84wJpYO0EVrHXTOcamcZAzrKVHJYa322tOHHpNtzGnfkzZ4FQZkolxsL+2Likb
h9EZwg8In2xPMj/tIaeAOqrId2chl7jNzDSaQsGCq301jRwvOzG07ifUKoshsepOYWzXyd4V9sxO
I7RB3bZYJcCnEljTyPAOJKf+KGB+PPYWLdS4PJI0T8mY8hAEfAnx4jLI0WTGOOs6yNX1zC7iGKEn
ov9hr0qiQxtk6QrafXDXSm9+as3IOE+oZ4iUNUOHU3xOjR9txwhv1WQ2LIKmMeUtFHBFu5CK/qaa
844oDSE+AgPC7I5HvvqOYSQ5gmbzAfZEVfCaoxnxdglrafhjjvPDjvp+E2YB1BFmTURDVZELiByv
RE/0XlI9W1gUlmSFETKuYepixSUKAxsO4IL5acYEUT5U7QY4wznWvvfA+5PfDq1F1ama+i2rBgtm
ncgRp1O8lDiYqvItawsEDpluMUf7RiS3VjCMx5qg373IOAGIUELxso7dgucxLlkQ4KeKzmxgg0Nl
CBa1A/MOvO5IlddoD3rG13EC6SKMHLfY5HXrPac5e6IV8MYvFmrJD/oYURBQEjnOivAwRciXD0K6
nkYobFHrjXfAH15t03zsjbZiplzhn+vGvDhDlzMRXSVjeMATL98V8D1+aUrb2yiwx2Ml2QmWo928
dpVofoyBqbONMRRQWswxe5ydGALckHITJb0bHjEhhOTsujok7cbKkx2FsHHDjtyWu67E8h3CwF1b
kQi/1L2yT1Mu2vpEKKgJkKhDo05ipx5u8QbWZ/hAuDrwiT6oKBtXkAGbo6t6/UZA6vhYU26NG4v8
pCOtkgp21ijSY069We/aaso2c8fTubYR3bvnykrxgZsMPta4oqe9WQ3ineDF+thVJqQQKwFI6rkw
5xyUCpjhnJIKLGwY8hGlZox3aH+yVZTK4ZsrgvYzKFNjYnKtMxZlXb9UrJwT77SzPZsIICtrW0Kq
I4mPfKtRDujVgnh6DoY4tVa8xYCmPK+M6aXLcMBH0RNFuar4Yk/rhd2KQE9XKMu69smRacxizx9Z
8ZssyoN9YJBeYllOdaMNZ9ynwN8x0nXja1kIPzlnBrN/yqDl3Cwjk0U75zmcK0h+iDySmiqgpxOO
9mPlTNQXLhEnqUdVBJDGLrYC5jkPc+rBN67a4Ntcz+Kq0UvUqK5ghVE9sFdnN6brqyZOK7gbA9aw
05D2RnDUoABCVGgAfEvmvGuTsIQvY+VV32UyaKipXv4iZRI+e3kPzbu3zWE/mMaSOeC0e6XG7jjl
ITkxuNJ/JBa5TDvY6Mz1owyAz7pqWPpMlt/sWqjee66kJdSTlWtv0oxlNjqnKWCYglbBld8ccOfd
Cqq7fJo9K93myxg78NTJjXpnN6Wp2OZQah77cTJvU6YzGxtMycrzG0LyojEuyNzz/G/FXMLQlHX1
mJrjxJ3dNN0OdLBBv4gw4IGwGxemaJi+OJ7R37I6GJ+YqeZHWkcoYLzX5jlyB73x8tK/aVJTnnq+
8E9TS+lfG+l0wAgWradozH8U2s3P0q7lE489lXDsnKyoEcfR8tvXoO2dKxSZ85U7k4IWStEduwA3
SdaKfG+zqmtc+UhNXt8P7lhdxUHgXIedKNhQR+rN5JP78EWM2qY35a6PSCPzZyu5Lrs8umvcCbSJ
57DNzTKyAm3mDI1vBz+0E37xRyM9OJI43DoF5EOKxprtPwwjIevrtmzfvH7O91XSDHsvhEsfFlWy
QbRLeTrrF48D6yYPy+Eom+ib5br+Mq1ItqKOl9A8ST1gdyc7JE0cV0165esY22QeLtKcMf0aiyG/
mckuWkHhrXmRLFPhb7SHFiLBxmix+fHvaXZu5IhN4e29gsvzz0fvP/kDXLo4B5k7AmP2JJZlqZ+c
LAbHbz5wkBzJiSOLJ1+qNE1k32055M6wljxC05rEF0ScGAl3CTqp45AJf/xXL0T80VCyvBIXNbZc
Zqv8D8rqH9cOdedXI1Fr43EiBzbum/Yj9MQw36Pm8pqz1rml7hIT8ck2nbPhoZ8K+j+l4xbpb8/3
G8ntM+lnkjnZZNfBLos95mcilFn1ruTsOtD1DfkCLjm98zyfdx4W6auuMHqJy0AuG3rrw83HnHAx
usYXxh/LDrgVj3Y/GN/q0Kfw7nTwheVgt9j8g+i1jQRSSKN3YJpGDAVgKL9oouRINg3HezzEJPAx
iWUByQbtygnbeiOmQlBIiOA8FHWxbnXdPrBcYLE0jgJMRcB1mMt0J8b01RaFeQ8+/+RCNF5oQS35
eIwvy8sksx9bTkjDSGxgVXy1HsrL2DO4jEBdaZs/ystg1HYq9xMekr4b4cQ8kBtrvbCGqch1gWbG
+Gsp2MdWdgRtBjrCoJaSeBIKntP0Ut1bl0rfu1T97DjpANi/T99kXnN2mr0+w/emT7DaQhz8kRut
bdAn7MWlnWCapN5JkyLxkPiFI/qCL4GcuiNSxACLMpPQZCbIwoi9AjXR0rP0l/ZFL51MtvQ0aulu
9NLn4CRpw62euZ/jgu17bA10REtvhGSvX4fhQDh3mcHPrmpmlMtEdM1pYnyklyZrXPotXGrqw1t6
MHvpxibk1W8VwV9oy5OOdq30Qnt+VLJJ3qSdlu9YFoHvIi0jXAorHG+SLFJ52wKDDPcDbmdwyl5V
vtZ+qfJPI1SoK0PZBT9a0RXV3Z9/X+3L0P932znNuMVlK2ETys5WU9s/OaG6XMW9CLlOImqtm9JA
rlwQRgJBViRHVBz6WGkSTtc+Gd5bkr7POi3863AEBLdCTzqeVBtUTNNmdERMAIhyzsF7PtD1FPnG
YU76Wmd9SapCJKpHZ6jIc7Yx6wZAD7fKHc9Z6p9hAS0Qi8Hqry3ygVoWCqP/jWAlsVNRqY4qrJJ7
OKsjI30FYgC1EQSuc277dx7ewOvAD9iPkiBomcEj33Fxa0KSpzEj09NwzJ4TD7EK/si548qutCIM
p5L9qlUUqNwd5qEv3fROgZK+E4XVO9vCkcGT5ap8H/Sxt8WjSFQTbu6B2duUNLccLtWdRuC9a6hk
Wkz2pYGFzBEePPYxTU5zZaJ07qxaMTJUZf7pspVeCuaOQlK2d7bXY1APQMwXIu7XjpzTjVeNPRLw
1PXfQrYKbyMEZTBn5N/s0CuE+yir4P97vuOys4hbyA9TcMj1kp+G2E7x76sRPU5Z3H9mvsdiFz6j
v6cTzlG7Nt4Ub3AYZGhDu947ENbm3xOaQLaAheUfaFMEEA814MhkhEkB4tIxQkOcxnpY22Zk3TJa
nHkqKTpTxBlXiRcaX72cGGZ+XLu2DJ1Dxom1zZy3rL6YxEYDogTL3SNvwSJQ9iHprx1X2iz73eTC
q+ttK3oyYOg9V3GWg01FaLIu+oqjaRzi+7lpFzu7I64kp9TacYkth6KwZIuG7p0bWvGX3GwSTtHQ
A1qleWcgvZsOkPRW+ddTMpt7BeCJ77UXi+syKx49byh3QLmoLS830Rw2zr0y6oDEhTHNGO+Y2EEA
prf6Dq0zys9yWSJZl32S1Y7dvPYveyZzWTkhayXOCPEZmyiwS2ylvIiQLZCgSLsvWyuP/ZV92WQ1
AqB6ZyPRICaZTVeOARkQSTTQfUac3vmG0618C5juRQfhKCuAEV9a5na5xz6dDqY93betKwoBtm1x
0Q/dqoRM2aHIbAWiwaGrjzVCo+2AzvBIvjuEwb5CsLTqEM53q9aLk/gQawVFdmKAITd1ZBVXohPU
E9Vlpjsu413sy6+EukqNgOkJ7tYrDlS+IDZiFiJUTpU/z0eiwdxdaRXd8qqbHcQl62oMWRE1RiEP
ZTI1f8lYzW3OMh/qn+04gO0tcVFl/G46bDKZJ5qBusIL5G3gnRHLXpf9/V/fcd9E32rs5D/a//mH
jfXFK/UPTPX/JrCF/37+LX/4E/8eKGveeEQXDovof05P2rxn7/nfsKP9jRbsp/32b3/41/22a/9C
5Ac/0v2NpIT25TdHmvkLvjK8rtRaroO+GMnF30lK5i/8Cn5qNu02TCWP1/L3BTeMbEZMbMVNxDkS
ltJfISl5P+23Hak1DwY7aOo+S0uTv+j3QpOyNtBp5paDcyD60bnq1q3J61XeU+yXqPigs6STO656
w3+iY78vZ/XmIr7tvK/hoo20jIBo1vk56dQeis6Cl93G13Ncn1oCsEYy3YMlh30wnyub2r4NduUs
9/FcH8wSDrK/ddLyCmW96vSOcT0gP8jWcX2gID8mStyrWt6CoNgPlXPv+NatU6xsFXyMQbibSg+t
afWIYPdxHv0tAkCCcYitYUeRth9z+jgF7NsyJrOj2rnOcOOWmpYmu7ZK5zZ3xudSOOuyze8QFJB2
P+1TMLxxTSK47T/hBNMbGM1PjQrAYsTnzHe4BULcWg1EJCzDBNQH6X0buAdRNvSQsv/aAg5mrPca
O7xlgUnutq/Ick62XNDfuJk3VZldO3H6rwzGy4f0u3rk1w9xqUmo2C2emp+0O1NWw1oxScpmibph
RrbK3Ow6GKqznKazWyNuCcOEPB93a3RyDXboXzQO/0kwKz1TQQ43lVTwvVCN/fEpiipPM4SJMCfl
K07g6Fp39Y4gdnpnfAjbJLTPSIXUvvMJU6jm5z6PyAW2JKpoRTicu/o+ManZzapWa2Ido50LX33r
F/P1mNYH5sbJWunAOJqLU4DEb+5+QlQwLlB/JrUF8nJIt4NAQj+iMC4KX+KHYCyBmnDF7ooLobG/
TYwSVuz57xGS7ucmsoAMWS+isq98d7zRMT5jpoynApDfr4SEv6QD+n87I//p7/r3PSbpVv/5Mble
HLtRgFXjvzgj+ZO/nZHql4stnRWmpxejLQX1b2ek+gXGHKNDxUX2a5bpb0ek4Ij0LAwzS/MsPMa7
/zgi+SV4dRZwOMHJiQv4L2H/raWa//23CyskhnmXZ5yH3HEulMTfXaNdqFyMNPG0R3pZfcmqwn2t
XIQw2vaR+8RePb6x7P1YTCrfdS3yr8Mis1CIBTtcKQPoCfDbW1cSRlyTYnLqs5KMax2ln+RjdP/N
krP/X3GHuMgXAZn406fx6Xv6ngfv+fsfHsb/+JO/Po3a+gWxl0Jfw8JdgOHjuP2Hh9wWTILJp+BC
l8rGwP33FAqPax71Io+jXBgLmiPwtxvbkr8sDy/jLc1ly639lx5HfuJPz6OSiOQUYiVEJMvl/ZOY
Nko0QzsgMrCQ2wfFvX0AlQGcCjj0zjOy4XusEfMYyvMOXZExORrTZteHShxA1oqdV8S4PHrAijFG
3UHeN2pod9bs58e2Zv8dpsSUIWZXNzhqXGYFXrFric75rG2/2M3pGLOeHMv2o4l8JDnxQttZ1WOk
XoHfh89tmTc3FVOVetPZ6ElZwJv6ykXDeYyGoSXtLpBeeohhbKFfG2o46g7jaeJBv/nRXMNa1Vew
rftXxXZuLYvSZq9vqWjmKnGdQ62wYDAvKhOQRA5Co6ago8lwna7zCjs9/LbRq/EcaCNf58SCnVFz
Y1mLHavMN6HhYbXxdZTvR77xXxie9G9IE2cuDjdqj6UX+09wr0Bn2SY7xBXhp4wnknoAJ2eMLP/b
UETnFhTtc51LmBhJHZlXzGLxxAzTrTVZ/QEu/fCtMLPsq0GwF3PTtGnOaOdxg2Ff7NdTasln3xzE
dcs2+SlMXPMVZR6hIUq4PeKyfrjv/cU2KILgU08sjdeBGpcXngpypHjtHXNZWej6UOAZvzbTCLAF
H3P+obpSHqkFHIImI9PmRWoPl6SAbJ9QzJ0JW4QCnrjTtPEL6hfQ7+gxAqkweAKCZlFu4dgMMaz2
zXAq3IZE8M5GRhEMIUJcYr+HOOit1cjK7DpDSuGvo24e3oGFxKdhchHSyfsu9hkKQidXGWOBYIFW
hbUHvq+BoWxaPalhtTq4RhY9I05pN8SuVVeLfu7BMNyMHLURBh2hYfsiK6a10Q7iHHqsCFIdBwfV
ZeYVn6h/tI0GzsCcmF+reZ5PoRP4dwVGr5sp5kGti8H9aJN83JlibI5JYYeHLGfTXg1rfHcFGZZd
eJckI526V5dfWHH5u6DTzntkgQzE2MHARdTkkyJvEG7dvJgm27dwsX66rI74mJ4br4cYmKM0hiDv
yegxG4dDPcZ3pU08UShPqtwFLhIvAgLQeY2LYbHD8SjzFr2caduwDcomiJ74Hrg3jUXQHh5ktaDX
RvRPJEm9Nq6pn4gfLBKGHpbQe35TBFZyFMzRozqdHu3KrA4Jz9StydtH5EpLfjAtRYTjDIndKiuU
85zH2rlFhyAOVr2kp04Z+g3fHaIfLK/LHfsncNjT6DcfBK+CQe6AJz65OdK/GFkhHz+jjwGBoJru
2KiG9xDO1WaxhpFBOmO8K8cqAAhIiMbDqPVUQuUnDQbaRv9WRjEx1JEznCYzl7dkIaPHGUQ/85PS
CslUZz14Nu4DPVdswf1S9k/aG+0vXeYOBzWM04eXRhkbDWyjB1vFzgfPd/QD45AQKy0t7JL5ZIfv
Fuo7IjwI5CbzM3Tdc+xU+XYyM5vQuDgTqCJgY+6HoEIyumRs78suyc9kTYqnnkjxk19L+zHJGnFN
V2TzIkkDv4OiYWUbW+GpZf8eOPvO7ILzPMTWPRGWTMmHqL1uwzL7FvMI86n6wn5uiqa9TpNGQG6e
UXHi5ryyCIO4zfOMFMS0nnKE/cI3r5RfQoWthuBKWj1UJZ0kVLOMFf8vdefVJDeSZem/UrYP+zSg
QToAG9s1W4SOVJFavMAiFbRyaPz6/ZAku0k2q3pq2Dtbkw9tXcViZAQCcPd77znfGTHUatqNYglE
HbZIlRXPr31uJ012SXdbvTL1QWcIxzgh3JdTbyNezFQiXUmNeumnArBIRtqtrWK6WUirmkusfVyN
Fs88JCrIp0NHxq9SJPTIehgASeTAO8RQve3d/FylEFJmsZSyLI2BU7TbaNvB0bJLESM9tXhwVzVG
043kfzxG1vl13ZFY0aDNYwLrXnQxbmoG9M5LYrjRWR/4yVrTi2lfyaY7CUSmb+3GUp+TqUrOus4a
FnHuNwT2WfYJYhW+Qz0Qp77LrAeOJmkGNtihfBzjiaSftl/ZWfas1WmxSjVF0vzJxT0+sLVw2vtY
pOWGRz/caYlYhZWODTdOuleziN7iGhWoqJVxgQAuWnQFET4YN/eRghLRai1zl2vRha6Y9pLIU+VS
U3LCDqcg3wWKv59dbXPQ2qCCQFDGh1mZgsJEC+Sl7puoB4NAwSBu6ksA5zcY1Id1BiF0XYRol5BX
79KygZgro+c5UyPdw+W3aZcREL9kQshomDyQYd34ZndFRzU+A65akvRQNudS1zGPWk/tUG7RutIx
rnHZkV/QggUdNPDt+ilTzglFW+ioCAiki1Grx3OKmqKNT5DdOtiKUYOHjIz9dIMlif/bItzZVEa8
lzTu4oWPYHFcTiHDKk6oDRPrqIDl2sn0mI0pOZSEIT0auHZd8jzH6Cwemw4jrkYzOzfQElUALTdT
1Ts4nUyHc0I3tCdZGCTZWkfevqzHCUN6qxhvSJG6aMUWbyUrEy4ThxklSBcowKNZsVyzD0R6XdCa
xRxXL6Y0Fi95UbcXtmj6iygJa6/MKdFtsC9MuyEPkzV4VhTOBR9LEB1qjfGNUasVhm636YuF5vfD
ne+Hry63++NkCeSBzZkVAmFJ6io+siBWV/hkIw/9XmZ8RF7xoYqKJgiND7JWpkeFrv2K5N5hHxsS
uKyaTtBX+mZcGK6kv+Ak1nON8fCJ6Dq0BvQ+V44LfifLFHstjVLeFoCItyTLrtLarvdCAgctYz+4
S6ys3GRTb71jzUkf+s4s1zpN3xzmY44BICUJatvnrlV6CIdLQDJE9uHLNvMDe0C/adOkOyeMctrr
HMjuIkKo90OtDPuKnKalUVXqjpFMw4ZkWwy+8gL/nh45u1ByrSzyTV7wxKlbB33r0iC7eV1nFfGA
mYaUKrQ2SGxvR5FA5SB11Lb6alEacqnX1tJWe3/hMJBCo5PhKu7lm2HSGyHSBozzIFY6THePhXiZ
NX22JJRziTb/UsHGvS8QIe6ScrS2ERCIo8V6tqgRmC+sOiNz0MnVdYlgkB1Gp86SjnOJuGGeXFT9
mnBf/ywnNAWCGkSREgPGsvM/dNP6edC1J0gz3jWtDgnSZJsaIPkI67VNsXFim4OWylHr3E0Kc53T
KDlppiDcKBPJAXXPruJSqN00vmxuR3NGxkZDt+614VwNyAa0YRAt1VDERCoNuYfzwlglPlpWFIru
2mApCxeGMTzyl7pTkGLTs2RatvJjNV6bYZCfqmVizB5EB4qNaPNkQceEznCYwEMOVGSZkRmCaLVt
5q7s5X5bkhdSob7QLTs9R77vX9JTdE4zsnNP8Tomukcb2TrwhGIAJQdEnlKHZJc4E6y3SSUjx2z8
/IJOuHbOgFHsW5laby6z1DPRuo5HlFZ0bciqAloiTCIPqjx6VLSsOWPZTHcVgSpL7IEvwTwDsfM4
XQZm3J43NBQfTbNpVjnGfVJw2Og5FxkxKKSxInNcRka0KzIkDTMQeWT1IFc7mDBKppROW1faYqdY
9njlo1Kdlols9wWBuMscIcce8NN410OguRiy8KEgZfKg0pJ87FWn2ho2OGh0hxtoTAkxGnHFuEpo
KAgG5N6hhrzfjtnpSj+AWkfaNKYVgxRceKiE7lj3KqUMl9nJLqqWBY/zY/EQooiaZzPJHmQHN7Cs
zVNHa0obC2Db4ioki/Ey0EmiylrRrgBUDC/+CNdSROx7vqPzm0dyK2qbfXyw7eAEzMetaLrg3lF8
TpmZmCPrukfgBbspSDbkvZU7LUuPxHN1B3bUAbkLR96larU1+aAKkiIUIZRZsGvK/iViWsFsocz2
sUSk08VdtwMhq+F5JeMWPaIKgptU9R6Ji6uC8iqrNCZl/hXuhfsaMDnexQUvxRFW9dQ+lS+jEo4n
aSeCGu1pmqCzB0XmZz0TZTi7a4DrXD6zNy8UyyEILEzkgeDgfBGKonxWuWHO20TryPVsmOPpMeRA
reY4UblAQ+yxOQPeHi7grY/Xvo9kv1bj9Jho7sRHIWMwy6fwhWJM33WW1JZkpZoeU7HqVlGm/irp
JhKnAehoj7ldKE8ZERzrKlJLRN9zNnTkpqW7YApN0dM42kHSY134Xb2snaTIFmQ3J2uHri4Wgp4M
MSq5LlqUNd+XRRL9wwianDurF5uCBCgUmO2ZoZCDXLGlIDrwRCvQpEfOO9Mpr2vc0yFnYOeXzWLo
8mk5e1Q5nqr7RDB/p936VvXDtg/cGwdo2kJoXXSI2BIh2efjtnbsYD2asiLbtWh25Ag2jLuL7jh1
JPW6ti/u4AS4pwWElheFMxOC6hZHVIdtGj9mYK5AwthnxpSWp6Ixs0dGey1nI8vaFSpH2tZQFHbB
cVAIbgRUuHUna5BerinDaZXnLPFVlLkbkGyWF/YAsDjqF87al7EDD2oUJmkzFgOu1LefXKEINACq
k9yVHJFWpTu65/DX0gcmrdFm/BDS6MZwFHmYsXckuUbw8kiGgZlPlzBPuj2mmuFSqeu+9tD3dQv8
afrKBw6xm+hUXLmZK4/B6EcbIfvyoWR/Y4lHh2SPZoYloydoqdFVcs5xjK7aRlOXul8Vl43VCIIK
ik6+qVPQ3Si5wANUd2Z9JiCAIElGtewlo+48prUxw4X09yjJ3T0B2cQq41A1DhjBVeAkRnTHwoHB
Va3bcFkqVns22Gibpa/rgITG7KEFbPBCxzw9EAwhvLBJi3NfojjH8TCl3jQje4owR7dnZnp9SCDu
XXC4RnME6WLcylhnqanYRK+wB0jXg1Sd7pAPOptEm+R1XHKG9TjCZVsUqebSpYo51QMNyk6a17dC
xXlTzPntY50EZHST1+hLn8GwO3Xxrs+F7lk1ULyM49m+qqb+AWFfd+NyCr2cB6aMWWLjLtOHaO92
WvwcML8+jfx+OrcmCxhMUhK1gL1XO8trZJGhxtDAilNrpxI3AE0BfVhBkoCwjp2phKXnJoZ6RB2W
VDQPpuHeRI9Jr4VwHBoPjYmxCbdVe6LAk1kZBSmAHtGXExPrpDxjHy8fw8Ev7zobWfdUmhQGDib0
Ecj/BVkizq2wE3vvSIvIrbYj80rRs3PAgByx4qZGembHUfcAsUssLQjHF7456BsJTQcLWJ+Ixwlk
DIcGVfWa0klPlMTi1BkhgfWU1qxWduXHZDij4lRG5wiljBUMCOFE02qNMoEXiV2it4hM6mD8C6b1
owexJamRYtF70DK+Ja0h3xE9XXZrpCpDgqRuuxUoHvGsmNQXwxRzXHITgWkEgFjW0LMqASFHZNvw
qTneKsRvR36cnkUmCAhLH/KFNZgMP/78OPbng9bvOrv/neYMTGINVWc+qjP4pCliGNh9f3/kcHp8
BRT6bYf3py/wpdfLNJUpK+oX4VKfWfMM9kuvV/9Em1VlAOuihEPr87dWr2GTZUOtpRrw+2AV2/zR
l1avoX/i3Tl0PBlJkOzFoOxPAEM5n3/X6lX0eTDMXO9j3vbNyMFMmyLRkibcpr2dzVgJxO64YwN3
4ZSsKZ7h5ug0ldxh6Zf1Xm0se18gmMNcLJr4vC8nbGkEhlrZkrYgsC0FRmLtOuMdOdwu4EFMynR9
kixJOf1V7lVWxvWlnagE49oxWdp0vIBiVl5JQSsXZaf5q9pQ/cKr40oPnjuHwnTXFYV5VtOU3yMo
6o+dP+bPnGItSPLk1NG9y8mUmaxoVtV0NaDlfhTiSY4JbCOjcIdxM6oND61OO5X80IKsjEU1hma8
bEsNziWyi+hyoGIhhmaS1Y1lt9l16yDMFknb+Qtc0+JRH5PsMAzaqLAz6+w2Mp7SdK3j0UXdD4Ps
sYo5KSLvVBCiuUljXw151BUsd0b3ElvUSG6coYRtg+CK+Mt8NeN4rqH8tPcqHaFDpoTZlZ0xvVQa
k6jytJw2M5yS3skcfd4xnoasZuHzoElLo6hXnHXXUtl5gd6GL26PXG6rpHXorlJddIiukn46KRVh
vPcUENdqFUxAoTPypP2grB4nQvZISRkZvYd1TEmToYK/tc1Zqd+2WXMIS1c9J22N3AV3YJzutZhD
NwnZ7gMj6a6/tTWh3FVuBICGHVK9xUZFjK4rqjFZRZhyD44I9Wd0e9VGThjONB23qzeoQX2g4zXv
POzJ9iorffckhjJzGufA+rzKkPnWBmpX78wMnqCXaHnzlAHilEC12votyPzhxuoKaNo1FYfmgSok
yM9vnbOilKImoylP02XjmvomqeLavbBcQBurZowB3VpuZ4Zgy1OCnPoJ0TLxfFVhklSXK8YaK5f9
lseGby5Bnlr+gpyJclqJSk+1heJmGJUaS5ZPmIrCB5xn0GszNM8XGZ7mjuMzhjwuRpr1NF9tMlO4
sEO7iACpcP06XHgLJGU5JEmS8q4sDVMaV18ED3QD/XcKG9x+MtX9N+iuzdaJq1Z7KVE6My6RHPaw
XvgUj/yupljbknb7oUt17bR1w5wCLk2ptPu+xhUUDitFooleqlHGP9d6rZxqSlQQndciqjCLaYoP
TdiJ1jMHPHcQNbJbpPLmK0q86HEIgEl6ElxwCdULa60GenUdq0piLkwt73dlaIdAs2JSEAjrEQLZ
eV6lzkItkkbjVBy069GlrJhzRZ03t5NCJ4zYxWhipyRmIme1L5Fz1btOdHPsBalY10rq1s+utOr7
GLMpeZbTtKZEaYoluDVBL0K63aWimPV9Ly3Lk1YPtHSC0tGloJBXA8Z+MHqd360461ACKgXJPzrt
G65FVgSkUsVdeT9mdXKSa4kVrkQs0DbGKP13iKHJusHWO3kWd2VPEEdfhNSTnUUFZAt6eUX34jKW
qhAltra7aMapOUuTdLwS7hTSe/OL0l+l1jhsqkCxNvi/1J1dJj0dRr7GR+km0yt+nIBeRaOOZ2rW
KGctCX9nLohDsIWFaV/1WRldd51Ckij1krZTe9JSzNqXVxEGtgtorQLIQJ8ry6Bo8wdI7vaqm3r2
fd8HR4AZJlrQsZ/IY4LiRseljFZKo5LhOJlO/AQbqLiIU2mt6iqYpXfDsGt9Ob3OR1pnQehqoeFp
40SIBm/ku2+TEke62QflY0liEKaVQO/3iK3JScUUKzEIqc0t3w6TCpXYmAsD2O2iS/Gu7BXsXbXX
O7Xhbgp6wUufVCeMnWBzSu7VuHgGDiZuGpMy16vU1tWZ/lTxk1aY5YOF8pgUtUpCO9Bbk2hJEyAd
CsQkTnKvsbGrbfRSLe/qWIuTK90pKMua0WDRQRBTgSwD+HQSxqToILSDy7Ji7qYQg1TiP9vqaW+Y
O6ninr0oq1KeBROpyh6NL8KqsNi757Ky0+eB9Nb3UJHFsqxVpie6rCl/UoPtxk4TZxNz4AsXGHPt
lT9qjFqC3I5om9K5XypFNezNriLjzRj9dN/2nZjQ2KcZdqiiwa4T61SRWgCZsHP84UBYlkEE9Ugo
eYcHfqc1frvs7DY1F2jlrWGNazw+NSS9cnA3jYGyyQg33XAhAdcEhF7VRenJuptOxxgdZptlhKmp
lakmi0pk8bNdJfkK881JP1Dge3Ha8rcgiFWXJT3vezLLely5nDjQ/zZkiVLnQ2kr4NMtg8Yu9jw2
VnGfAcONAWXXW1tAwQGeRj9KSx9hn5JUJmZlU1LNBozcTfeh0WPchxVLc50IB0v1WHZy1iFsL1K7
MpzhUtcKqMJqN72m7AZs1FFzk9JwPQmmYoa5+c7CzOvmisK5eydQmGyzoIH26IqjLXsx+6PAafdG
sMXrXd8ag2UAs7CgToRpCgPDwW9aRa7fLYq0cw+tBoQ8IQVrmO1d5R5HCqXgGLXoeJigQBWIoAbC
7SFo1KigBQeFunQ7H+izxUK+ijHFlp42UHstTJhqKDfJQCPNF+Dcpo5HN/amqEp2U1QXV2ipU0z8
DGAxL8YnGAHNkzZskYlGZVs/4IwkBsfKnRdBazGHVmRWF2aWOmQEqvY2bppcW5ilz5RtUPRXlxsG
JauWkxBHX6LCZG2usoRUDtVqyls1R23Ut3z9pEcRWsy4N8MAk0xwgkVAwqod2+c5lvkXDX6FuqKv
XCyEbMpZTWYtpqZqbiq9rl8wBJcH0YjhLAcA7iz6JA7Oa6sGagFsZtNbagThJS2NhjOXbj9lkxGP
i2L2EQgTOw61eBa8+WEVomVTjFPAaDTZiZClddszlmADLdr2sTNHG8VK5VwrpkGPuVL94NFW5yzX
IOqGJ0UgYQa4ICNqsxgRnRuLTQhb4wKNmLGHf5e8837lAX8Uk7uppYE7lSOeblBLgDc76TQ37thn
lRfXeHWXRhChfxZI1S4d7HlrooL7uwmK2Nqu8uzo6oKjRlkT6sxwyYfjTFs2x6lTGcGGr6o/1YKA
aBeyLeRlJA1RcXwRSQzbNGWl0ouhSQmKCGUEPltpi00LfwUKspx5DcwZRboGhKGd12Vp3ut23xEB
V0NaW0ddNg+6pROA/tClcxIxys0WeNbrhug+rGi41NWJiRuVI/OQsZePfRPJGIlwqBaLaEr9MwYK
RrGkcRHuuENcZld61DAtt9nUejJfaXPZXP/aaem7BhmRP/qQpXemGVZXtO/wGEvqoat4NJmfa12w
UHTVPolqywEK06pvEX0D/KxWnesr9t15qqi3VN8JxfQ1HOYoXEUjRwKvl3WYr4JoonGqKZQwB+g6
nb8mItfc2gQwMZpPCN5je8sdnE5sFd2ZHtVQfvgWgmAxYA3ZCK1xrohrKitSI3tnIg8yNd+JLHet
ZQ564NYl6vIYOYr66jhp226LnsYOEj3ZtBxWaRMzAK+GcpHGcckMpAmh9KfBuw7K/6qZgAKObqkh
8IhqaBWkS68mu5CXrQMwVsIUPNVywgLXI6e2eEmutr5yUf2zTrWJ4wlR+0e3r/QrNeeIseLU6yoL
mblWuhpKAe4WIrjyDsVm4oyG8Bv43gyS6KpiTTb6sJK2wWNisi8vubNbjWREtTgaGEv0A+V9uvI7
vAL803Ao1LQcF3lZ9LqnltLH0SulvvCzKjz4mPR2RuKAnEEEIqHq17ZGBaRXkyeNHh+NzUsGt3Fk
8p405kJ3ZW8TeFW5fvpeAGu8kkbKjCJVGbKnftUyvlSmpd0OfMlyoLlqyAZ7PEDyBRN4khrGQKoI
P2nFt5PKvVhGieVZalASi6fIkwQHOgd8vPfQ5zX3fTRtf9z4CvPJM/RDyg3EFF4F8oJFbhxuTLZ2
FEgb3DP+vuCefhlTl0PzZGrBFTs3SccGidonjl/k8MTVBMrAUBgbVWEc2VU2gA32kFUg9Wol9BD7
ax7T/TPjMKazaLcrt0Dy0451e8abNvfAt9QHzgGz2cPN1wkOXoWHJsUy3TPt8FxohTiaAywZcdJe
FWaLpDVD2l4T7gepL6/U6NJG777ScA4FngWK6GSe+684wfkroCbPnFPdjcozuSrahiEQVo8njB3N
86gC8sbzpJGiOeoJo7vCvsSdBSeQ6gBRC6E3m0mZ6VdgTG+GwT+MuNsfSWQOLyHw8lzqAzkIvrCG
vYN2Z2uWaXAiRJlw3UW0d8LUpQtuR9amSFT9vpKTzRoVFWI+oSPIYtoKJdXGtUkSRBBzmoXp8Gyx
xGwjjqWrhAenPkM61HITGRTHssOQoiuwbJYBPeFdUbQcopnDFzdFwImXI5w4YHc1r82poK3KuPtQ
AOtY9aLAxxDEoruplDKgae/o+k4EjrNC0hLe8OhhoxH6xNLG1InlMcAyRqcLR3Gaq9l5jo13b/gh
UBBTF+RZovUA+iXU5MxSDOARUQhWQ59IuvABZl7ItArAxqqZsgxVXIsQwMZ6yaS5uR51cmHbtO0O
kP2sF55d7aAhE3qr6rBekxfqZ57Qx5D8ud7U7on74lSvJfHOqkR8ZqtIZDy1o5eRNaxXUYvYDKNy
FhMBS0u3zbNsA7OGTFtXGXZ6SXoU8pDhREn5sInNi3i+klccWQNaxxYw53vJVhfy2+DB4uWe+cZN
eu3rqXPThC0morEFyOxhqRbrKomB4hj6wMQZlQYAjh5htWmH+Y2GCX8tAC0dClN/tykG2ZUxr9ZL
/FDNKVRHG7W8KVdkKuL+IbOiv8OrFfJdThVN+bYrmldcvuPi3yjO09KHqLM1oEZ5zNaHYamKGF8K
Y3zrgmZr3hLBEqPz+H/SRfxvFIeN+4Lzh4OxY6YNGpj3UHX+fhNxeXyVxw97x/kR9fJv22P3lka/
/Z/Z7/F7zo+f/oovAmfjE6YQ3IKzuVa1eRt/azOqmEA0vBy2YWOz+pA+f2MCIZJId/kD3jYN0L/1
GXWVmCP8wjhL8Azzkn8uTtv4UVL62QXCTa0JkyHyj0F2lEvI+sRkklBy247FmXujrYM1ZFlOeRHz
/dnesFbrK+M2HzwX6F18W1fROsrufYJ/I/p2TmcSVZQ9caIHa7ENIfe1ytp2gJxxqPDrbBc6z+NA
96YMYoI779v+iaPQSqGH56nT9axU6/Xxwgjl2lD2pfM+ZxhuydLpmOe/huQ+5NYpWDYv788K2S58
8U6zapFIht8Kg0exs2JSGEg+O2d5XI69QtzruMnmoyDO/8VgxmvKGx4fuY41wmA5GZ8P4ROHMk74
/bPq5rd1o15m1QS6l13Qs4yxXNU2YJ38pUkvBJ5FWkVJQ+FEhg6rJ/QIgL5eb+sHLY6vg3TaGYZk
pKBvFTPbJyo+RpGdGgM8Do6XF3UrqQ8ChLG4ZGbfJCkq3lDGbIpG8WYBKEHDaj6qzCb4mlZdEawK
F4iH36/NOmGAOC5kMyxj2Idoy84grR0wH5/THHlJbHEYCt5rP+LjLTX9bojG24IRDIrPVWCaRMPS
tvZmLTstBF41CKNDkIFcqZAzzEet86rGrjv8s9y5f0DZzs8dhlnMaFigbPrp9Li/6WUnnVoPUQHo
d5iyW0lEM1C2+jB00Np6Vl5dRQNoiz16rU1aXoAg3liaedJkTrscVcC9WT3r+Xx3J6J0myjqOmr7
NYAVAph942B0xXoYrGvDtGBlxxyijOikyk/U1tzIMj/RRjxJOAfpeAEku7SQtzl2v5IaQ02+QuCe
7yaubSt5ZEYPINFaRDJbBzFYPy3E2tgsq57jcFyfIqRd6qQnBFLZlpN6kJZcd4Z5GFX3VDDSGsb5
iEuqStjcxCW6WE1sJoaP2pOgAwluY1+J6ZzESrTZRcBMa46Zd7krkzFflx2emfyMvL2N4lOqZc5z
RvZ2mqrboAcTwoEHzFM7nU5Ds8LnehxLa13kNJN5QQ9DC5uMNu5ZLu51PTiP8xtdyjOImdta62/y
4WmKreGkBFeCzE6zHyvfgE0fpg9KbKzCUtsgq4y9XsAQFe6WTu8rshFy74BPBiPuTk561tLlPHhS
9UwFxPT0zer6U+b+d5OOz0ungYFJdWa3h/vjxGMqGDjLnqA+USRvgdLe+1w+X2pPFXXW1Mm9ZkvC
lJPzqe0uglrSGB1mVamnod4CyWIT4ePGS+R9Ozm5F6GOLzVqrmrHRfXdJIc47N5LK/8ndzcjoh/e
t2Dl5v5mAWeD0VTnB2JCTZHGdCT2V5Ut8bXrBgFSvGFwVvheUcGlFi21kI4M62JJgIaSsUhVWgvn
az3QWKlC2oG2QhdfVoTBlbbNPRvoK+rELbo93dMFkp+ou2Zh3RjpcIji9hom5+1E5he+r9fAGq4z
k4Ow4TRMpEFEAefnF4umoPPqsDR2+rtKewN2YaOc0gdESzWV5MeU/VXYdYfeaU9KwYA8EvlZ2Pmc
XoT7VNmT5gHtvhFaeoH5Fwa+Vb7nShyuLKO86RvlHTpBunAi8Q4Q/boW8UNG709C41xb2ntJRyhE
eeTmvIOg2qGm8SaH7mxo3fWZtjEcinNbPvehshvxTRdZv6o1THP9Qu3CBfXLfQ4ZpYc9B55mhXbt
jMiLA+7m2CtVfRk77lYBAeSFLYJP2dxWKk2E3HyA3nUbRMMFGIFp2c1Fi9JsDTSwVUByaZVfW2G/
VYPJy5v4xVfL6zRs9q1uIEvjeSdHF1zEIcjVXVH2h94kryV1rjNNp16BrQhgfOUSZQe+bk2o/Jqv
/hQq56oHQSiG6J429Jbe4KoBmmjRSy5OGzCX9WitGzcFt4RUtn6Ip+vZrIjgdhm2J26Z7JC+3ksu
4WakyGE2oa0pujdOAiFzruml0bwnIUVEIw4t0sxKxo9VBojLrWOym3UyMSfDpKEi7OY+zuzLAuU6
p84KnBPDGAzVhFnFL1VqQo5FFOFkO19x7026pgiAX3HWrUtSBGfj3GnOY0jBVRyaKtnqE8OForxG
J3OVBPGJqY/9kqgFr0JERxiKxt9vlkz+1zXkKT+oc3amh1jvt8YwbLM2xJ7HmAKUDXPzMH8Iaut0
kMZdCnvRs8SDNVU3Q9Y2K+7qXeXb75NunPg4rlY9sR/YUwKoYshR2gbDggycdGWZ0ynAeq8SEBSh
LGxsqR7NmroOSOhVYYzHpMIcQbDWAz3VEOAiOp7IHQ/SbG67ydl3NoFRhkr7PdklhHeBVYHGpw0L
PYxvtFo8tHp7og7DczZMREvk5JylZAz3w3JQ1UMmgiVZYXeIGT1Hgm013SvRwqBKHtFMeCR+LFw/
PK+76NLICJ3gbmcU+j5FIPW4YsPgXg/jLP4jyrSZdlKrrnyYgwk6o0l9GpjgBfqw1lr3JUZEjHiw
w5xhXZFCnlE02u7KVM6lc14i5DMu8vYKWepBKtmyNUrcIwBZdI+4xdsMtm3CqaMgKyiHT9KRkabH
b0k04pmk/qkfbPemp5kcDSYINERO4VLTH9vg2g6IgXEkOLVLgNSw8forPCbcLgpOnyvA7PPk6FT1
ieEaQWiyR0WCjr29ttDuJBGohRgWh7jQ+hfEqmikjIempTcz8lwn+oPjHvBILOz0Ug3ayGOtvK98
qJJtZC2D6Lkn3TFr36EjLbLSfR4MI10DfXhWSrGNZLBNIu21A+OwYLBGaVe4y5HwIsYp/ZKBL279
wtnFdFhhV7v10gmyu2iEJDToo/mqSJ2JJPFDTFGcdV9MJ5bMb8KgspdTrN24ifJYjOM9NNObCQvH
5MPZQmvL3CZnJkGLEcZT6uRo8Sm6uj5/Kdpp40z2ltnRPGyUC9XhOBWEDMzMKvCkCnRBNb2MPJUG
zAFci53ofYwh2A8mYT9nXbcnkPDNGdsb6E3loiIqPI7HYFnUHE3AZcPtntHEuuIT1U7/nSFYqdEX
n8zTojTeISsuYm0TNGKPIWapFfIsAdXA8eksrKzzcWw2xCXp8L2MYC1N5N5mj56feX+0ZFiqILZ1
m1WaABv7t3Ci0rVbjmml5R4SVMSMkNqbSM0eJOp3XCTIyQPy2Y1Q23NtAF/AXfX0Ek9tAWRiYefg
DVXonQiixPW/qhz9BVvsF/fuHDW7ypuoGS/bNzlevdVt2sAh+BzCPf/poYjy5qb4z/1Hf/xCv719
/Oabf5aQa866lO+q1Y839fGO/+g10iMfrH0lfldTP5nYBW17DnZIizz48u9t8clUHV0QzqF+/FCZ
8ou+uTi/9/H/+JN9vo5//N/80Tv/fGF2r7xzoWs/Cn7+9Kc3sRETDIx79/OnpPj//iLM3k0Nuyc2
TX4+u0j/6y8Ca0bezDdhEBX5txImxl//sRvgh1f4+w2gI02ydMLSNGqx+eeHS+DOWAlhzifxjx/8
q3+t+8B2gQ3rnK9/7Tmw5s+pE+aCqfvj5/s7wfykWkyUhA6Obv6hU/LXugx8gfiPzbkZ9EsXQjcI
yoD7gYX48yelLv/mkXCsTxaLgqHTF//4+bwA/dc/Er+fG25Ys8n61y6C+wlMgIbC77sPz6JomCoX
2XQ+Pyt/uYeB+/fzQv3DNvUndgTd+sSahz/Sgj04/3y/IHAD0HFEIDQjY/5ij8BnPs+vLgWku8PO
JxaToPifXADb/kRWOxlElvb5CfjL3QTziqgbv3wf6J8EQ3Sacz/fG0nhcWlxcC3+opcBm5H+qwuB
NicK6WQQ0a382b0gPtHbcQ06+J9//nrbwsczYfzyrsCyb1is+/aXXYEX/GZXIJJJB3fscD98uRB/
tbUBypvJTvZru4L4hNaczVH7fC/8uDKqbI2Cw9TXnfP/12nxd7dG5Oza5zv0F7YH45PDjcC0isP3
N7eAY3/CrjOr5f/8o/AfOD38rfKCN56+ftRc0Vv9s9Ls9/6DrzXHP/75l3rjo6jgPP3dfziXYJ9/
999Lsv/93QX+qIm++cOvNdLH7/ny1798wH/81d/9rq+f6uu/3EZv8ihfQpKZ5jr0y9s8P2bUbUwc
QyaRPwtSswQP59/f0P/6H9+93W+egT98/bo+Zl9fZr4ys+fg6z//tC7926P1Ry+Ln+kov77M/LKf
Dyy/+m63Rzn+iO/5fAz85VeOst+PrANpxmHjV3/F/phl7W//85iV//7byZEU7Oi7K8Q5bK47f/W3
nBxlTtMiOX59qW9q6F9+be7T9IcX/mhN/OoLnx6TOjy+9m9v5Xdve7bXfP0X//mb8ez4Go4/f4Zm
+86v/4KL14i3//V1Pp4iyuh/wZd5aF/bl/BNyvG7F4fmyWH9Vy/6oc3j4/PX1/l412QD/wve9dUx
PiLdO37XwZjlD/+C176OkiT6bsFiZGj9C77Dm2MWpb+dH1/bb68I9a9gJ/3VS33bNIhIfrKIfzmu
/Orr37/Vzf9l7QpWEIZh6K/4C4ogXjyIIAr15A/UWbQyHHTzoF/v69aW1XVuLLmO7TVL0iZp02S2
Vahtlnti60W38QOo6EJiMceCVZlIx53fTUXfvx5Ar9p0h8CGjF1EFIctJCourHLIAjrprLhAuocS
xeWuZfwfKOfPofVjO6r27yaPstpCfwoTuwNz5I+uFmvEV1SenQ2y52MNcuAMszedr+WJrk2g/RGE
Nf7ZdHNiM8KsqD2SQ0eCl+2nQGWTkE/LJw/UAmdgk1A3tOWV72hWQAqWdgZncqfyu+5SvmRwnnqz
7hrqbbFmKucHa5USZxdaH8iq0mWnGqrb0WWQb21ncPv5VzvdCAy+1BGmoBefQYUGS3QShTD2djhx
mPR6NCV/9C8hqXgzHN51o1B/KJf6LA6x7RtZrqTZfAEAAP//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orders by State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 lastClr="FFFFFF">
                  <a:lumMod val="95000"/>
                </a:sysClr>
              </a:solidFill>
              <a:latin typeface="Calibri" panose="020F0502020204030204"/>
            </a:rPr>
            <a:t>Total orders by State</a:t>
          </a:r>
        </a:p>
      </cx:txPr>
    </cx:title>
    <cx:plotArea>
      <cx:plotAreaRegion>
        <cx:series layoutId="regionMap" uniqueId="{B82FE2E2-45F3-4332-B3E0-3E5C802BF365}">
          <cx:dataId val="0"/>
          <cx:layoutPr>
            <cx:geography cultureLanguage="en-US" cultureRegion="IN" attribution="Powered by Bing">
              <cx:geoCache provider="{E9337A44-BEBE-4D9F-B70C-5C5E7DAFC167}">
                <cx:binary>1Htrc564su5fmcrnQ0YIdGHXnlV1xHvxLbZjO07iL5RjO0IgELoAgl+/25NkVuLlZGan5lSdSaWS
4gUJSY+6++mnxX/fxf+60w+37pfY6d7/11387UUdwvBfv/7q7+qH7ta/7NSdM958DC/vTPer+fhR
3T38eu9uZ9XLXzFK81/v6lsXHuKLf/039CYfzIm5uw3K9K/HB7dcPPhRB/+De8/e+uX2vlP9Rvng
1F1If3vx9sGHX8RDL2/1i18e+qDCcrUMD7+9+ObBF7/8+rS7/3j1LxpGF8Z7aIuzl5zkKUGMvfhF
m15+/p2zlwXDtMiz4tMf8uWdp7cdtPuLg/l9KLf39+7Be5jQ7/8/afzN6OGeePHLnRn78LhwEtbw
txeH/b26ffGL8qb8dKM0j0M/PP19rr9+u+T/+u8nP8Dsn/zyFSpPl+rPbv0HKEIB9F+W5m+Ag7yk
rOAkJRn6/U/6LSpwGxWU5gX+8s5PcPzpMJ4H4nOzJxCIi38UBJsHXasvy/E3QMBf0jzLCkTpcxAw
9jJNSc4Ao0+GQb+8+hMSfzqa55H43OwJEpuTfxQSxw/uVoOl/l3OKUUv87zgjLH8GzNg9GWOOKZ5
+hmiJ9bw5+N4HoQv7Z6gcPzPQmFv/k4IyMuMZjgrMP8cCL5FIn+JCIQJivGzYeJPxvI8DL83eoLB
/v/+oyzhCKJCW9/293+fMUCkpoSmuOCfQzL/BglOXhIwiAzTz0CByXyyw09+6S+N6Hk8vmr6BJWj
g38UKvuxuXW34cvC/A2xAr+kBaYpy/GzsSJ9SQqGKASMZ2PFXxjP84j80fAJHvujfxQeB7duue3/
Rm+Fi5dpwdMiB7b6FZmFeJHlCOco559gehKz/8I4nsfhj4ZPcDj4ZzGo41vX34bb9m9EIs1fshTl
OP+OZdCXKRBdoLmfnVn2xSg/eau/NKLnMfmq6RNUjv9ZMeTVLQSRW18H93fiUrzMCUY8I8WzHgtw
QbzIcP452j9J+/7imJ5H5pvGT7B59c+KJK8eZA1Ud/kbkcEQwDNIxTP2JeX+xocV6UvMGOUQTv4g
Yl/H9780ou/g8u/JPEXln8V834QAOs65u71/8PUXh/I3RHn6ssAZcK/0k8mg9BtkOALmRTOCvxCz
J77sL4/qeXSeNH+C0Jvz/68j/vNKztf54TdP/G/FK/wSlp2kQMCedWbFY+5Cc5Y/T78+60rfH83z
gHxu9s3A/x+LVN8XsP7Q9jYQwLe/i4JfaVg/vvv79ECtfNL0R+n7p7U6vP/tRVqAL/oKr8dOvkk4
Xt3e18vtU2v8qunDrQ+/veAYBEieU2ALGIEMycG4ZlA6f3vBILdMH2WwnHPMUwyhqDcu1CBa0pcc
GhS8yHNUpKyAgXgz/n4rfYkYhWSUUpYRsEj+hyh7bvQiTf/Hmny+/qUfu3Oj+uBhUvixq+HTg49D
ZTlNQQhKIb8llOUIvADcv7u9AOn38fn/o9KkiGu7+l3UY51vkJP1PvWuPkuSBl3XJKRvuZVcl25l
+kRly5we8X4Ih3xWzWWfY3Xm7CStsPOS3xPVFldrH4phXxmJ6UnVj2N9LaWpFpEkhl9PVYMFHjDe
xCRDwiN9YfMsvmHEkDLU43Q29Oh6bVxMxNDPV4oM3ZVc+/5+JCw7c6hrDnA+8CO6rvWhk9143rVR
e5ExEk3pdeiG0tbJWga8hH1NFo/KPvTrMUfpjEo38uV1MVbTIhpFtTnCzl70kXbrxVR4kx3Seu0u
B8TXadMoN112qemKozWf00UUSOdU8BzX0yGWerIim6rhPkn4uIjF9pUWWYdkOBljXxRHUwUhb7vM
OXavl6Ud7nOXG7WXRWyn6ySVxb1Z1/hhTWeTHmBX2G4bWNaWspkTulNF4fQmoS3uzghn/Xy0JmT6
GCoWzGmsO3uj8ZheGYo7kbmKv8b5QvZz0xzWNMuSoyGpB7Q3mtMPi1P5dJjRYXHCVs5KoWuKVlHH
Id/QyZld2shclVWat7UoFnSVe6PejzqX96NN3F1Enp12TC1s67kN26qeZV6SbpiPWYrDvpfVzEVL
XLeHVcnTMhBdC+3tVAirhvWATO1cyjTIk0wnXXuzwua4aJoucSKgHh0ljrfCJBqXYZWFFkO11CJF
mVTlMHZOaEnrzZj1VJC8xXjf9DM7SoZGnuR9ezd2sFtib1u5UZ0Zy1XJ5pL7IIVf1lYgDfMeeUXL
JlnTupR5NLfIxEp4NWYfpe7429x1sMlT5Nvsph4YFWrQU8nG+CFLDRKFnJKDJhK5KfpU7VGzhnoT
ukId09BdDFmjouhdfULIQl4zRor3zmn1Ss7K061e1npvA+N3rsO0KVuU6HeTi+MoEkxiEFTJKEvI
wjslRtTXbakbHXmJat0MR77Pkj3jq41i0dKfzNWkNk3fX/BmRltl0tzu8yZgMWTFlc7z6b3LWV+i
YYL9Xsyc1OU0+ZbvuKl4doCqbr0lXT3Wb0dkalWqWDMt+po2SMQ0medDxEI9iXlcM16aDqn+MMVc
STEUU/3Ozypa0aUymJ3J2BRP7CKTYlO3s51L0DWzepe3FNuyTub0zDuVMjFQR99nK3NJFFyypNpX
3Zi/zbPcJqck97XbKaLqcRdTnJJNPnm8lC2dM7Kbl7igTRMBaIFRT1qwdSz7eJpbJsdX1cTnpkxt
g7pLVcBTFzWf20ksrErntwF2FxeI6TbuKplwU6q5RkPZL8UKu2ydzUGoVbhCjSaHnBTSXrbeLHyr
klA0D/O0DCeTNh4Mmwy0F8ua6msHA8Vlbpr2Qc+hcNusqtwghtYmaCMJ0x420tqPwvPE6bIf02ra
dKv+6IrGlh3NZrmtmqH1h7Az4ygGhZlIC5e/dpPqT/uekHuaxB4f5AUr1NGYE/chK7RLRFe3dlPV
JE5CwS1wEhG/6UE4e2PzbkUCtWm+020uDwgarCxrPrCSEWVVuaYFwZuKdM0k2nqtgwAHyXw5NqOF
ypTX3SZVQ5XAzcx0Qse2d6Lp3fx+mnr+ampJ/9awZunETObldJxxe9S7rIjCDUPcgh+SySb6Yj6g
aZhfTYUtzquEa1Xypi52TULjaxLHpczrHl90U1/n5RxII8u2l+awsrjwYtAxPUztoo5DmGNJEmev
0h5nb7tA513qskWsfUEPRzXLIDoIkd02Jgh9iHLSZZbg2GylSuS6lXwd92gZi5PBhKTsE5+1ojXd
KOq8H86SYMZblMV4o+Y0v/Z12h7ScWp2yE3VBURLxfc2Zf7KpE38YIPK73GRzlez6+bdRPrLAtxS
FLNlhd/Wk7lsxjw2wq/1cGRtC56Xp0wepJ3NNp2fyH7q+0aVJA9TVpKmUPWO62l1wmv6XrIeYB19
749buvCPxWRG0SuTl6gq0EETQnfDWJfIjSEIzwcIj9lWT5pvNNbmoOsms3WumU+Jt5kR1oS02S0p
TDggmT4MRiUnY9VkdYl7mQ4nS5etw8a71byxetZMVLGD2NVPQ3445ON03La1DBvDeE7EgoK6IUmS
v57GJXvV2LY4612LW5FSfgeh2Z2shfTvm4lksDdiHI6G2MrjLu0aGMsCjopk0V10CsN1yKfiDMYS
brq5QNdt6uksxtmsF5jZ+lCRZQibirKdZ80D5Vi/oWxttnPVqXAK6PXv0YrWTSQh2TcukL3BebNR
Zrif2Lqe18XKT4G5RC2Kvnu3pNqVtkhUfdibvBZ9OrptW5gJ7I3FbJMiRV+jIUW16MZieZ2OyTpc
9l4nRzg37ganPWwwmY+rEpWxHd/Mzkyz4NSHD9RO+Y3nw/Q66oJmh6Tu23dmllKeLXnQYIxN3n8w
sw93VaanXvhoXHLkfbU0sKpN0ewmObHLIl98D/5Fs6OBh6QWFTHw71KThJfQGzgzlDA2bRzQvJJg
CzfbKpDXeYNNSWYPnhnATa9j4vuwDYGvpoTW3WYAYmbFQKLaL+scPhJTGCvaCa5RVo8fyRymQz2T
4WSmjh2RRA2vW2OmVXi22HpD9NS80b3t97Xt/LGqK7RHtKJHhWPQUeqUftukWtdlQT0EmwUWx5es
nWCEUw03CwNc8MA1nW92w5Ktt7bom3xrY7bcqiWp7oKPLN96P/USLDa3tcBxqdvzNCHuGIC3jcDQ
vC9tN/SN6Jjvz2zL1wsgpvUmKom1yBWXw8aMeoXNmlRyj4vG3BTt2IG9Zf28i8mqUlG10yACscP7
3gQqS7WAatguhBznVVXdZuPot1PlRgcEL6mOpbEpEUNK2kMGQ9pK8JlL2XBk3gYu7d2KjF1EZhg5
VTWZElGMhl7UZoknzg/9lSlGGJtzhpwariZVzoPyh71dZbbFuTTn4PWXjXOsWA+A7JhBIFTJN1Wq
H/3ODG7S42IqaVeknXAVkKbNYpq+K7O42BuuGgg1PCnWM9dZkm+GMY63IRiyZXUDJw0627ZnmcIu
F2zu0raslxwhkWoWXwWXjnnpOVrfyDUUV4UdWl5CJrCeqqVGB72J/bSJLObvUEGm+rKNY3Fu8zrT
W3Aw/D4AtwwiRrRUOw+R+byXCzmqtamQUF3gB5nJklC2rE4WIWHNDpAqpj0JIfeCpI69VmuTMMH7
GV9SiDqbgcrxul6DuswWzM/nRQJvq4n1rzUOZNqhYiUeKEmCFmD2E12EmyS9nGihzppppUDyeLuc
kcy2d52M2YUdwFEf0MzIWqiE0C2ZSHIPHq/ZQXymO7zw5oEtcdgAFSJviliYdOdRQi/QONMbszZM
lUWdqZJa7FoxL6E4qqlh71s2recdcskHw7vmEi21U8fYh+64nxb2seBIDSer9KYSqyfdfZbHcL3O
cTnQq56O2UBatclZjZoSsanpd7R2y7JRPXihA2s7erDYJnlD5aKnrfaD36NAwnFXu6Jki0KotGTI
tukyurHssdZHqO3musz1tLxdeRW2pm6GBZ5llm3qTsVdm5rhJJiWtZtEKred4ZzMcZQeHabd+C6i
0IlKGrVZ1TLCQLC9qQx6TKbocBTrjB8qN4DnyWX+Ws0sbMmCpRRqmY1A4LxEltTXuE25yB2OAnbh
JLAvPhqWH3iaucMoK7m1POhdntRxz+fa7Cu1VA9VMvizHBvwf0uRNMJFyA6TkO9NF+r9DBQh3+A4
0VNZGHMee1If2mbwu3RJ+oPUz+2xlWy8m9swvGbJUvGymoAa6cjMVQ6xb0f57A9mXcgboDO+NEUN
qS+4Zj/CQJeVVRDB20awyVTHA5nUfijcKqIc/cmIJUTqZFo3s5rvIHsIh6nhrRYQidvt1M/hvrU9
mrfNrPmhbmp+01icyk1vaTiaYYOUSbK4Y2dxALLYNkeFb6fbldv7dUiAW+m8egynkI0NdV8d0sW5
oyXB6x5SILmb6hqyWrVk6FWhSL+tGclK2yeTcHLCO1VF+jp0aOGljdEdU9uGEzTUw+GSDLbZcOLQ
GVmJLHXS0JPMVFew7V/TXB5PcbzO1jk/z1nLBSd6LdO2HYRP50IAnFNZtLKBxG1t6ld1Evq2bJZR
X5ss1m+RpEUJ2ScdIcDaNxSFeKuGNp7TFWMlEA3Nq2Wl7IDiOT80FSmyPYo+B/fWxPU9xeisHbw7
a7scNAIfDsY0c8AAx76HPC0bb4B1VmXfEvLOL2b6MKz+VVdre+x1021sivQKLiaTH3BRoQ8S6EbJ
x2h2y7jwV0D01uPJFP600dN42dXw7oxbspGQKu+sltrCFk3IYbd2+NRQNl8FBtx88W3IxKiT8N5W
nByFFE/bvhtrEZbMf+C9kjtdsHhMimq+rCTRkOcEtJtzDtENzjPtsiSlb3lvi1b0g5TTZnLTirbA
Rs417Ea77SarB2HGtNvaxJJJmHbsQ4kxCxDCU1uXFLI2yIaTbLgJHZCnTZ2M00emq8CumIw8linu
e8hMAq7LANHk3uFkzspWd/GgWVV/E6UDeWLMsK4ES5pBnnfNgK4rNRmg3y3IRE2Gb3Cd0DPc6PTe
N4lJRZvrrhED4HA4Qnazo0xDIsHWqK5bG2ciEj5gdTkMvu8PorR8O0gahi3Xdn031QM5ZKAAHcbR
Y8gXYtafp63G9OBRILmVJEm3U7uyVuRTpFOZ5QFiWOhDcpn6BYkwT3kJ8WW4rDULt1grcAA+7Q4w
UTeuMfVx5n3ot3qU7QbNoLNAXqfTDa0MubJsCQe+XzP8SsYl9WXWu8Ztsccr2wfUZckui0kTBJ+7
nl83VmG0HyBqZsJX+pEyypN5HnZqdg0sRCjGVVQerV40U4E+DiiOp3zNq7codoyJesmqER5jzTvV
K3cECk5vdryxmQJJK+qjhDVZdzVXYb3sQzrRky7WwR+bOrZxs9ZLt1VzMpcLqBL7kLH3RWe7Ymsh
fdtDgTdj4JEUmsssJesrSDrdTdFDxNrNsyKilX4uITVLrgZe8ZOErr4ECpmJejTTDZiccqfg8ml+
bMeuOUurLL/TzcjfgjKDRALxCJj0QPZ9q4dTUgz2LndSgjEVMjuJdkx3aVHr+yYZkurA8kYVID+4
1ol0zSJoO0XnCDA+EAxENmAXSjrMJN04Ncyvmjbzj2nhKEGP0Na3gsch5Bvw6+MshkHOpMy8YehY
1yPphMojmLtv6oWICnUhO/CQiTW7ji1c7yc2oY1rSWBl7obxXVbZR6rsjYOY47W+akEOJGUFiuVZ
D+kL/No5cO51BxtTQJxu6ZElXX4rE58LN9Yylu28tMBwIEQtjCSDyOsuHs3FQD+0Oh3e0i7l71ba
91FIVyfnhutsKX2ec1/OmV92fAlAYZUe3SEwcb2b1qHVZbWMHtK73iJbDk0YuCA1lze5XYZ9T0d6
qque55B0dTzZBTayDVGc3FHQP5JNg3V7THPd9uDlMX/X+MS7fUpHe9xYmp13BGUHugtGwA7O9EWf
aHswV5l1Ze0g9yhxIYMGSGh/kjapxMLbDoyky9p82E6dcXZf4S6ZpJhD1Q2HTeGqcTt2abNvJ5ZH
Uekqvp8oJFgwE+6vx4WNrqRjLGDWjK6yxG1YB8GKBQS0qQWWPOo6veKM19M2D5wCT2hldkz9NHZC
kqm5xX5cQbdQMUl3i0xRUnZTHtxRwcb1bdOPkHTB9qR808rISCpyFOU7pYLfdz2mRyCIMLXredbv
Qa3V973t8Ku+WIpG6HbMRtF55uiZGmW4tgVp3toZTa0Yl4rCNFduaNkmzC+wxca0L2fYKkdhqdZe
BMftJMZJFledcpDNRwzuZ6Fp86Fa5gA6CMYWn4CfUFpIlA6wQVvSpYc8WtfvJS+m7HjupnHdqCay
O0dG90ZTXEMypjrY1C0GSU+owJZS1hS0R8gFknbbjs40wpg0k7eRKXYcsQOtVBUNP22iGjzwCWfB
YTfSatGB/183bZ9LtCF9WFmp+xQEG1qPFm0mNQ2nTafjDCJtG9/Tqqk2K7Pje7Akh08cQuNeDtKP
JwPCEwG+DNXYTZJ5eV+lqql3EY8NkL2qT2wJYQn8Suyj7t402ZQfrYVZsUBjsLScIUzmIqHFvM9p
O2wT7IkR04CWk6VPRvWYRSayHFy0crtqo5strtX6GtuqHfYcmJGDlKnwG4vA5reTyqtXc0yquXSh
WbcWNWgWc9uB/NWiIuQCvGo2Cd7FXWJmNJ4sM+ltmViIMqVeBtDRlEMgJnlGwQ+sdcFP/RqA3WuI
bJCC0aXfVE1jIDnPtKN7wyUFejpLEIsWAwOWSfTVKz/2pNrpLv04tQm/cJyloDw2lIo8MSFuUN2E
FsxYD1okenD91oPblIIGm7yWkGrwa6zWZSvppCCBaYKF4JJOyQ7S+lx9zPN+udFAyMi2UVhdgIqb
97DGxG7qmamLVvPlgHEoIOzqNrLrQY3D8bpM8rrpamDSPR+ac231uyHJqq1RjLWHDQSRbTXiIKQN
U7UZY9XfQkEnuTdqWK4aXYzJpjYRATUFt7scawiFTkSuu1PIISM/sPOjlt1OxR2QOfcBNbx7s6Lo
VGmG2W8hWauPkhSKTWUwjzMK1ZiJjFIMTlXnD2li5x2oFtkugqBwDJJOXjYZGc89WvC4STqTpWJl
83qQwca9CHYeLqo1ggU0bao2NZb40lkPPjusPFy1HKfxuLbjsFtBX5G7dWZTXXaJByUqHTxdd1U+
ZuqAw/ZtwIymDHRLVc/NKYgN7bJb13RaT4aMF/TAR5JBeaYOPBeqxelhWOrL2ua0BCVxuUWV2mZJ
bjYDanrB7arnOyjIWMgELH4HnCwSiG1NTS9bSE3EZFo+COWovHI45VfAReVaoqJmSYmgFJUAbbP2
LWXIfCwwMGeovIAOUHKPugfsG96WPGv0pqcRxH47KluuOGYi78DRA6N0tNt/fer/m5renYH6jJLA
GH6vbP5x+a8r08Hf3z8D+PePj59q/Pvq1ZdvPH741P7BPJ5P8k8feqzP/tEXvP1zvfaxJvrNxfZp
gfY7JdhPn4x85+Y39dlvqtBfjjz8XmRN4RjCH5+C/Ed19pva9x/PfyrJFuxlnqZQPiVZDsGtoMWX
kizlcL4ODr5zBMeHOEYZFGs/12QzBoVXRklB4YBKlpECzp9+rsnSl4wi+JCEM8zgyHYBHy98mdo3
+EEp+pmaLPTzVUE2wSnU8xkhBZSDvy7E+ipCLFWwo+t0U5AzP8FZyD/m/7/o9/F9XxV4C6wm6iEF
2QZwarVY12V5W2MaP3198unjk/9F94DK1903LGmXOfZsWzvr3MVMVySvZFzNxx8P/7EO/e869b+X
BY7Cf91/0a0tH9uKbsHc/Pp6SLsCiTprgDqgHHVY5JkN1e7HL/seBgD/1y/zgH0zy55uo894JjjU
H50wC+U3P+7/26L7vyeDvu2fFRYNTbHQ7ZgO+as0nfPucoZISE8WHvq4T9hKnegWO8ABzJ8An8NO
/3pCA4ciILA3up0e09cjU4/VCMLiWKvtj1/w2NEz8HA4tP31C7haZxTGjGzn1rP5iEKGhEuobGEo
hbZ1g1+lYzu2pfW2Xxgk+Hlqd1DgnBycl/vRBNPHpXtuAI9L/dX2HlgHLM0vZDtC1g2OGPM9y9KP
Q5vZuRVWzlMH7JAlJyDMp+12xMbwHtIhjjs4HPajIXxn0/AnJyi0XLpJkxmWgGNIc5z5yMis/mR+
3+v8iVcwYKkz5B5kuyyevUNmMaKaxubs54b+xDdoyPKoz4CrtJlSDwg+EjzpE9WO5c91/8Q3mAQq
C7YmZKsDm67T2eYiViv7Oc/Dn3gGp+dmGLAl22CSdd2imExuQwdj2E8O/4k3wFGmfNENeAOTj025
UBpzYS2Y0ubn1ueJO8ANqJjGD8m+N5C4n3sFh2WvuxCSP/Gd39k87In1g8A/ohkIzn41IDstMofT
FlG13v3JAj1uwmdsjz0x/sKAdDTipdqbhK/dbnbpAIr1vADns6rOi598zRMTz3I4tjAPCSg6AUjw
QU9Nj7Zrn+q4HRRUiX/O1NgTO7ZmslUWO74fcLtetW6pz3pGi6sfY/29tXpiyHMbOSS0pNjjJCqQ
9R3LTmS+GPu2JbyNf7JU30P88fevvCGID1DJYQPfO50vhwmcCDgrZOq0+PEkvtd99m33BjR7BItD
9yOzoJ+Dopu/p6sZtj/X/ROLHicGFWc4rrafNCAQtOy2+Ziw4SdH/8SeR5X1i14avs/91AIGC4dT
Q5DCqPUnX/DEntsiIbaIsPpQsrP9IdQO+3nrGrbO5z+1QI/E9Wt4GQY1Ok0i3Re+VteMe38OJVAo
Q/64+8ed/ow90yf23BXTTJpRsn0HJ7eqC9Z1FioFdi3QEZSlC/Yazh9m9PDHL/vOXqJPrJotcHQE
IcL2A0jC6iCAyliIGipZ6OfsmT6x56gWqMNgx/atl3CuwXd44gJOabg/i82Py/Lccj0x6UU2EnUz
7CdbgT6xaWTG2Pn/cPYdS3bbXLdPxCoSkZzyBHaQWtkKE5Yk2wwgSDCAAU//r+O6Azc+yX0LU8uF
gwaxN4C9V9CRW8VDhYKbuuwVOfovQJfRb7avtv6FlfvdnUd4Ud6hnSYHtyHvdmlnHupoLiVu9irD
tS5dtpYteY8iy3pCVcToq9pdJc+CbXT4sMaLsIEL7GUDlNwimSpAubSM7JmiM1iksqMvbMbkFpa/
Wl7yfLPzddmbkYxZQWM3DRcHEBU6j6Vz3Z3JqDzeVLMe/jYR2/Qdc2nPn3ZKSf+ayDRtv6SKcP7C
VH63Vb3EkfYtN8PWsMLIcqYn4bK/zL5vY1jSFl7a6CYqkmNvZTFFZiuqJWEoQNK0+jMo0LiXNCwK
xGkLeCcKg3v6leMofUKfW4flbO7ljJFWfRtFMit4h5fMySapdrltpmN+YZf9Jsq4lyfmZjw42ae0
WI6tJPcpmyagvUyCiKtJHQ/ASVmjc+KEqX4a7WYS9ll8ZDTd+g6bCJVEkQKrmJuRoMdxWBYFHhfc
yx+OOTVa4G4uduTJRaAIeHZiiM5hn91LEgLAsb4dd1fMqJUXrkclTUymfSEH/SYkuBf7QJXX0Y6j
oWhJo08EeLNzeQwkcFN5oY9Xz5AmzeAKgndjHtfJ575iL91afzd1L5oTYXq2d5UrKnQPX9ujj3EX
GOukDdw3XjjXrV0MndDhi0qd3ZN1V+eSpqwI+qzMi2ZqVm4WdesflgT4SSrnfNZJEzZ35kVz2hOX
rhKfNbo1mRW16DwoycLyKPNCuY2jKd7K2QHg1HTXOeur08qZu/73ytzC5hfnBfPO+77kNQrD0VZs
Ef8Lz061XtmiTF8s6GUF/gVeyFK0JvtWlVtBEbjvM1TLLwmgHWHPceaF7NLjKrQ5sRUD4+I+zbg9
t0cfmG6YF7LJorsydS0aRHPHHptOy9foWQdO3YtYHNSlUgldinFoy+Q0cbQOJNre9fm/P+5vgpZ5
QcvLalaRQ5nH9M3+oJYbx6Isu8Cg8kIW9dFoTWy7XCdbbfMHusVp94ZPqajD9g31ohZdkHUEamfH
ldC6kzL865Ed/Qsb/zdrQ72g5YB2gGJUrpcRzdmcAtqUj1lmA6fuBS01LSNlm65Y+ejrRHC/67O9
DPus1ItZZdwURbP4f1NnaMDmfAW0KGjTUD9aeVratE7WSwaocX5r7+Zz+MLcPse/3toqXk3ZzRh9
b7P6ZFNlc3TM2sC5e9FaM54OYJRhdEb+GhvWXaumCqxsUeJNHVJhoHNg8MxZMHZkNuHlJfawu8Gt
ifLvhdmBbCm7Q60XvpQbGCUrQVevXMKOKOrFqq4N6Qca20u/oqu/1c1ftnVJ2KoTL05nNy1mqDd7
0apmuWD8awQmSuDgXpzGJQd9AXi6ixzj/jzvzXdgJebAwb0wHedsb3ETtpdWZHUuWoAY7ARaSVAk
ES9OJW2BG40yTD2zyesZ7ZG3pay6sBbVjQn5bMNYRnqGkQsHfNEMgkcq+DlaIoBvwqbvhSoZ90xb
U63FwTSAl4DY8cJsZPkZNrwXq0lTkmnYNU7Wcu4esnZOzrNqj0vY6OT56tipNBTwalssGf2WtOTd
zOi7sKH9SJ2PVh9HtBRNHT0hPX49CJhgYWN7cZo1jZZJL5ei3er0bGv+cVDlEPZBEy9OezVHU5Za
W0TN0oAsJ19JMsZhM0+8OEVbeDPznkaXvtv/bI7kM+H6MWhREi9KU7CWIpzXR4Fh5yV3ZK6BWJtp
FZZ6Ey9O14rbWrFpKaCxEH9hC/IAOI4uCbtpJF6g2rEjcVcOtgC4zJ2HXf6owRgLXHYvSMu0GeXa
TLbgx3SctDaYunqp83ob5BePgxt44N8pJgNFrjGRXgowsLPX6Vwlr7uoNJ/DPqsXomQhy7RMDbZj
XdagAG9fZNoEflIvRh0bsraslS0mvtI8Sfev3Zi+DZu3F6NsY/vWUIwdtfNHZo/XYGK+Dho69iJ0
2MqyWmi1XOIyAhC+LV81Lg6sD8RehCaJMdJFJLpATfKNPuTXdDq6sNQSeyEa1binTwBnF13dvxuq
4VrqOiyTx150MrMddEcB/zK49W7ayCPjYSdo7AWmOfgiBoO3ndDVq3TYCwCXwtqssReWTbfstbWY
tAFmbLWnVv4RtkO8kOyydjJO4SOyWv2Y9uxd6kRYnoq9eLTjqvZjE0txzG3y0R0LCOOWzuewiXsR
SftyB5UzW4o5ApSA9OouK7MvYWN7Eam6ZuaQkoguvMHtNorFd5ZBJiFkcEggPU+C2Njj2IHbXdSN
2HM+s+icZXINChzoWj4fPZ1XuTAQ4YBn/zAN5xRV7LBpexFZV4DzjTXEHGwKMAfg2CZPRvExbHAv
Jjf0u46jL+dLUhsQhdDbH2m7BO0U5mO6JmtjFXUYPO34W2rNz4YBSB02cS8uoRF3xGMK8vGk6VuO
sXe7ho7thWayNZLSPUHZmND4lU2r9mFkuwhcFS8665mtHe6z2CjcidzFoJiKOuiCxTIvNvfMsk1l
iHwwTBcQ7FgphjMAu0kTlFpY5gWo2TQr0atZioqZ79G2fkbz4VPQF/XBWiul8SQo1sXaip9Hq8C0
SIkMukegIPQ8PKd6lahH75j4vr+1Q/ywA/0athdTL0JbLWMQGukM3Dd93QFweIHoLQlbcR9fZasJ
mEu7LkVsuncs6k7tVAddUljqHZsTj/qjonougKYmJ9Bkp1PC2r/DPqcXoAc6CnOqQWxYbwz/eX9o
JP8QNrQXn/u0lABRR1MBfvuWd4Mcrz2oXkHXFOYDqwa+9dkKrFCBFpI79254kqDABG4VL0CtIbOq
k20qwCbUXT7bKXqM1vh4H7YyXnhuEUVWZBZfdD3+nHGD2+f0R9DQPppqwcFTGzHMhRLV+92Y+1jr
sH3oA6nWMlWi7dhUuHWsL+tWkXPU9T/D5u0FZwP+2jztai6y2pwUO540GI7/PfQtTv73VcV8yNQW
oR68GjkVtV65zScp2tejMJDFaAmEPv77R27x8qsf8YKUq37v1cCnomvot65mnyOjPoYN7YXoDsRj
J2Q5If7X+W6dpyRPVhbWqmPSi9KK1LyZKMHEWfJZr1EPion5I2zm5Hk2r3dQ9qe4ngtOGrZdHLUH
A3mkq9U57Ae8OGV1VaU27bAl9+hdo8nHZgx7izPpxWjX8BEPZgxdHtm7JW7elFQEtaGYD5ACuabU
43pMBS01KaKULO8SaDAFIX2Zj48i4CWCIo6dWMYOel/g11EWiE6DYNzzL6r3Mlp26CAVUGGBdMgq
r+NWhVWHwXp4PvgyMWsZBIQKpMfH9SCPHd/DYkh44ZltVWfbsZoKWVY9aMPHYwZ9pLDTwkc6Zdgl
8U4UaJHD+pYmIxhuS+C8veicGnQnxBaNxSzSz00yvevUGPSIY8ILznJnWlWmnQqBlckzgNAhg6PT
sHwovMhcaDtGLehL6NvU42ki6p2Nsk9BUe9DkeIY76yex2NRNRSkcMjyrBcLUYywhfGhSC34ym5t
D8RNdmjw9oV43zWxC/uiPhRpbbkogbUbC5dN5JTM7AknaVj3nPkwJBv16QCBQWyXIWMxWP7poeY6
BytUvXCYsl+fcz7eCFjgOKsgYldUFaiCpx7Fs6IswSW+BH1bH250KGvTSZcgZ0azGk/rZvTfNpNb
4KOR3/6uf/VDE01itmWRKSYQGc+6Em2OFeJhrwAfcCTlvqfxGpvCgnN7igVA7OD/BeZH7kXs0gGB
N9PeFDOT0BVLHFGQBtr7KiyPcS9mdzAKJ7BfTQFplgEcYf1p75KwM4/7xykZNh1Ji3UHefQOcpfz
deuG+i5o1/h4o5Wu9DDdZoq25O5zPJTVHcxjjApbGB9wRJEnOXjYpsj6cpyv0qaU5bwcxBj4A96x
imacGnqzYuXpvN1PU/qpHruw2jzzIUdSaQKM8WQKyZYPTTW/gxDNh7B1947VCpx02nXVWMg++9YP
WwLZOvYStvY3qcYHGo0omaeR1aagU5t+k2gq3Fml18At452sSxzth6N8KBCpGbQtIZMaHZEMS2PM
C9XpiNCj7zA6Xw8LMSnzoPqXUEz/XEF/8dbwYUZjswNel5KhWIWqStB2+xbJRjY7RFl1Vqk7bY7t
g9Vzd09nGoliqeuRfwTFTY5vUf+bpw+ZhIKTQl9yuGvB4xe57BoU46t9TMF4d6wdp0/bSCJ7iqEY
q74PdQ0uvsDFkpwTjlr7Rd60vM5dgirZSaBLvd9DgzVtCyL3mt2XQwtxMAjXSf4lArL3uCa0neWZ
yh1jbl2zuGs1ZvUMth1x9qoJ2d15XjWFQIxkrHy7MBG1P+aEj2OROoiMFRMkltTZLA6s9Xjl6amX
BJJh4oDA5l2VDFX2SqQ9eGHx6MgHWOls+UrEdA9Fs8kV8ZClx3XT3coge8MqflnlxlDC7mpou1Sd
0eDhr1l2nNKpgciJHpopedz6ss3uO5osrIB+V7VBq02t985F+mnq15idWbxCia4tp9J96JJ2kGG3
EOYlTL0zK6AlMRSC1wOqPlEOpacsLN/4SC/KygMXyc4UtdB/lUx9KGUTNm8f57WiE7N3BPPmtizm
rHsoeRJWHKReluQrkCmQazSQzoOeZxlBxijrkiFwTbzXxxRXVCg07YqKtG2+q/Fv0U5hlz4f49WC
3rr2oOMX9rDmCWyw5m6giw5LZdS709SiiS1kSeaimhR7xXB/BfLfLl+Dcjz1EuWkq3VdzToUKoX6
HfRJHIr5fboELruXKcceWiQDND2KDEXlnJP2Ve0ghRM2d+9GEyOEOUvNUByDKfV5iLe22Me4CXzl
+DCvpG8SF1HsSFFpvl8IlIQcRK04dFKD/gAf6rXocSuhYjgUaFT9vRkG9cs5jNHBSPr8KmzsNq3j
IYeihnQEpE1muUOcNmvJ32Fz98J15aOjqyWm6EYojOVyGCl67CkhYVgM5uO9NtN3CYR5cEGAPWhu
5dZemqYJvCD4eC8jt7J1FY5w9GimExBl4mSiLS7CFseL2S0GVZo3/QBWLbQRBV05BLbHCbrbYeN7
UTu3fQUg04A03Fv5UPc0/oY37RFWCiZe0Mpdjw56wXilHeV+X7LSFjJeZOCm96KW0M5mze10ahtd
neYN2oMWYnNhCYd4B2syJTuE79OhiI6e/lUDbf6X01aHIT+ZD/rihPYtFGVMwYVco3uV9Qn0kbeN
v9A7/A2vjvnAL3Bby1J0aV+4DqKEH42CcN6plD0x520eoo8gnD1FUda1Z9ziVHaqMjxGr3XE+RD2
9X18GEjBIrZQ9S02yO+mp0i3EKDQdW+6sGe0DxATMYXy4XjLTOWSlI8aQvmyOMZjicOiw4eIudhO
oNeSvqA0aVS+b+3G8lZB9TlskyVeeIvZQeyN4AcOC73B2tnPQO//DAptHyUG7wiox1nXF9B9mk97
Rf92Cw+duBfZ1eiSeVZSF7jbXjuIpxMyh5UA/qFQ/qv0oqMorjYoiBRQ154hgAbJKRBJ3octihfV
S91NVbKtfVHaKb1YqDnlGoLyYfvFx4lBE2vooYvUFw0cP37odqM/pwjHTdDcfaDYDAHugfWJLnDX
eoJu72M3Vt/ChvbO4GpHn1FMQ1/MO6kfoDOe5rB73sIOMR8qtinoz6+K6oKqdKjyNk3Hh1ravg5c
dq+8wLJ9oKKPdSF530IhPb1TLDnCQtSHjEEruKrKrOmLjNXbq3nS7CSXdn333wt/m+Iv3ugxfX65
yjZ1rFuC871zbMSVP56r7NLFyTBcBF51fdgdy8eQpYcoU0GroYgtXQy0qJf2FlpxNoSdxTfXrX/X
S3XU3OxRGuxNTj7YJX5fJWXgtvdCFkoWSwonnwGUX87PzYRSvoMcYtDnhZvb84n32IyRAirwksip
fL9Cb/hDX/MwNtPN4OjZsnTQwbYxmbtbDk7fGVg8FEvD06BFp//YIf0rUxpUF+B/0ndohqMqMYzp
u4hVTeDCeO9ceyw9ZIibDggBSDidQD4cv7oObgOB43tBC0GasjTL1BVukj9QO3qtZf35v4Pqdnr+
b1DRm7rZvzcjW2N0q8EQBGl1KNt8nO3610bHMOkNmnkx2+D51tflbdkhXouC45zea8Ft0HaHl/Pz
yQ+ktbubMPmyqlF2SojJIakSdkJRH1KWCScPPqP+lmxLcpz7BniEE+x32jWo+ALVi+fTT9ethLdB
3RUJRCzPaRXH0J9Ny/dBX9ZHlR2iQYVrG6NzlVT78NDGSfxEiOH2hdn/U2n5xdbxgWWCUbILYbF1
BLR934xJ0tu7Rq3jdMVDzJIrtPQEdEB5tw+vbhrtkG6U7ai/koSyqxXE3UsWQQk4c5CdRNExgnOB
7vlOYGIAJ5iTq+rS/YCDWGOvPYyEhpPl7f6TasYeV8juPhwN5DQhzQxVVAcNjDqPdcPcxxoC0+07
ddOp+Ng3qZnPeLAxh3+dthPk92311Bo4hZ3xf8/Na0rKYf0Ztuje5QC4xpHcCMmXqkzapzVT2SvS
kCrsgKU+JG6IFB9QHVUF2eO/4LT0Lkuqt2Ez93IM3pqHjsSmCuqAs+0Iu4c6/0tCGrdE+Kut4mUZ
ayNduXlXxWig1XE/zZDjPGcHUA/nDS+E6h5O7F0dVF2DXt/zsEogDyzYylUBRWtxYWrrrs501aew
dfJyTn2UN+F6qooVvjLnqHSfl5a8tE63xf7VOnlXgySuGqsmqwrR2eYDUNXsTQoV6+97m0QvVDZ/
9xNe0oGvkKyIGdVl3qkS53oZp7HJ1wnF9vtmA6PthUf1bz65j5oDPKGyq+jg7tIsSl0t3xOgw6Lu
0miXkhMQ3WFVJeqD6KoatZNy6rBoPYkAdBOfkYgCDzDpBXQEwREUAnpVJGjHLXS7LjR5IUH/5kv4
IDpJgeV04OBCEXuUy33Wzfw6pBn6/gKeVnEQugBmiM+jgWNs0TQygkwHhATBda++ZKMMo7ZS6QX2
fGRjAz+dtpCSL1dgrtO8rOG0FxRrPpBubVCKpDapi4al7GrWQ5/TrAl6x1HpBXIsDAyM4LJwTtbm
IS6h1TuIwDX3whjWHd08LBjaOXYps/EKC6yg9yH1MXQHVNeaOVPlWTXkEYr2j6MIq+JRH0MHWOFN
CLcpz6bdxocW7gtFxOmHoE/pQ+hKLuv1oHALVEk1X4yBPdGRdewaNroXpXGmppLHUVPIZjaPQL1+
HitYFIUNfstw/3o6VEJW0UpsU3QH6a42W/q7eOzCoKjUh9FFx45+ip6aomnb8WxqODzIab6ETd0L
z72NRxgVDBkcK6HMfyVk+2QmpcKKivAkfr4y9ZAtY8f67Nyv45PqBhizDWGHuA+lO+p9r3SFi1S3
QMIdLjHxyXX8hcx7+/N/ccz6SLoV6HwHhh+CaF6HHKixkxFQFA5bc++AdRDpmdfFNGAt6ePUVwaG
aeXUZ2GANAhSP1/0TB/gXCiegWh1U+1Pu3J6HHbVhPEgYaT4fHwr+rKXI9wD9AZDJPUOKIAXVuaf
Uu0v1t3H0jEBK8q4vxkNHxFdH2PYJ4BgVEE49COUkoai4ZmjuRxXzS8C1bXtNC6Kr5DjNOK4jjaL
x4szcLz4riUnawFX00YGVeD/xw95j0bYvZLl9lyaluq+oXFqL/Ws5v4ctC98GF4PrwuRJrU871Mt
kKCO1vanGu7s9GfYD3jBPi3KOrgSw+ljqM1Fp2w7m4wFVZqpD8PDlY1TQ7W9JDfdr42PYGozGYSv
hvX58y1n5MrmcsHgq4V2czezMR86Eobxoz4Gj9UWbHjb2wtpE3OiKmlzVCR+hC26F+2wDUjjmMJ7
bSW1ztMoAoFrZ3HY0eOD8CpgTWMWUTi7AVkDC4KpeuokXf4ImruPwWObMTQRcHWOMnQ9mHLVpTl4
2ML4ml/NtCUDGrHLBRqV5G2vd/UDztMy7BrkA/Acr7dxset86XsBgxBYauUbK8NUTyjz7sxdtlA4
IPP50sh9uvJygb54pMJ67NQH4dGNUNepZb7QTddAXC0fQa/eX8ixvznafLEvu42QzJLHfDlk4uCw
oib4fwTeVXwIHldWRHTEqjsNuZZtOf6OpzqMS0h9CB78V/VYwgjuUoE9c862uj4hH4c172Gq9TzF
ONAgYIeGi5U05MesKTziSBi9mvrQr1qjpDzAPvfSxBOctA0pL2UJGN1/R+lvnok++qtL1EjUQNOr
KDu+vq3hbqqvhyDddIVLFk7B//6Z32wcHwlWrrRkSYs/gpM0Oq8EBoL9bsOQYNTX+zI1zOsXgdGr
qm/OKWBgp2w4/gybuheuqkU6AJ5xupgd9peNhgvirMuwg89HgmWGwSWT8wlmdna96jolOQSMXdjJ
5yPB4McshJu26bLUrrsms/rkkpYHflLvWHW1Zm5Aredi0lqe4B7VngBJDYP9o6v/PKJ6eM4tMi3h
EKWj6dQ6+GZRc4QpN4EB/Xz0krFuSlph4HoIi0THdXdKIZN/DtoxPgbMJgdKzlOVXtu2dx9dbPY/
2rh/Sbf+N6Hko8BKum2wm4ZTIp8S8FFuFw4Dc/uwDE+8ty4cblCuPrIMlqoona/Rz6HrP4Yti/fS
VQlJSvhnyCt0vmALvjqgE5d6n7+EDe/FadINdHDxlF250T0AuO0u6lci6fo0LFbJ7YP866Vu5tTi
Fm+yazYneZuRhy4OvIkR76kLIa5xOQiG1gzH3w0P0YcBEqmP/IIZRFPWcsyu7iZ9pOBKf2J1ugVu
Fy9MW7iwLe4Y4Mmoyrt+Mm9jEaYmSH3YV8wBKqJas7MA/KHto1esb94FbZX/gXxBRqieYCp2JgK+
hQUzHXjX9abtp7DxvUdub5Kx7ewgr2xIdkios5k93Kh6L+kJ3oLxFy9dH8/VRMqwdCvFVZtovlvK
dYUlm4yr6gKeqizvK+22+vXiyv+Px/U/hLFf/agXvvIgZb+2Y4dn6771sI3tmo6Yi1KIuu5alzs8
jMdBw64m7+mIs31vYYUu74fOiFpf8bBulc47p9bjvi7hqP6d0g2wuz4GpFXltIWX/JbjkmPGV0ok
qXm9zuWWiPs9YnJU+eS6KoIVMM0aWuXTIg0uQoPAp8t5Ng7VdzPV2sL6UclG31OnIPd8PvCgl9X5
GNcNdsAHbfcPkJDb1ibnChY/kPk+mh020QnM7gSD/SGk4dVdYpSA9L1GzRIe1uAVdBYTnOXQfzJE
4yHTyjb9WxuN/zzZka1nAbgvrH6xQuq0rhtpCnfYXUy4I9O5/z6gaCttvk9JnGw5T0VVf+0bpjK4
ilsY/YDI6YZJw02yaY8vN5DenXH62PMeolFwzdyaOVFnCeJkeXFo2RAYJ5b7fCpT7LTstIrt4PpM
VsfjxySFfTnMB63T4IWNw3EHl4D+JIVZxes2tk16jhsKh99aihG3sFSn51RDADeH56IYe+A34Y9b
nZcM7315QoVkrwbMDNaLcCYkQoI3AkfrkklcG5FLhLYP+Fo3B9cpxc0uz5Ko07Dj7Mm3cdHivB0O
xpYW9ob0amBcr57cRFLxRz0SKZ/oUlL6ypV1aqtz58BRYddsswkUEZyQtnsNhkaK72WaxmByVeyy
yl5jqBrjNqbjwam7Q9B9+zGmuhmq07CiGAzv4DbNPia73OcDXpcMTmJVGt1kIDvb9VsEFosDaAsK
OtKu9nLgWw7DPeEopJF7ofoU9ptCZVeh6v40iH3TsEflR3RzsR6OdX6M7awu24Qc9SSGyrYf951U
fYrtMMATGjaG836CSTwjUImtj+6Md02dfk0X2g+P2e7w8Kt5bPcp38yCYn6epVwS3KCWhVJ6yjil
7btEpZO4QmBF7Y892RJUteMF2moObeZlrcDdio9ZLEByCoisxZ39QboInJkJNqzmg4TLaHquy5m3
P/D2SWFoC8jUsJ7nlg/zk7Lw3P4IeNaory3cUck5gzk7f3A8IupVUsPj9E94mg8WjJkpGtjTiKCt
L72pD3Jv4PY6fq4jncYE6U1VgudSs8w8xcuikh+sLcv0gPt7pqti29aVP8RTw4Yv7SYOfoLmfQw2
erXRJIO0Mxfdz3LZKlXlalTpD07FaD6DXe5gX900OLvA8xiO10D1zfAlJ0PEfg4tnLDvNTHHAePe
OElOpkYk/WwZtvldpYh7WjI4tccEpsNv0slKcYnTxtTvR1Xv7u0GggeJ0ImGbkAKh08Ezf28LX3/
t0Lnpn5sxUiPYhjarixGkiXTox0zSU4to4x8TQVh2Z/JpsonUMijB7SR3E9QW3Tebrw6VxAIis57
49LtAR4Sq7uDeBD90mUNy86mA9PxnTzqrn9KqrJJ7rehscclGut2v8uOKRaFFLuKP8eiVOX7eswq
czLHEkETsY3h9p5nGta4D6ub+fQavtJLfE+NMN0nGHeUwxvLM1lf41oN8rzs7YrcufF0qq/ATyfT
6zFbxc8OmgD9qUTJcHtT7/GEVFIP+3YRfFim6hyjW7U+qhYCx9eysgb0mkiu1cc6nTN2r40xAm6e
0SR+1HXWmlPVw+q8zdM+KeGETRjd7+dOz8t52UgcnZe5J0ned24zX+mSYQZnHlcJ5Ax3zKKBi/TN
4jua+0t/k+TJIWjn1NO4gZh24WbavpH42ATs1So4RZ5gBSFe47pU/VUihOWp7WqiT0JvfPh8jPBn
hMCR1pA8y6lyrrnfFrBkPx7wp5vKvB4XuSPfO7MNQ94uOKa3HBXvdf652ZXyP2DBMeFAUFCryd53
GOX2Ic1ipwtMHNHpvPQb0TwH97PnRZclmbqsa0W7I6+SJXWP2z5XqFrssLHK7uLywB0RTLa6vp/h
shblbmqa6IPgaiLnmglYrM7xmmRneTjX/jHFjrZ36+K2rLB6iMrzuJHyeEVhlvM2Tua2+YDKETlU
3nTdkl2hGl8tD5nCC+bpQEksvTLV4LxbypLD5Vazen+lq7hVp8FNyXJiZpIReAvTXDYb2HNuTt4v
sdIgY/RsWd42eyzJHcyXx/ZpgNJdM+brwWCgA13xfNymLLmHn+u8vOHzGMEttoEb7CvR0Rl7rK91
V/9Ju9RhJ2hItsEBtkqb9Yq/bG8vXCs2fxJqrcuHuWpaeg8Srehe24nA4At+xnEnzvBlouVfDlLJ
0DSf65bfzUNTVcA2g4GFPZJCR+kBVrqHuTOtpsAME2CI48ts4HqYr8vRkw/4zfSPNamX/VsH0Xhw
0jNSD+w0Qn6xOkXIT+VpL83+oSUCFuFpZsB14X0PsKpepzQ6HcYusJSbhm0HgWSVyQkNhbR+i+ly
/mbfjqq5i3rC0DlqShXZj1q7oX8AdLd2uBX1bv+JU2PuFTRS4zh5d+vU0PhE61G61y7OmJ6Rid1R
3qctPj2EZgXczV5tSMjjG7hfzNN9vNTZcrcvIuO3k3uvoQlQYRnnOV8yRHkMvbrK2eo0NttxvKPZ
3mU5XNNScZVMI7/lim7t9CZeknT87qbZMDhdL+vO7w9G4/2JYffX8AbfYUGDP5IO5RuFctj2PlVY
xAdH2mk/99Ty5Q7nfwSn4nUher1sTsqtwuVpGRw+5lSt13VTkf4kk2PRb1es2fowtoCFvmnXpm5O
rK2H+ctuJOFfNYERu86hEBb3BitFu+rPHpqp8Vuo1rPs+wDlFfUN1syK4H0FQUR60i1p5Z2Wy3zg
/lbHKcyXx8geOAphVw1/YKYgGSsivsrzDJGG4QBGT0Y/oCp/sFOMQ729d3ZUH6XF/r6oeOvEqdkd
aq5a9uwzJ8BFnOiRlu0Jb1Em4Yg4SFuQTnKx5nSP9fhk6rEG5TiBfOf/Ufdly5Hb2pa/4vDzpS8I
EFPH9Ylokpmp1DyUpFK9MFRVKhIcQQIcv75Xlt3n2jrHdrejXzrsF1VKmUySAPdeew17q8u6u2KN
nYM6FlBgvZZd75c9D0003YQtGeC/izmr/hCpdi72U42knNueFuyjckh5SV2UAQpQJvDiem1tJvdk
KGd6g/kTa+/rSrrtIizbvsOGGWFtgBYPopo6VDBRHa6yptZ2SVQU5bcrmC9BsgjTTPdum3sIoqF7
pXMCG8OsSqQOjb2pHDCmuGjyut+xFbraeg+JWrhTGWvbdCAZxZUwRR1eRaM9JbkKdyp+FKiVRZ5o
NXGaNmNPQgRqb8v6XKoarknx1kC1+MFC3Maecie6y6EdUXElRV4GSVjCFW5NsLtPsZwF8890hO3B
WS5mi+e9XAjKdAYBr/XxyqLAHw0OgdyNXetlQrno02otxvZQLVjqL5wM87SnsqpDJJMMsDwLI8NU
ymrQg2PHwm2v8TCafTzwrHTXI6hTuk0a0cj6skLA9I1aTwGo27CxC6dURXYKCTYLHqMoOdJhi7Dt
I8o6yI+VaLn/MNZZON23wxgmmJH09NNaZ/OUZHMRnaFcQ2pmBRVNB6Q9HpayOCu8hbFGBF01HrYs
2TavbdwhDEmkfiD0LEc98Dw3kl3ksFJqYqHLHhHYIRU5PFstRYx7VIpzNefr1wjqn/KKYuk0h610
m77qAzrckhkWr2iBmL/MhaIbaqcwGm6nwIK26xeZCMjIrzDPgVgb4aUMbuSQIV+tg6KP3Rzku4qW
ooqbZvEXU1Xrm3yGg35a4TZO+DLOCS0ycxZFkb4cRb6e5+FSf1rzqXzQiD1PDBF3NR+aR17qViPH
3jrQTsa6qvp4IUbPLs5R7a77FVF165mYaP4kwsWe+3JVOsXtLJJmG7dl3w4lP19BX4we50DJh7ye
wVpIqW9lcJY1cprrOMOdqyCTXwvy1fhs9Y+cC7HGk2kWBSpnOM1rak5+AMd6XTbYpqghXC2Sdfve
UfQxhnVliij1MDifwghqbMhKZ3I+FGGmrx0C2/1+gs6fPG2ipiLRazT5izGyPP+EyrXpd9zTgJ5Z
Y010WS5TjbDXvJ3qeA7toJ7YWFty07OR2R1sGtYWlgROFMcumHT9EhTIEi4TvhpuUuLKwscjNyhF
tR+lSYYaNcocZyxgrI5Xvo7my6I46y+npZu2zwilmlEOIXmc4+6usba4jUsIhsodXHQyehhUbcq7
JUTvv+vaiDV7L7HvpOhocnnsT/S7XS8bym4gqin5BfizLExDvXB9DCGbWr4ZkLGbm9F5ZUmy6nwq
zl3vGBGniHKF8ehW0nq9Q2ssKbpgUDa3C+dqh32haOUcXtkGS/KhQrM6v1S80seow4iMuWaWL6Fj
VfCpwYAVbfLScSQuAoQuEtwdKJbibJywu7thXNKpyQf1LKDp909qxt7+0ble0zLlsg/wvMpaHkwP
Yt5KZL4HlEoWe58NTaIzVtNrt6ll/RZB7l9/HQzUbDtVIrbwfq2LRcNwgHfDLTKeebXs2gnurgdt
AtrdCqwy7IiEDb3C9lQsEmBh0ULWfFYyUsxnrCoq0qTRNqAEiGshRA4b+A79Byq+sk/WyZ5qEcS4
+Pmu9MOQzwdd5dXwVLugm/ZdGXh9dE6PHFds0/OQ9rRepk+V5tAiiaLS7pOfq37a25w0QaKrMbww
fZ6JpMcg3F+uZRnluCTSQAzogLIng50QdB/3AnYyT+MGl1wIpPvssstpf5izRd33jK4e1QHfNnuz
1nUdD8gGjSEKy0eGfDFVdvt1VnxNcsSpjseNOTRohR5l7PzcBTb2o5/dnQxnWXybEG2idltFSJGK
+fRcjXOHjImzDGX2pYE1F+46FjbsPCuRz3ph87V71gonIWXeR2EdEwPKw5OrtzJAlbqS4LBsuK8P
qANCee7xCChf55mZA1qAUL90sDiXRcJ1Tsy9nXhRwBI6bIQZY9xknCUKu+qKbi6AcG6TRWiuVTmT
LRmw4B+rkDe7OjOixVLLxvOOAMG4Al7B+K1qF1Gdz9OgPwOJ+YjSw1OBSBUBCniHjBh639I8+wQ/
i9KkeYNN0ZRDdeU9QWW2wWBkPtZSFYndVgSOQNZBzowcWH3Ve+bqqyEb3cVobVe+IiDavwV95Vy6
jAEuY7TIp2qMTsOdSuHZvkTzk0At4dN861Grg9fkl7ieZbOHWFmLuLRzjtoAo8oJYXdqAV6LndAB
3/Hl9QyVCRIY1QnpgfB7eKpQjMWUg4F+BJSu3SXrVR/cMgkSH0hBss2n4yTy3Ne4KONKHBTdWWl2
C2GqlLtSCXOX98iG34VQr/TflolWUxIUQK4+wasBabgDVy7atQVdKW5NQx8Gg37ksLali2mJDdTG
0zggxS6nY/FF8cbRJzaPxZSsjQvR7cionpa4nFQdvBgTZp/VqTQ5UwtU5o+rsG++qn2Eclf3IYrZ
JqrGM41MEJVoMTRvHceSjRUiOxLEgpBoV+tIfQf/KrbhJKxqB3/LLEIrg1D1/ULlLD/aPNDQHxud
ARkMdANnJGdhUZCiKGnmcy667ktdLyzEPhcVZfsEpzZdJnQoZnZW+mj9itY53y6GmmZvTVFvmiP/
e53oZVPMUf8YZETwtxCRGfwrWssCyEiZ80vdDRX2DlKsCc3Dfr4ddCYtdB2YLUW5yMmtCYQAmo3S
g1zwGYaiez0NgqaL3wjbTWJyU1w34/IAT+QweraDnu6CIHLPKpPhI7gffjt0GURAZ0GHxnipm2Xa
iUjB0HcrJ/uMc15dtGEFWpsoEcANj5OoO3aF1n3CbdvMsQ2y6iOUukvcc4i3rI1mcTEsNriVYl6u
hN4Kte8yWC/sar4uhx6xEofQ1uQYIZMZe17L3FOhc77e2LyDenia4PcT837M/MM8wuL1EwxE0Jy5
dY6Kj4CGmYzFtOI80LkssS1oFrIOFYeE/lgR/1gsAkUiA5SQ56gySh7AHlZuQTqABs93XOXATWbE
qyOnRA6bOVBL7BPs18vqnqoOIvAFCQz3BgcSMzOFdkywba9+jgdgY+zGVoWMEmZxOI9dl83dvuyz
skhoJO38+cR1PXZt3TQXi5Rbjc+oAndfhdFc37BczijYVsP2StmgOwOFUs53gKLbHbaJtt0PnJcu
pcVUh6DLIRh2180Emwj8Mc5xLQBHZJZ3Fu32DNLytK7+3gVFOSUtH8P6PAimZjvAfmz7GnDEJsU1
oiEv8q1bsHwyhdNRzWRX6WhM+t7P56wLUXAWpr1YbcHvwV7uoRCAvyNwDhg1sEhmH4MNdPK9gkJm
fQTOtEx4EDkSfvVqyKlEBk61AR5w9WjbY4sJhflUbL1rElwpCN5VVaAyx45ZT01S9JmFfznMi/QV
LNKUTPQs7HhcuqhXB4kMcESjZpNQJg44bA/3s2anRRiUU54jXbFHx4TNp0rLzen56CHK0DHtFl9j
GWPe9Tbi2Zkd7eBJnk5w1CZgYjY0Cp+6CBVaOs16KBIZTQJaHy/W6skI2NSkBH7z5mMNQCOKm3Ys
ikeybNg98iAQ4bmQYcOTRtOaph3QsCnp2gnQVgwR1JKnJcSF5Cay/aDuEAhipniFC7TdjWvGu3il
W4QKRtvQfwkGpCrEHFIPfYcsm0keitXO8ovAl5qfHQpUccldWMskqmVFb+t8JjBNtmgKCuOa5n6F
gL/a09KRZo05xPYTAMyi3XI06h6QA27qBUUhMtqzHsHa2mVXRUfMdgwjsrRX2gKnjYVlM/zSbTG8
Ec5McU23rAUvKSNVezaqKaC30E1KgTU1sG3G/Kdd7R75jfOwB9PNNgmmKnz83M6NCxCQuHl1DGrA
KR9J3ZyukEDjk4aDtiXEqGjAmusR+GGVQF/h3RjDiyWkF0RQjuaS+6A9M+BZTJ9numqXZkJk/jBj
v57TgVtb7WrGVJ9SJNL4Ku6HZi326AZrfZFFsF8D+bI+xYMhLa1Ly8Lo5TzzRKoEOpFc8xRODAQL
ymQN5tkYhXb5uZgWtqFm8TY6A0jQYVrfo7aLgcOGVQzB6FamPW6Deh8tY9i/ScOrOkDvEEaeIe8W
JibfbNXU0HNVmJB5PEwb1IlREtSDPghq6bocq1Ax9QTP6MZfzmjtF4svbqIyQg2ysO6GS1MvzwG+
jQ7iIvSsG/cnN2s0pJPapuh6PHXQF1nQVQuKL/BlYTC1Znl+szahQ7MyjExggUcVMCuZYNbC0a0S
1+j2i1nRXYPbt8qGvA1+CnoUA5KjYeo8tI0T0mq64dzpblQ3HJtHjlJRldvXqsA04lNZzl21j/Ko
DWacXctaZDGLwdxFKPexlqmWEd9blEb9W2EjPqvYhxpuzbOMRvUhBD5nEP8C/N9/1kM0Vk82GLvg
tssx8LmbTo0qHAtWVdNETj18jSGbs0N9LBrMvXCTRJbtB4nGR+yQozj2F1AA5nxONsyQOnS6ZpBG
poQLry5mi0nSJaprJS5RFkXuoa3LajiXOZu7YzAimP0TIyQjiTjVbPuxa4IxriWdg8uOwJ3qLhjd
aLDHwYY+0aiM2906Nmq4Ns5D6NJwIqcPWw1KY6KIw5DHsLqFxcyQB/6LEs5mH9jssPm3yDcop+08
2BDfjZIVvob1cbY5W1FPIeI6CeXix7O1azU7G4Cyz4e6Eht5AqrI+bmpMAlMLGlAANhBT0wGleLe
3IBtnRC1YN8PlI4JE00ZxFhzV8K6NcKskcMeY09CUKv7vQlCzHtEixHPGteIWFPx2i+Wp0MheXTm
l1FvZzZaAtLC0o3OowamlyMrrRt1WF7ycHDuiTu4qr/JPBqbSxS2Ru5rXoz6YZ4xmknrXJU51Ikg
pN2atq3FRZbXbfUwK5yYi5Wqyp2TEZE6VxOOlSLRfN34bTnKJj9fykFXj2j0TDYlZES13KdlpxrA
1hE82gxJRixmGyTw/hCrTTEHlErvK9ABTxbG8gUOhsSFidYwwGx2DUZBbjyiABtwYr0s7XCL53QL
4BlkHIzSULvp9YHhtENcpXlRbY+YnmTLfsJK3uttk5dookVwQYNMo7ATBO519DTGU/RASiHsoSpl
zy+3uoPyOqRr519mM2qYVlQjrEP2PrfLWsThLLjEjJOCdEV6p6ZEANhwn5oJlvW3HWwXHN2frF5D
YBoLR7i7GjY9lYlu5rlK12Y4Jcp5J675kEXtMYKSdz7rWzuyNJ9W215SB58aQKQE89ZuHeS4NwDx
wzhwYRjsMaP0Jq1VrtF22t5ZVEisMex1kUiRv8i2vFzuYckQeWDvRTZsX1nLWf7ZVh2pj4RB6ngk
QH37K7gGDP5DDUtq1DYtj5bLMArc+m3teWkv1zUPHAC+hapk0yhHYuDLI2YrxjmQ/XofXY2kcXPi
VwSHHgccQpmOG6VVAm68wMw8ik702kntNZjN1/WEZOBHMle5uxr8FrbnErF32+lqywxaB+1XJMM7
GZWfAfMFLC25CqyDWSv6mcS1uNubHSrrCg9IbKSnNn8e7Hyjg2FiyRoE4YDFovoBcgnLT2dQW8BV
qCQGrm+cnOoAdgNGmq/j6fn4VY6wT4CWnOfHvtNrGBPsd/UDGwbqsfZy3vQ+tspBVQ2ICUFRsiCG
pIzyAPQalvfZNS2kn/fYRuGFONWtmd58udjlsttkw5+HZRQRmpe+HM/XVW7Ls5KNnW5OHo7szDVj
Fjcwu+ljVKP5CSy3y4RnLgaYt2pdtTx3BZQG1xiUNBC8ozbeAG31FVArjuDKiPtXCFd7FUNYROfd
ImwF1G7oi3vQJEJURBNCme9LMBvxXETGBrwb9aQy/SQt0WCatwTzrOnQZkPf+dhA7xfFnQKPgCWY
fQ/jG4CkHOAtABviX4FWbCaIhUf5WsYcu6wHhlh3UHvEMKlH37lfIA9FOFC7RKJ4gcJ6HYd4nBFi
0x+ayXNTJnMP/3DUoUQsPEwHVoDKkf6HGzzseQOuDphUMZ8QMIJcHCjfZwmMktkjw18HF9Nc5Pao
ixP2m6P9Xuxpz4yym466YQe0YBtBsg6y4Pgf2biQZXVRfQaj7mVJiSi7Md7Wgt9gYNWOqcgg/v57
DKb3zkJijdqma129I/pjGX0Q098j1783FOI1mzCuwfsyc68AWhj+NyU07+2EOrg16sxIucdjkgBE
0hO5ctit3V9oeP/AsAojg98T3QCFUQ9GGiYTAdZfX3TGXzRz0MED0Q0WgBOdSsQCSN3T28UBukWD
VQYk6YIF1+nPKVQnVtG/Yxu9I5blGNEsJhjkvkOaaZ0aiFquQB7sE9RrGD9iFqf+wmngj8hU77ig
Q+9wq4FTvIchQC8f/NplY2pz1LnpjCcT3Elh/1CjKl3W9i/O8B9QON+7E5Xgh+FpQvleKGRyeNjO
7HpgzX/xhf7o3d+xzywS/ZwsNAdzpPlcDeHTrGz2F3TxP3rvd/RQlOl9Y/OM71fEfsTFsB7NWLO/
+ebvGGY+DH3bjYLvgUHvMEg1cRYCefzzG+qPjvwdPTRbJuO5NmKfk8DhmT5lcVjg6f/33v30qb/h
htLKMrCDcF7o1sCb12ukTG7dw5+/+R/coe+ticQQNrNdStwuhdT0qwOmNCdErBS5Qoo2NrYj2Nhn
EDlx+7fi+dh7m6JC5bOEZwvfIw6VP0f94K7LEPDqn3+h75vrv1nd702KZLkywEJ5tG+ULoBA63ad
MVzBf29r6MVThMob/9JGYSsOxpYfys18CHGn8bPMmbFAr5IXO6Qzfl0mhujm2EuUZL8c3X9+Wf5H
/tbd/nIc7h//hZ+/dBbNfl74dz/+40PX4P//Ov3NP3/n93/xj8Nbd/3avLn3v/S7v8H7/vq56at/
/d0PO9Tlfr0b34b1/s2Ntf/+/jjC02/+n774w9v3d/mw2reff3z92pg2RdMzmC/+x19fOn79+ccQ
ekssqv/87Sf8+vLpK/z849nrsL62r//mb95enf/5Ryl/AnnopNTmYQRo8aQumt++vxL9FAk0sSTE
R2hAFPicFqmnxc8/MvKT0lQAwJZSsui7SYDrxtNLVP4k4EyjNbjfRJ9e+d+H9rvL89+X64d2bG47
03r384/8u+vDf99OEuR0CgBRc3wKUVr+SwB5SAtagXtxKKdA3UgCOHjfbG2zb7ey/JgLP74ALq+P
UHVBCaj7DLnwS8R2BMOYs2Gi+oi+xD/oCO+RTrLUT+i62Uc6t/J620j0aHjmrkBpYkdoK8rPnQnY
NZj+C7C0IT8TDZcErac2a9LDgPprtWx0jF0/+mtRE/ohkiWQeRM07bd1tfQKVVn9gdbhDOMBQs/b
goW3rmdVOq5Tm3pQK4+5VTlQoKx8Qr6SOx8ClT0RW5RXJUYwBgaLUAVqIIoAc3bo5VVclp6kYK+e
SBpwwmAlC0HBVVnCc446tAVb8RoMWjjjOdOlEVi7Kdi61Y6ppXkwHhzPCVP36zHE3FZnoIYWmD+u
RpBLTIftFYOv+PkCLH7Pm2K6jugU4TlTVQ+TJ/6q8/kGcqxor3sauWOOIPudhB/Zfd0W/jiBkQfw
i4BKMPJrSCTqa6Dh06FHr/sCdiNG50E7neeSRuC39tVNXbPhjIPel5zGrKBu+u1VN0iAZKa0+w7k
RKCvwxr7Tda7bPD8fIgIfcwq+61tPXrpFiiGSZamml+IX/InsCbnjys4kR90NmZv4RZhhBKpzU6x
6cOmTWDWKc0RzWXj9oYV5KXRPDJwbC8N3J82uXxCzsgc7assMretmpA/q5rlQgfFskM3o1bMDTdl
UjTpOl0x641Ab2OYXwRRjUcZNur2Uk1j8y1cF+xlU0gRytOFHChD116yBv7m2cL7BwTd12nUNyRx
Rn5bEcJ+t8FV+DxYBLuq6jxPm6D1z0sJCoFTenyWU2mewDkAuNsH91SU9qIED/lbsBhAaaQE5l+O
J1Z2ma/LHYZdX4tCfeJcZld22AZcdJldUGyw6Ti3PI992YFTmXkGirOUll9N01jeF50KU7O59Xzp
N3nTgM4B16BHsPjCIp5lPl1OcCh6HVCzna00ms8ADRaXw2qrIy/rHc2X7KwLHOYz4PaLOwwZu5vZ
z+ANoCGAVrvgLwXDDHpXbVPwEVieecptXR3bap4/NVqQ1znDQKkoGpZ2oHJcoAF0KfgHaSX4nVnC
/h5lNybEYz29ligXn/jCisPQjewFjL0cXCAET4B0gokKeN2GXUUNUNUUv2qvcweGXwx+Z37BCgDH
mxzsDV+Mu4XLk33OYPzjwKQh4xmF0T5SIBtb7UsoWTIEzZVJ1kThfR6gdwPRvGE3lPEFMM537BmN
No0ncNWeRGPk+YhpcoopR3eF9q5HV1bSG5BFHSbMYwixlgfgN8kBULwsuUkE6JZXVZGbaZfVPnzL
UNS9KbECQhe8v6JAq+B0BIffMIFuvd5hNmH7tHVwqkhmQeZHM2DAfQiFIvVp9lBJuCOBc9isYLmC
iQCSABT5fZGO7cSvaCvHXVczsh+zHvtgJz3hqY1agG7wEwPlgSFQe7/JQF17FfZbPGArfpER3VCw
LWJt0wqIyhavWw4C41TPHMwcIxAPN0CWcOnN0n1kSAIDNl3m490STO1XB07nkmRtTj9FA1943FpX
vCzdKbcDG2KwxrIt5QT5Nh3lCxpHTHiKgKnHkFB+XfXhjMku3dpzYMpMxGhW1iO8nzm8S5HdEybw
Jw4+591CwWTnFk41BW/UTtcK1Bo7qivWradNe85A5jBLWxsQBdtlP1KkQRwUJQsBFV8HL6JA9xVX
3RIsMbLWFwzNBIDbM2OoRXQMCfrruS6Rtrcsni27nEILljg4jyJUsVXAxlD1dw9GTC2QGLVhRLpm
g/tMADGV8TgKJJYaUK78gy1IcIGJF0bDoEkNOzkW8PmCv9n6QPLKlklEq/EF0KbAtMPMLVKVxjky
O2B4RVJBzHDCl3lWxRkyDoCDMz7FtK7C87WsxRGVNqAZx8zybQhE+zyCGX/olEPcNQVIDB720tf3
wDmz53HW7gpz1289IjJeudH30YKEu3jjeSTjpe7EHjiSPh/5uHxa1QQuOwYE4lM0EpC186Zaj0Tk
MgNEUYtDHk7y/uRMpG5hd43sOmBIGMRWcpgBM2l8gUEW/gCGEiiYQq5iTmpsvo9ByZYLULnyJxKZ
to/HOnKpDQlGLjPGa2+hwlOF6XnxYIwXZFcUM78KwOqVMegI4NNA/8+PQVBj3SP4U320vBYfVi+q
CxCzQARvUGmCsV9E3XrYsgzuD2EePgJvLq6qhgOPAdqG2Xkr2vIjlxOOWdaqOReQ9rQw4jEZCv5C
u3OYg/fPUKA20dGgzLUwegYxGS7trHbJQBy7rJB48RKwGsaZAXE4QD7l9dc+mEC+W0CdvG6DCSvG
Z2H9XLb1eIE9NHwloV+fZ6LUEWqGFdR6uZXYe1sWgRNXuxz8q2V80fj7OwexLSi7lZ4PkvPgpceg
+IKuijw2rcdDDyzQQ2Za/ZQjhO+RWI38U7bkLp0Bd8KyizVXwM2zIe4ynFlsuv4Gk+RwijW4TE/T
FK0+3UCx+hRUHRAdCk4u1qhlD9ygoYqxKwafW+jZtliJ75Jl3QZRQjOFUkGPvn41hd3sIZimctiB
4IdUiNJ0iL0raUM+ekwWHrqWANYuItU8h3MGjGpYZ3lfsrLI93KGDHSYwDGNfdVVt7oItwKnS1C4
DGD2cAGvB1DByrK4m30BmrMDjpwOs0nDcqs/41pBqbotyj7NzuMpMHk836Nwu6+GAjSYinXNEOd9
eMIubdvdBZjugWfcB+TJlhUbk22ENcVUbLBGWjIp8zNvgAlfwvhsWMFjFrlPM7he3pC+wqfPkjqT
0KrIPmZiqY8Iy50K0LdxVvMgt0+jW8Sdn41Oa4spalzCI/o2rBtQhReCHZWoyN0D2bT3M9A/fGdC
6B4tocKKzyF0MsUqLktNWJ9EeMLhzuCrPAvKMdyHXTjCkmKqzK7cCCaqMiwKwJVDeSNCDkQ6Vy19
3ULZPQW9xrgmFI5ci2HBGdGIG7kkZMEZspE1Z+GSq1fYwLAvIGLhsHJd+icdLpBsuWItUomEqy8K
9ewZzOX0kyEGZuBbH2Dz8/S6Aq39CunM2ZIGvN4O5QxqN560tjo0ImxM3JRQgR260unLTC/qYsH0
TicbhcFvakzhPs11VYCN1Tr2rbYaGShjyc55FuSfN09XsJpAlbykC7suFCPHdavxmP/eCf2/bgev
zBdslt03/74f/F0L+f9R0wiecBienB7+uG38n+3X1+a1/eG1/frDtfnSfX4dfoDAAz+637aS/3yn
X5pJzX7SQJo1PGgIk+j//tlMavoTJegmZYS+UXKpgP792kyG7Cf8C/JiBNoNSSBs/vGHX5tJ8RMG
Y6CIKxlyip4Sxkv/F93kdxHlb5pJ7E2hJDiyEEdG0NS+QyDBRQT30ixIoZ2xn5S8+dxahT5JSlSB
2YD+Y6u/eWEsxivV5y50Yay7IEz6iaBf6qAGVC1G5At2/2w2TxNkY38BNr0DaOXpENWpfUYyAc4I
f+8hyybYkoUVQjJVky0x5qJ0BwwTdL9CoxDvX7GtXws3pi6H3U0l+vKv8JsTNvruHOEAInjj4lRJ
NN7vYa/QqhnMIFjk4gDYtkwJ1FMM/Vm2K3pLkzHLshimZudj0Y9xGf6l7c4Jtnt/BAJLOow4EaD/
v/OrcpGhQ93UYFCM2Pt0KD+gtLs2fftXFgqnN/rXDxL4mEhqTd87WIgtcx7agB75H1N35nOob6S3
H7u+gSB8BVcQzt5d0p94V9M860RmpL0MFnrH27C9BJ8n2IHym72C1THvhoWSe3gFTclpXRxADB2O
Y4vSAwq9ahdg7BtXFcQIHKU/JIWTh7FIvu2zkd72AdRFRYYTufbixWXuCPWWSiPTZ+d5GygwZe16
cHwD+zt73ABho2fZPnSh4qBIzMv14qpvIfRVOzfVn9vvc2IEiW1Kv01Fc882+fybreD2l1P0W1jm
BDf//sRhSYB/R0IRkSh6n4Yut5bUuemRr8EytQOK/gJxIPhSg08ySqEQKXIN6sKk93/+ufS0QH//
wRGHwYVUAIK+byN4/TeYLJpTaZ2Gw7JyRb1Tvi6PEuKkMwrSR5oz0DSN3MAPGii/aFYs6NZByiZV
iwtaQ2Jbo9gYIXhLwEfGLR3SCoCIVLD3ntcDpEU+AewVYQAKMdDuL46d/uuxQ+IsofokJ9zs/YSA
YG4N2hzMm4GctWkPKtFFXlSnhzlEaWDa7SrpQVdDqXNtF3WcAPJgMns+gkYUZ404/rIBRcu+45cC
AqIY4hNMVAN8aQn+eQzNFnARtn358+P+12sdgYNFBafYkHj03pDbU4OZ9ITDRoY3LC+j/8Xcme3G
jWzp+om4wQjOtySTOSg1WZIt+4awbIvzPPPp+2NW46As+Vjom0Zf7I1CqTLJJCNWrOEfCAq0w7J/
HnRr1o5HL8zZmiHyo/35hwcmdUk2ahpCpUn5+8seZBECkUDEPGSa6Y2DY7tO0nf+338fJ9LbJWVq
UjjIbvHjCDi/X6WEs6IpTZ6DBbPKvdU22akN45e/X8S+yAW9WbmmDpuUVEqA5X4rIEICallAffJ9
JfPXECfxjWrklG4E/hJMLZvcUSbOlhFKUynW7FQY+auI9PW+XmHaAYrj3FkcT+ij4xVMX3fgX9VD
zvQugNQpKUSUxNNK+1ExFVDVpnUj56VFoXew/WweUncUuRMoYM92ZKpyh0ntXp2Jb4ZAPxtGLtSD
hP+siw1xVi1uLR1yle3B50EHAmVZKZDlyj8186wc0ggKeS0TGItY3gI7r/VAyu7z3NsgiesJsH8P
S3lNXoxUuy/qNTyFdQqlTUtfWzlUB+owhwl/eVBmB+iJqTpBXiWvbRQCpKuIuY1mAfQYsZmjJaG5
ZdRJb6zzF3NkDUJQfmrWeoWN5TzGLA6q+4z71u7LxFEOUzzKnSb7Z1Gy26ctei9L1n2pZ6PDXB10
zzyXEu1fLpY7qf5dqAthGUaSn0/JSxfNkJGaRnqRmTdeIo1vZQu2JxoK+QlGHMlDsnIQr6ays/L0
lbFT545Rb/sFxYAb9f0n9Ix/mRmnJ7XcOYIw7Y2k/ZT0IDAzDhA/ZR7qFS09MRXBcT1sHc+J4UAZ
thZ6g97FAbEMwpSRvGg6rwP8GC2MjhM4X8DBFXpxNvL6IRXOI3DPgm3Y9n4W2vGe5EfjYMFSMdd4
NWXXfjKTVaWMG25JMPbgyF+oW9tjN0CbUKy82zmbIADNo9prm9T0bNyKmiZ/LQHNYIk1XjX9eLUW
2Wtulc5+ZrzqRziDuN0Eb3bSrlGwQaG5HG1fqtYNpleo2AD/o/LSM1+ChvPDmnVebUfmUpFfIXFT
Q7vIXpVIYcXyZnGQfDXQYvEytTE+jxv3uKSYcSXcSn8Oo9cK2BGMVKI1WBnbV+LqPFtdulXF8C3X
4oUqL78FSQXYjFnBQ4f26prGL6amVod4UdsrM7Qe1T7nN5Kens10ILfaXgyZwU1ntnAJBYfHZe0u
E8uGOhpeC/05t46TFzskZzQi7V6zc2ffL/kLOF+ci1nhomdrXBZuuzFlQ9pM1gyUDbbDHkzWY+2Q
yMSNmv2zBQpWmBDaPdOezofmyIrU6/W6nHlZQ7JlGwrfVxUb/SlmBTEfgRSnsl3qoVJdKcf4PKmK
sqOQTrzaZtFWffJyuXFulyxmKNcgVTjTHIffLY2h+zLA/wgwDyFe1zNbzYrr6wocOSMG3p1Fyb5b
G+sozJl7KmifJD0QephS52pCgyHNwjSY+7B0CwKY0m0ByzL4DL+DpZv984IL1biXefMM3Nx2zTl9
bUzuOmzSl0u4GKzstcdPxrVHIkGZRlygowPbQ3z2anNJaeQw8xsmHiLFAPnQSj5FlswEwxAHaNLp
Oa/szM8aohKBKtuZa/1syOp8OZ1QB8BANOIJMOsKT7TMXxc1DO8kTJmCJMlLTPSV4YLXgTGD0l+c
n2VOMNEkKxfMH/2zLnlCx5iQp/C9I7E2MyseCP2V1spfevKrLZwBoSHk5ebNJSgNBuGFQeRzOnNv
yWDeyMpcD01u3FPv0H2EqeViwPqCcE/q2VjpuvnIy71UE/GWsJiJpuy2Y8esrJvLL5yW7HXbEk1i
3G9HgWXK+77mxi7voJbOTYJZg6sCG4bYfraj1PBEuS2bEsxiKGHPVKJ9VlNdnI02RQIhynftylLB
ZHP5J9LZOsEEJbTHajGIqOaq7Igm0y00on43K+xfOAdyNykrn7J15ZBDvTz129uZFVaesVbnNYKn
BnaDf1Wv8+kSiRNQMn5iRrk/wXhhB5NmLav9aOU1rWU+YXIn9hx0M3+1O17AkAw1MLphDZSsSG4q
R81826g5fjoiAmuYr9/OFVygHRfHEbYqwwHRhrslzpa9htWtmy08yG2FzbTdXSbI9waRJhhBV2NP
z6JrHQIPyjWdW4xEH3vk1WgOCcX2dmmhPCclO9xCw4TejiihSvCFDROu4BJ/8y06bu3zfZkJDRpK
VR2atOt32xnXOlwgilnV9ExJyNbsbJrctQRQ6QEOQellS4eHhJHJMEFGUsJ8eQJRXx0sIMOuhniR
qyJ5eVkrZV+8pHb8Cu/8MVRTWlBGC3Rw5FFvp03oEBezni3AgCy7ni0seU3FZBA30snW+zbDwxOa
FYyAJsDLCng68M6bCfaBbyDH6umGBWmiiQ95XXHgLX1zQ5RsrhKdkZ4+AdTrDDAPzFlmHxkMMKDD
ZO+qygn9FJShWwGAhu+I3MmhrdfoBUF9kGUaHN4Avsbo9iiv7VGsINWYk9eqqZ7RM+6DmcrqB46x
64OWM8xSy2z2o7p/gEsa7alzEh9MpXhWdQH9pVhKMmIt8eEvhL6mreoBwnNgrJRJYxVtqUE9VsfW
iK07McAamWBzeTpWnayEpjraWwGXgTFym7W90USsB5Y+i5PqRC+Dks9+atFdHDMY6XJauwBixnq1
tmwnsNwv9lbmVVad+fDS+D8bhKVhTDFUpqK5AfiV+XOZJt5UIViKHDdDPRru9M4jnRwFrldcZJy8
C09slO0vBAeVXT8ydhVNmaMhUfc7aelHSFJIiBSWC2FhdYHsTuB2cQHKbK3b16JNvSTVQy6f8mU9
X6aLge9eSzh0QgxBOxinvBq/RVAVfmV9Gx+Kxg7p+oZAoqX5AwPNHdPBH8NM8qyImKBFg9qrcAxz
labPPVYDGgwZuBxTgGaHXSRVarjEdGWi0XKMU0/roKyMke6TPN8pU+Zhq02aqA5BBABjZ0e80yi+
Vqb2CiBsxSKcGOFMpxaDRNdOCrC/jvKrNll81iSznZyFpKeqfDd6om7aCA0iiX4fZSkSAa16bhWm
5WVEyMR4BbhrgpNFwwDA7+aCXbtVPivTElddCUvJkLyKuXKCOCZ/EiGRpirj5UnrdcDNllzxueYE
0kszfMVMovKksPPPZQMsV1/V51ESKhTRPZchLY4ia9of0QoOkZN42K2mxdiiIgmOGY0GU7apOFDD
0dtWmL1e4riuZGdN5ZyLCA4AKZDGHSuEPuqWT20VvQHpw7c0timYWXxlVHGvzXZL2zPJvLZg3SJF
BCAvcvb6NL0444AuQDnexzYrJnToWzM/J2hyFGz3OdrqvaD7sO9MQVnIae06pNlYHrxATnpWs4Ec
2VDvO/Q56CtDTp7Q9joJQac1US1QcFZ0V+bTuV7ENwrIJlBHo73qVNk+DUr2lUnSDWSnfQMZ5DS1
BDVYXtk1fE1lBzXFBtfTk11v4XTtaWhnAyfeaPcQVAz7UUuyl3opziQY8x2TdcBMjcYwmrxGEc5Z
pIlJ3WgnXi+nxM1BJzjgZBFCXoNe5vxWyMroWKTxnYqAyNdE5dmXpMk7kVnHXGeF1TmrYVDsigSL
Z1rkE89Zt+zPlVa2V4iJTY8FbX20rVhucmteJdHiTSBIvMUmroXQw3ZZE8/Yc2oAOUxnC9IF1Qr+
yuTeXb/yY8kx5YqzapkwBqna6pBHYh+qQ3cUTvpaKvErrJPntuUc6krjBqkY1b+c6P1MEbalO822
ViOWyQ0sGao8cgKKa7lLtUXZIX5mu/p2ZpZLBRF9q1rWmQaRhYiMP0Ttc1Vw9IyM/24jWHmuNFRe
drnZNsJqOi10Jl1HzefbzOyzT80wJl6hip0C48ybwQliGqnJ3eWUa3tACMmokUbpi+1HtiPOeL0R
9XF7d+dYW78VmhVDt54dj67FSAdkMFDEQolkUFhNzhKG3/Op41va4lVdVfWlCMfynHPqXVY/9eYO
9H9yolh9pQnBr8rNTzBd96Yj78uIY7ILObnSWvm1NaoMfW0OQ+SM10bDG1my7QyMWJ/IbI1eRw5F
UIjq+9YpCw4zp0ZWgdG8VOObJSGM0YzMdgz4THTM+pMyrAkRt4b7sK47veHyC0h8RJ1IsKCa3ubt
CNVfRw1biSfhOzHHMKudI44prDeW+v3l7HVm9mmsh49/L/yNP7UXTLSjVCEtoFRvbSzGdERkKV3w
FiopOoG7AtXu++empimYqsUarIrI+BW8Zeh0a4DuEUSkrP5sMHNs6kcErpDIYLoG6il5GSxV2YHJ
eszG6E6V8+ppBSILSPsOfjxBK6mn8c4sYAlIuycB7qOnSyPzUiNZQqK9UMSv5tyPHvw71MjW0p+U
XpwlVLqTWc/FeVYECd24JaUWNRDIAAQOmJdRXxvkXoqKiMlWhGFqZH8a7J+pgp1ACcufSd2WBcZJ
5ZrUvL4R2SE0LPGRj7h436FmIqAxKMDjlq7AWwncNE/QPmGn7MOOmtLGI/rUDXQkTETOzCIzPuNJ
ROClj8/UnO0mYGB/0CX/Q1PMdhhmmDraSNs04femkYbJppEwrd+nVqe7nVzjAzosnEJmo7uZglhx
bI6qN+aJ9kG76oLUftNIonx3bPDLBAx6Sb9fmp0thiSDsILgyehCoLH8FOLRp2QyN4WDuv42qCky
iuqKa6GR3lX4Jj04NRRvbRbPf1/dv6NXt2GFzhuwhKXZ4ABN9Q0Ad5ADuLUKCzB9CwJbw0Dv2dJW
N/e71tDvk4jo+vdLvu/Z6/RHDaAnYBYFiffvP18re5VyMxz2XajZu7yBL95E/BNasY9z144QbJTJ
L6c2PyTRWBz+fvU/7GbmBNyAY/P2GWX9fvWCh6r1pdLvG5tkLKOh4+Ez95GE8R8eK11mRHEMm77n
uzEVp6k0mJJBEkWByBswCPHbdP6mLN0NXOyvSw+W5e+/643BxuVNOprhsHAZ7jP3efPDEIKMSEuK
fo+MV8e4nYZ50uvtkZBAK2eyH2OOT7dW6Z4hcfNSzPmyH2dRuzCWBy8fk59r/vnv9wS69G1jdpsj
mobKYqcJ/GZx1bA5Ewckzz7N0m8V/KFf/yS/WUqOl8/NB7DoN8Dl7REYBssYkqm0nW0Q+fu7HaSl
mGGZdXs7sW5aKTGpUYxyVwEL9FSyZleM5nc9T59gCR5z1XoCAKUgYDNdDzL72dtQgVYjWT9yF9He
PQbDcKRhsNTZ2uZlJPKvkQcYznqJrKjbF6gbelZO8mw2hJpBLTkypTwOVXOOaZJ9wXy2DrqKV4Re
DS1dpXoWcG1c1MIZs9dSujgog7oytZtJ9OBn0vSH2R2MXp39VScF6a2j1mn3khxniOACIGSa7pQ+
2sUWnRoLMoXXl3AQt6ljZqogKNQc1FKB5j64I2prVZVuHpYFZutKwaOhlbWN7S4HG3CF9vj3FSLf
P5ttkmxsKGXHsc2381wH3AvGC2q9x0QY8JbRRJ7VR7Dup4K+mNX03hJriAdhZuT246hefiatVfjd
TUVCaNGqDTnpVuRBTrU6YAkKuW43bnkzYrNr0EHNA3NUoAlr0wmNig/jmXg/0rIMJDUxvzRMhtJv
mQD0MojzLckmSWmHRhpa+vTUAMpb7fMAsgyWe3G2HaiNAjKkq+RJ0E7qR25172eulgFk25SSyb0K
7Pr3xV+kq1aPVtTsAdWf5MSDkayEpBzND+K3fB9CGR2CNLaY8FrSehtpmIKEaOcgEhyWdAVT8h6x
ZGvQWH35mq8dHQ4MF7xk6y4DIoZhm7XczOAsoDHHyJ/q+EVSwicT8yYkkegFUgLyfDOkCflMSfFO
f/vcaszmtZw2HBQO5YNZ3p9eGgM8BqCGRdR4NzkuqVwlEKV6H3eF8GUOnrgt59orOrLOuZgRZpuG
n1u9tGS0n4YmfkUr+oOI9T5AWsAimCdqEseRd8cEsMnOqoWo90h7/tLQX/B4DFwsb6U3LR9dTb5P
u4D6C8vZdFcEDP63J2+FFiaqAYgukVAFWQ3edRtLrp1EVE5EBg1cEuq1Z8ghbT26RUHxuZqr7Nos
SO51Fb6rLZbrXG/Ww0jh7WaIJQPDprJXwm68TrXpA1X39+cod2xsg2LLJKK/BRIAOrWKbmZrWcqS
7Kuu7n0lowMxqNRPtLJVf1TzD4aWf0j4uRorQoVUQdh+u5Mg8tlThaDtPkxpbDaVplOIz/KcIoFx
iIuefmoEe1pkw7GjPXXlaDQqt54h/XZlV8hK9ZOSFkLIoMjvgTvSCNXEidaKCMBr7mqNEjM2Kbs1
o38GH0s3feuJlILCCca1HaCqQjRLDPq12/hFl0Nyn1FReUWlxQfg8fo+yuDMJ6H2lDcIzwmFoV4N
hNJdGToEMdLynh6iV2psE0r4SffzRJ/kMtuocl11mbn92CphM+m53IwQpgi/acqMuGbdTcG6fkgr
+mPYMOGACB4uTJS3Dju1vSZxqxM2oqWP77KCMaagfAmkoffgNuuKM5AiN3HkC21zutkGL7qcGttH
aiYH5NlOsJvpEV1ifSEnRqNLgmKx3kEq6Hv59TLa1GvhgPkp2lPBuPsmTnkJfz+03iewNvGV5BXE
iSpR+Pg90raRzgi2tbp9aXEYD+iu+4W1bQk9Hq+i1gHpbq/FVx2FIB9UdvbBmXkxC/q9frBRwjE0
MC9gjcRbfI9jz6BI5xK3+pwpWiXb+U5k9PvtnE641jj657I2Cg+mRHbECV71M50TclboY2OVTN2Y
4WMwqFaB4hXLlLOLiZLFAAja7TdVDKdsqZ7hAyDFtc0faG0IhT5fiF5sjET/s1Fv0wCDJntKU3Kv
FluPD8U2Bml1ct/CxPis5oDTVecMfQdRd3OFmrhhXorIeeV/DD1yRf2ld2m+L20ANkg3yA/y4T9k
Fsiy2cIWjqNzKpvbKfavrAs506xMp7jaNwwpLgOCQt9GwoKJUJ2wDdc+n9woW4+zmqkXErsXJp8Z
HtTHyxhmVQeAU60DdXtS7/MtvjXmow7pjbl4/bVkou9HC7MICy2Z/d+X2Pu4Z0uTjIJ9D2fqXY00
ICvdFTRe9oqt73GjZW5CqMgWquJLNwp9gQ+i3rvkGf4OcQClEypC1Gat7Zb+9bxiAZC7zagEaW3D
Lap7y022yf1lFtNdXu/AUGgkvoDkADQybGPAsYcsr4Fy3rVNm+0MwCyo/xJz/v483h6Ul5szyGvZ
bxtqaPv7v27OXEAOK2C090ncIDjYcg/ILTEFYFyGRedHtnF/uNy2xUEqaYJi4t2xg/ZCxyAy20/G
tmqt4ozkHBGpY+1QO35UEV/sqf+9oy1iHBEFRCdANkHl+PvPi9uRaWObxPs4jhEtS0adWNhiG6g7
AaMmBxoP2P9dUkacGaShB6RqwgPCFeWNXunWl0kvnLt0HA6mNtxCwp53jdnDmpnGZjexR326K91V
btfl3pkW0637MjmXWuqAVimYbq59GXQJX45dlrnNru9RPkyPuBUKlBM7FK0qWfhoGtUHahg99qCd
Tz64bvg2Wjwe53AK6Eg2uzZq9H0hI+0ElgOY8ZDddqgZeJRtGiqDaDfpok3OZqOkyLtn0W1JnRxA
Kxp9LGFsf4j5QyyVF7Gh7cTUDPcLiVpQ5GHqW+DGrxGPGmkbGpKOIGLzbsKc2i+R8DkBUDXAgWVO
6ptFU2IfryenAUX6CaRFmdElC7W9ZjX2wUm4B4TbN3mqh7rXb6MYpX2F7vCVbSrINCur+AbFQtsj
PWZ8sNG0t4m6JeG2gMSSlKvosNhbZ+pfa9mJmtZRck55EBT24VL3aDmokbJDS68ll9oQ97d105T7
sJ7QSVsXfSfr7QVWme7bLfwIkD3k9VZrAcTO4x+5TNFDA3rocjKYtJRGfYc6durbBEhfL9syYIig
e1tXIrC1VXlcqkk/O9vXp1V/28fy0bBAm0yzCZLEGLTd0BblAZ0s+4OG09viAdgfG4odTB5DoFHf
LHUipzA05DiCuF33bby4tIg+CBZvg+flEhYIQ8NRgcyrbx4wVZhBIwCnp2JOa78aab+O7UiZUa+A
QXqt4dkoH1VFb5MCLkrs1EluqCcIG28iVKRALzFjpBGaymp2DL9QTFnxLh2jTAAYYKSnYD9xrBB3
9vT+fyoLscEpOefA+ZHA00+l4/L7qlqaIh/TAnebwawV5vJpx9tGjzFNtwsizXGsnd7eE+0eaTtk
+1w3x6e/B+kLAu63MLbdAy1y2EiQCpwNIP7vlc22aS0JdSlA1Rg/uaXpDoWutRTiagchbUQ5NSnU
7jsUivCGB6nfVDOoU7Q/7Qcls9ZNDLJFBUhP4Vet9rPaSR5l05HdxXVQZHH7CWH17mi0Fj+nj61z
0+jm2aqn5rOMQCW4cymS/eT0d5oVoYQwKvkHyZextdF++40ksLRMTQ1/Mpptb8GUC46uesMRGgzs
qjPK13Og1hGSSmM1ni4/whni/E6dIuvcxfyBwWPoOau6+rkAO7KSgvkavQik58Po4ESx7Vuo07Kv
1e4INfm1BotxQLsLCBkmFX4SafeZLDQ0rZLxtK5xd8gbswUBsNp7c7ZGptrdTjFS1I1Xs9nlJiIy
FCHbjL1UgqKWq49TthvV8RxkbdPdzHwyqFG2hLIZbYp46EWFU36HLc/ntU01gtBwMqaBm9XVHNZN
PKJ9bfXPSlX+/PuSuZgAvn2cNOHBVFq0gt85QNYOoikrdVOASi29kwFbOSsdz0k0PeAyFXraoItg
7YXuJuYSeqjhAzgyavuQYRLjKgndKxSPhZc7bLMUUcGrJovU7zjtWoyXnfWKbzHP44gECo5FJer9
CKPy0M09SlA/1rRGBC8NVU/tgewZfacHjcTQBkWt1lPM6vOQL0OA1v5jQUPaz9b2o8xGfxetdEHN
zY5FBoAN/FY4JkWGwKSdYgRi5PC24Sh8k4job24NLIFusCXmvna/76dZCTSM9wDiNDFq9L19WJDZ
RLIvHNwir4qnJNrgHQnbLsOFBAFuA51ficLbiXCIeifgOF9tWSNLX6UIzNupN6i22C3tsEeFC0sF
qT9Mo/asK6iCopb0EMbJT2qdwa2ZT10VvWLh4oJmIo6O9h3ybnIX53azQ3SPcryMawyk535v0hvY
64z8AgaTLPSRS85Orn3Qw3mXpW21pEAqz9nizrukcJlhts3b2hlz4xW2gX237ZUWYxRvEtH4QRvX
endy6bwiDYQanVwU+t6CmQsU2KQ69ERY4FR+yhz6GWBZfFWvpfDUtZgDTQ3Tm9js4yuJPJnLdBnF
lImHPo8NGTyMN49p4pfRCc9TZF6Hq9EFApTPbJ6WKK38ZmFfjymQV/5bryYn9BWHdYl0VOijd6AE
pO2vVdes9xLR4ACa7/hLVFV3GDT2ABKJ5TntVHOHFlYUxEDin6Yxbz8x8A99ZBjGe/yaVkiq4DQ2
j6GdZq7NDkWy8Rowl3NkInvfw485ONlC5Fid4bowSwsbgQqZTJWw3NVZFnTb7TAxzbdEfHwy0DTz
u5FjRomxWYftbKUB9gvswl5Jb6RabVTBUv0GvzsHIoNH8DmOKyVw2oK28xghzceDdGNLmLuYXhAZ
KBviI+/0P6wWFgm9mA2Pvp2Svx9OnWnmGYYLZmC3gHJSTAmCtjY4nCq98i2DDfH30Pb+ekwVQaST
YlGow9n//XrYVYEMXhFrQciWBKRmNwCbc45gjuxDvBrNB7tBvE8sKdsMfhtSkQ7DPOdNCmIDb2tk
hH4LOCYNW2eQoUIg64jler8vVzW+mjcub9SZQV0NLeoGhAsza7RdVbD5LfjKnj5ZGLFQOcPW56BS
ETfz1UpvASWIfl83/JTErNpPRUe4NsrtcDfClpMnye+Msvq+bGEkKo0QxDWLDqfH7+AXm11qggpN
kebAhkkTjxVSkMfVtK/zMc4CpgyvyMVVPqqor5mVf5cx966oOHjgAYLzhkkQFMMmIVC1j93KWsfN
LP3naK0zUq3WjuJnEGXaDiWK9V4A8gUjwm5yHE7JmCV4hZqkejX1er+vzO00LTLA4DV5SZZwzgzF
sLrqtldxfEyB9QzLS7kS37KRdb6iuexnbdsdQMVz9mSE3S6rm89JkimIjnJm5i03VFtW5dNxWX20
J5gCoB3533/NWe+IiirocipU8xXIEH+QU+PNQAtQ6+Mb0lh2Rx16N5uFcJGIiXygnzFSEXN3jHvV
vhYNA/wBm6ij00f2obPYoSXGMr6Kw4dfhk7vdxXgbzDf/b6NOkQ4BSgiCMYou24/UzFEejMq6+rX
o+h2w1Kh5NOEzlGiNAjzHr24fDWfzMX6UYDX9bJcl0d253iGU6PtiGCsYmOx92OTk7Ignu1etrtj
8vhAmnIFhVOgdsh04oLnHztaT9HO67jsrv813uf/QR0g+Hokm/9/PqebxN/bfzM3//nAP7RN2/4P
rEgDMVUaJOLfGkC29h9SVUL3lmRohth6J/9N20ToB04mnXVBz4F2k2P8P9qm1P/DJ9BYZ5ZkXHig
/xPapm2+mfPpEhI8pE0aHBCQ+Motrf5X0duwi7rSKbR9HQr9MQVohJxOXJ5miJv+mM4DK6r4GmcF
DSdp218TqyhYc8bQIA0x0FQoGX0hxaxnX9I4Tm5A1JnX9Jnw1QRdBj6wQyoeSGVrml/kOqGAOYFh
Oofwk5l09k15zJwFpQMy6i/AQqrXFQWNLzGgvBI+i+xvTUuZ71Q7Qg29UxVPb1DwhdkvTzM9zE9D
NzVXeldWp0UwsnGdsj9G42LNHKuK9kUxV6lf1X2XXqW5A6QlsfXyMUvCVT0SXpQrNeVCnqGnY7nh
SkxsC4vwaa5SZBwNxbgyHSCgqM2h05AqaMfTj12Sz1hIqE8wxzfYvxbx3TTa6NTnKU22KF/lTycK
8ZTAyLM6tR261QYymDebTZSO5u2QnNUiRWi9hXfhUhoWQNxNrb1XgAw7bjEkyz3ed2kwYrp0Xdp6
NrqgD+PMlaNRDLdRvwyv+Ikqn3D2YBCSJ+H0neq9wOJQCYGfdsrS3MRzZuBCptqMHUJYUCaeImMG
enFZjibmb8GwoOXiltDuQblnmE0OVnWmFDaOqRDR6hekXUGBrNNBDga451l7jfucOakZk76CRNPb
A70/iKpgygfbm3uVt4uersxcxH2TbziSZRhoYSaJ8BLjc1LGB6NSrWDUtPbnBrVIeBrgTQb0Kn7U
mZi+in40T0qdRldG3FX3pr3Ip4k2yTXGJKDwoZpYSgB4PVV28zACYsv0NOqoTEzjNERo/efZ7Nxi
vlnvGrrpkWdUenFCHsrCDzfFzqDv1fsVSZMrDQ7HTpiD8Q1hppwqwugfaIrgaFLJVL1PVgVlXRrZ
jN1TY3ZuyFviW5C2+HZamd1fG62tnY3GkkdVKBIdgbAajkO3ysItJx4pQsVZcRCKkwLVGWA1Zc44
n8OpewDpEn5z2hJoWqbrX622MK+YouWHSLZyQxkI56YdeFCuYZXMhuqxMSqvRBgWVrKTKphOVZ21
BgKXpRKM/6odu7GDeKBtjIJkGdtPChkqbad0p04c7EbdfKvrIkSAvCr8BtHsz42O2A3A+pM6c/RZ
A8eQsei3fQY+l+5NUDh97Iat/oU6Y1cMsguqyqIDiZfIWVft6Sdy6D+E0jY3nCUPTVu/OkkXeiHw
wRzRCpdZlQfyeLotmsi3jFrH5WozCJNmUCXmUNyGBmwuYHDWbAYTKrqwNovOdhN9Rp+q6tb9jMJB
D5ITFDaFkTep2kRAKGLNd0DHnm1LN9F+ssenEs3ia0WF5ttilkD7pB+G+94MQ0Q+MGNi8KaCTnQj
Zba/YboFdLzHIoOxSx/FP7KSmOgTTeS8q7CGdE72OsfxXht4OK5l5AoeTDbNt4APGapbaVEfshOm
QTkj1IPi/gRF6CcCYUMwCIo6mk0Gy6Kf9wjr63t11NWdHjUYAbbWCuxUVfdFpCPhECGb8mTxaL2B
ibc70aUNbAxAqWVjDHEZxES0WNJ+CPC3Wa9RlFUf7LRdv9miMYEOJ+14VUhZHTUMT+9CaYcBNi7J
a51MYY/SuyHJjnp1CWC7zDs4MBPYbolNb6mNw9caXbFDk+Hu445rlhyWMEFIHcc/qtvOQmoN4iiM
ECc5OE3UPuuyNVgOC948IQPqoq76Xa6X44OaM4hS8Ps9WUWzIGWfWtYe6HPPfoi6O3pcjGq0Wh9e
ImSCYA06hzUyrkSWLWecFPPnVkbdVRTNh2HNlIehZiiXovzzCQHt6BZ9jfVWghHZ22Wp3QF3qZP+
WIzjcqf2CZQGSxufHEcbKX8mKIfpbDVHAOzKjdqVan2lsZpuJwTYz2lMhAey6IgTZhVfQ8fpv1pK
ln1ukqG65jFn90W26t96o4Tw0aADXXsNGs40oIflHOPqCJQ5Wjs/HXptN9lwqjrDltdwxcvVn8Ih
2enOcJUvq+7F62gAJhnxRGE6t2mD8OrWKcsDmHTrQ4gCRwvgIsq+2Kgv7ZYahdaCCevJQsbEJItc
a68z0/Qn1qvDUYwDL6nAM+Ihx5woGLZrW2hx3TEqkMGmGHSQojZ/iCle9mYYEfrsQi7wVXOoDLkg
U+UgxRDc6qKqcfUo348Tx33dNpgNCBPDyWz6hBjPJmOmMNmy8Xw7OusSYVocM5kMw/wLmP31qUfy
+7wyCcpcYTXyVOshALVNhu9I7fCTeULmq7i8vsB7aqCvVWn9NIsRJ12d1KP0naa1znNtp9dQAxbw
7sRWIy6+YzSUsIyz9CbV2+hWqztMa8I1jKANTFgcIiRO1oqdIUSuJUJjxtJt0R+nJoGoTztfunNV
DCdYl+ZnBKXHpzkVP1tUw9Z9EnbY6kS5dms5XfQLFewoKM24R0kJ9RMXKVtdZxrjzDvQ1fJz2lrT
o0Wo+R7OVkLQRboXF+dMRXkdbbH6yUIP6hdOjJk3aFXuFzEo9hpd669xSn18aNNGu+2bGoFqguhM
73njAqentTbGZyeMXpDhP7C17CtAjimIBOYkGOkdykY8qCvveUmr6bQgto3eUgNJo4HT9l/Undly
5Mi1bH/l/gDaAAQQAF5zJjNJZpIsDvUCYzWLgRmBefj6u8CWjlVT53SbXmSmF1lLajIHZgKxt7sv
74aZ2VRPNhVifEkOwLncIwkZ+dAXaQgnvbMpfA/aKz9KOHS4c9r8oO7zlhZt/lCTXV/Z8Kb3VcLN
dFXV6Dg0omWbwrWHCxathvOeya01F8FOc0/5RvFqtrPmuiR1atXnjGjPNzb0BhNp4K7SrJBr3WTO
1itd49Efve3oTHh0TNu/DGSbbutBcd6DOfhsTZQf94xs27ov9Dtldgh3Kb21iuPWAeWSRY3Ipzuy
FuV739jMZM1MXmCQcnqoYTQcuqTlYGI3B4qkolNUdtOOStTqe1BQsjZapfyAC8eCJXTvtF3Hx9zg
dl/YlfVjKqaeXEbiM/qMfSOi1dQb8TEDrU9xeZOOH2FoDqcZqFq8GXODeklZcyEZxvIHxaZLNK+h
Xoa+mP1AqPQsJ85RFBAvHAsrJf3q6ZsuDAyCDJjyrNCRK/Ts91zOAPB0dQsJsz1YJh6HyaKH3W9j
yICTTE9VS9Xp1A0nDp3xJgkK5y7r7ewQai7rIAmdnRZovV58wo3xg2TBO76JO0+pZpeX7VK/q2Lv
vqRUWBA3Na1dVBlHromsT+0sichocF1dldNY4K1kV8wxIqjmo0f/2k5MrXHvm5MwX+nH8r3rPmzG
PV3nAX977CcfHLLKDvREbj1xk6r24wBAz3MHVV3PecXZr/bT4J0gjcXyt+Zu1BBJemA89fBHd/ON
2Rg3qGfuPYfJ6ToBgbUSZpOeGvymnOYoQlv5wCEnyr6RtVdD7YpHMGvqkDesIYqMvcfQJkfhannL
FYH8V6Xyk1R2TwOSEvGL5idOdo5fd805c76tW5/QkDapUMg4WT+Ap6hPfF/djrMXFWh1NfWX1KD4
dTV5rDVYoAIB1bKYbdpfHHND551Vb0aryB5mPHzVVg9avRZplJ9Es7A0rRxknig5oVDfCNqKw2pu
ryIly3Nqt65cN3kTyhXVEmzwSDmB9FSzCaouDXX0bKaRday1RpqOTMeA1skRwyHtUqZZftsjRGb0
Pec3di+9i69MB48byTxqmvMif6dOyfqhNMQ9ql691y6yuitsxgbhGhmn5ZquU9I3YQECHt8l7Bnq
K8YCURhk9jac8RZTBEujYp3C2hpx6K68dmk9rlw6+IJsI0tdp8S9Awu4YFjvuWq9AX5uV4FN5Uzk
O9EebTpfs8zdR7Y625X7UVm9OoRFaVyNrFrXaW5c4VQ/OG58O5dDsOqlzjdZotoHc6jpfzbreB+6
GZZukzxg5hDXWEYMz8sPvBGEyMpdUXI25JlcS7f4MCfekliRvJALRjDlwM2IvFQ4Bwal69FzUA8Z
sQ312NK9RmRFfTM4dqwYB4ddnbR3TOeU0A9QCm0E8tw0DiJmYcUw8gOh+ZS6yYZGmaXmAcQ/JTff
29I+KpPRzG3o62jpPmffVU1wC4lsemk+b/MBnpsrw3kTxrA0RdG38A06nmdfNGsZDCVZuBox3N4Q
HXrL+wphPzoQQYw2pVPczWRnz4PIy62MzPmG756z12DnNtx6rNUwTGRmmJvEdULB730IOGnvUIa1
VlXfbSuzgyrqxHSyGroQu5l2Cg6lxtTvR7hkF7qYrBCsQDqJtRF0/sLaa+uTnDpClF3G++vXmbdP
6SRfzcLpD47hhU+dZXcvTVKwU4uijIElIdRxHJulfWy2+/6SmUkebaXSwRNMwfGtFSo8NrR3QF8N
9YoDjfuiBt2pbUvLIKoFtR/jNTvE+F5qNeZblDoqWegmWHHjMJ8pPc8eWlNp0kI1YuXeSLPmmnVp
yxnUp+uQOhr97DjtgwDyuDdb/5HyaffIBYYm1hhlacwoZ9YU8FRykFu62omvN8EWrmH/056o7+R0
avq3NDj6B2YsmJGRqfH0I4lS0jHhrC7rsP/ONytex66GLZznEUS1USKycKt2SUlfseFU18lsj4eW
DSe8YPoWt1CT9NFSXPO5CpnDk6I16bWkoH4fQ0mm4MxrvG8+BxeHsoY8G1dhIv7hLvuPLdb+W4Fq
Fu192OoW3fz/XsFds4FLIwhqv67hfvnJf+ziPBBqPj4ekFQIAHJxePzB4/5jF8dhD4U++ERu/3MT
5/5m+4j46FjCx9a3LOn+SeO2flugM5DEPFzmVOo6/84mDs2ETdsviusSvPIFKzSTX+e4+O7/vIkz
wQ5z3JjmfW45c73OOrMsVlZgiWjbgAuFmeGG8plB38w2HHXjdqub1O/XRIWVtWkam+6ekHz0w2Di
kGF4bd1dmxn5Df2R7Y7xoL0vKSjBzVoOyCyoSCs9ZfEhosfsyBPK2fiUw2EIOqLSk8vUe5KlSS5U
lUV853bkCleBFBF1PFniRUeoO+wbKCzP7p2iZddErhy0oOvNBCRHmkOhHXvRzKEmgbhKJbBLBTx2
Mb6cQeH2h7QPk/u+c6sD3lvgCdZYvKBUkJXsQqt758Wx5gZhwB5Nie7RayRNWWgXGeeG3AqxgGkv
WRuDHEp2irnYEWbo1a4WlVfuYlBeJbHmML6NW8scVmlUOfgqPbwf1zbJdFCvKKL4dfw09A4JIriJ
fzcpCsjYDvffgGvMuI6jwvhecs4LVvwp4xNtj8lbxYbu1Ngmbt2atQhXTbx78waZh26PRViVn5KE
h5gQ+lwjy+41s9MBQmvXlj/t2WCR5niGQexP61M4x9PNOLDBYaEaNMBamwBiqavHlCOMPZyN2egv
iajz30WOC2udgvXMtnC1jZemciZjE1ayKfcOAL6zYbsh7ZEMecVqbsATrLFlZY+lyHoMPTDHsSfM
khL7JvOtD4kTNMNqZWWvs4fOvqNhhyP+Jyw1xoolqFyidHCVeACmqZ4ygiMl6RyDddFv7Lqpznoy
9Dnq6/og2rK6jxLfvK1gaBt0MCf5sMnIBUFYyPWb2bTjLVAXiKBTBU2g1B4LsBrPtsR6vP7MiFIT
2HNn4ei+b9nzQuOypl2k0vHZm8LpxlRFcEA+b55GXcbPToCDeCXovQIi7/svOSU9D1Y5judCYf50
WhLK6cLcSCxAhBmwnzVNhukNdFDWtvyuvYdgswmtgcj3wiXpHCy5qlls5DMDAEQRAipLehSya0jO
uy0Pdk4CuBCy2LtmlD/VlqNJ/Itv2KvJGktivxTIr4D69GA/IYjlMTwQ5tf7oHcF8FFe6YCyv4mh
OByrkCR72MbTN83UvpZdN14TgRMIrpiBK1M200ouvmoL6QxwgR2qs+Va8+WTqUKt7HjHZ51RnuOP
3kQlhyd/cNpLF0JsY3FmPcxqmJ+MvJYHSnknLItJ5bGFG3XxlEWF/ewwoj+lZdt9dFGdPHmWy2rY
7w5Oyu/GnxQP6yZt5Xmy8+q1svPmUoDtfhsC6h/XFY74B1gYJisAVhycWCnupoZqytgVA5/dDmKa
IcdJ+41S6naiT7Vxvtk2ix2nB/JQD33+A5XNu/NrIb8nkdFso9wNKXOSTX9PLjI8TDq2ruK8zN69
JgwmYHKmTfeyQaVq4hUzmoCZ6A8bGv3T8kF4hMc3f0TeMOiNP5jZt7kyvcuUj2cPhbMnQdvm+Fhc
a+B1GhXeRtu3XoWgsmbfOWPhboIsC2+F8Cix4hpxH1KRTattOhK87cfpOQ0KkEUNl+aDkAvoNhGh
+EjrcgbbEIgqon/Qlo9dUFgs9jomgjlz1X2dq+JN1mRJ7L4rqLeiVuFswrW21zoo6LGy/PHk2qpF
op3jeTfqlrOhiZ3QicNxi7esXs2Sz0BdT9VOIeqwGg2d+no2aSnY1FktrU1hgZHPJh8Bu5ii7uxb
Ah91mfIl0RIs/9pv7eZewRDaxyWgdUJkXfOQJFW8xVVVXZlJII9CZuG9ythLgxVJr1FMw+/A0x5M
nY8n+OMssjX49kvwud4mnxqv+s+ldyhUd5WONatwy2Dst6xJnOSyKc/YY1Ext+zP02WTTiJvWap/
LtiZOefLIBs1HGzmjofQjDOQY8r9bi/7+b5X3tHyI/NC1+VwTXJJnjK7z+kU7HK1Njr46umy8afH
czr05ehep0mNVWn4FAeyZf29bZtWspiNwf3Adw+qG74K9je56AuKLuKjvWgO0ETyt5Go9ZuRiW5f
Bcuif1h0CqvFWTKWsf3YY8zZzoue4VeRf1J1rX9XoRreqANF+VA4wf11+qmIzP1QH2gBRCeJPzUT
q/gIGzqPye94/oG+a7HrK2FMG3sRXNpwLE/JIsKUixzTfyoz3iLStItcEy3CjfGp4dSfek78qe34
Oqhug4jLy6r6Q/0Z+uENVjaaECnF8D5ahCLxqRmRiUE/Kj+1JBDexU24CEzFIjXVsMm4s9dNfSk+
tahmkaWsT4UqXcSqokfn4/OPhNUsYpa3yFqR27Bsgjhnv4PsDglG2t0A30SI+Bh8KmOwtMxv0svi
J+7ZKGf1p4rmLYIaVfXuMWO03AfSDb4FUS0pkay7Yu2XCXpcanfGEVkLlS7um+JRFBXaXbXIeDMI
CucYFZN4LrUpx83oEjdppNSMb8iA/SIItqVn34+LSOgE2BjCRTi0FglxLufhPBdNd0dtLQqj4bXt
M/uR8iNaBEgmVrnPFlGymf2MKl6/uA/Cyjl5tWAEJVMgn9tPPbMdaJcEWUZP61VSa3kTL+JnFlbp
c7kIohzY0EbDqkAnrUgWnwJK5V8DaNqrMZYvppPpPdugcWMvG6t4kV2DWjuPKGHpFbFEZojgc54o
ltECkwZThl4GjmgZPYplCLE/55FkGU2AegdbiuRMgFXL6GKPWXQtl3FmWgYbu63knurjXdyJiNV0
wmCIT7z/Pn1ORXHqSHB2XvrqT7CEkPAYoKD1+Lfij6lqGbDCZdTqmLnqZfgylzHMEs1bsQxmwyLr
dsuwRo7t0VnGtyHoH6xloKsX3m0PvlStvN7nipXAUNmPRsMmq8xU9hDzMXmuljGR7sz5EA/0PG8x
/8f39udE2X1Ol2WnCcsWmIhegqadfmjPRySBd0ef8wDmp+b2EzbdYaa2NELp5KADrMxjSwQJFvB4
R3S36ZgGY4ZH3sSgp8vY5vZJlsy21nPUpedkKthwUTEcbkqMyGd4xo+ZqbyzwqHxGCMVG+tSlOKq
czCJWAkeWS6GJQAeNzcf2zShEJ3MA8WfqqY3K4IRCB3kcXCuQt7y3ezwr+eNe9PkpnnKzcHZDjmD
P4jGnL6GKL/KLTATHsXL54ag+oaC5lsvj61byVGZza05XMKqjE/pnFm71IgNMsMW99jVENqRu/aq
wdv08AHx6AbJrTWO9Yn+sQFCLuDJ/JCnqr2pZw6LLGtd+eT2LkiruS3R1OypMCQkQrN9gpEiSeOM
jkIlLBCt5ol1HnihZCM6TomY24oMnJHBHgqPScCnEzzDLf7f6Ky8djGeqGkigDKN87WP0+4Fno78
BvZwOsnMY3WAcMSiXpbuhYsdBlI2ltErX2CT/eRQcIQ2RM7dNCseqJFUNxpCF32GbGmQ/rR/DTU1
+ghkn7dwOZRXbVLOm1dUNlNkms2U1a4dr23MA3t5e0fouoHclFH1uwOmaxmbjp4HE5Xeph1vNhFe
1q1SYu2Q+Iy3JGtdeJ+zY7wtXfIPBQtysW45s280C7k7mnO619JbKlyrfipuOnq+K8eXLXAV1o30
M/Tmnd/I7JUNMxMaslOS3zUF2gVJVah1GzdCZV4FNJFjUehHnIdmETXiMGqLzlt2Cjk9N3bwHHod
g07vwSmi74GP6jrvqoZKGwp7040uJnLKcraem8Zw1L6Vpn+kA2wY14mt4m+l4efTJS9rTLIO8ciP
pnaQdrCJ1dMuNFuPolDPB72fYTKM7lqxlCRkWYnMxcJj5qaXEQaz/eme78ywYiHcjGv2bZw1uPof
24gCqC4vjiONI89cltx7SZUD6/YwOBb91D6MEEEBAGfz8zArz1gFEeQ6Lr9JuyZJgYeQSxJi13/W
e/TfuiIhOMwpmlDx/70g2Zdvv65G/ucn/liMeJiKuNOaFplnENDB4sH8R1EZAHn4CJB1WcGQhRas
TP7Jlnd/83HcE20nMwMvZoHF/GM1Yjm/+bR0UiiCcZxfx6Ll32DL/8tihCfG7ASpgnAKc/iX9ILt
4XNws2HBrTGMjQPwgDBpYWcs5C0jT8brX96Z8x8rl18R3Jir/ryI+Xw8HhBLFLz9r4bUTLH4l5wd
OetB3Zkd9dHPQNGmgUzbXz+SLb4kvx3edJZH+LHZL7nev0RiOtjQgpKwYQs6JKX/xXURnlVkXSVw
t2/SUPU3HW0Q+4ze0M0SUHqXQOnOTTGmdGM4Xb6qDGpqzGnQKA5dA2A7DVT97LCiGXA7SfdWSmVd
d6bd/JgGPKHrxvLQK2BBUXqWz9nocc4tfxohxGuiz9YjFeFtv4NNVFnH1qnNc5zZjaJZaw43beI5
P1sZldRoDSjqfpMxO45G9FPJmBV/4dE0FWbzmbJT5Ky2QkVmh83SApfDJQGDeaxA6PaHivJ0cqlR
wFPpaER+Zi9GftOOqpl4I3du3BuUvIPQVYa317OAs0EtvVGtga2SQW6cmnIiQrz1B7XhtKI38uqT
dGX1oGcNKAXFJB8LN071hhtzeE270nwENlycxzE7jZHdbp0QJJeK9YuRw+IDJHFJHKjAheudphHo
IoHnaFWhk68FtcunKcoiur0xNISM5ijrQRZxj4bdEuNO2lrGyEJjal7iANRzPhIPn6oF2OSBKhh7
77YtOARkcJ+iTzQ5wvzWNYJtH7LuSJUNcpNSHNu4n5hLXQsvKvbSaE+YytlkOUZQhJd1qglih/ik
SWepDxzLCxQTbFpCXsszB3BgC+61ByW8KiOAD3KhX9syJ47vm5ehI5zfIZGBM1VvygbytgQXF+oM
J/hkZbEVIpRm7GNytWVabzDvloCGI+KITvTQWolaA/F4p1z+tGDjqjLJ1pmV702o6qt4IAdvNzBr
RUo3UG69JzLfCZjD3Lra/YLy+2RJpCFJZf4LyzEmbfCpQXzKW3WtcICtOeksRd7VA6eQvcGhzZ/6
YxSm+1YYpwhszVYH0Cf80SdcX4VVpU6JcCDVwXJs7qqWMgPYLMUCIR2wf6zEkB3NYPwpCR/A6q7l
Ls2XA9CCRw0Ucdi+HTjXQtfDs8bqJQ6QCTrHv7WnSN2KcPxB/d3zqGy5RS/HgCWYZGRoPDLvnsiy
mGsklXBFSxsZGDzGn0yKUSqU47Tcy9p+Sc2AFxCCVg55uIWAHWIMSkirrjIpvHXrQXDQFKjlJg8t
B9u4asq239QoikuD2CXKYZOHrG4BlJDmCHO+qCiR82NLPgDqnvdIAgBIAWHYvuDv4Jgan0FZ/oeN
vf/NN1cShL9c2Jem0f/3R4PoHz2g+y55q9/arzfYz5/6nxss4gHdH9xMhY0Ixu/74wYr/d+o4DRx
zfzjDku65Z/ag/Mbt11X0GjAvQh/MD/0T+3B/M1a0GBE3sDKIAL8W9rDlwDNcpPzqMy06EaxuNN7
X/BMgR2zceNGsG1drnGrmZ3Dc4T8+u9BVXgYX3KSwM685MrAJPxZ4GgwviQAOuSy8e2/96bh73xT
KNoU27TfK9ri97/8Ff6XG7m1BEp/lVSWR5QAzaDJkAkkUvHnRwzyOUXfD+XWs0bO0To3uYR3IJwW
BpCADkG/4IPfecmhDSHuDSYjDV3T83fWC9berILkupGRuLYqkPf23CXXwZQNN5CL5pM1pvpvkkxf
o/6f79By0nJdErIeQfc/P18GzHQiK+Rtwbzn7wM81DWuWf6TvWOwAQeIUVB5crmxl+81hsX3bvSH
JzJK9IV0HPMVUvE3NJT2mkrw8uOv386voJA/nt7iWbfQyfhM8nn81StOg7lJzcAktx0p8Jt4trjO
x24pNl4zRMcJ+x1MIUuXx6ylzQ+wF2VfCmclz5lkzUge3p5UfjeNpOQsfWVGxmVUbK6ohOx8bK1V
n74KZLt9z27znJV2+aNTFqVXU6Xv//q1fMLsvn40MDwIn/MVNIflXPvra/ERiMy2E+5Wd1l0mrDz
krEebbXBoBaBZ427FC3HdLcGROb3ApEpXGV5EaSrIm/dwygD49JRW/gqnV4YK2tprUkN92XEHNQw
5Hs1yfXCi+msyQzi9KLrrxi1qWFWyat22RTHofsSuK24bQ1cdMV0h9ujP+iJGtu0hhVLwWp1coxw
1hyLBkindmyFuygvOLwhm5MR8R0sP1QE1NqM3n2J9WRldUIfXShmN22SY6OLuBoda5YNtCHaBjGU
Enrty1+/l/9yiOVrhinOdYgjgGWQ8svXTIMCSt1mcrdWKPK7Er4HcILBPPmkDT1hfRjJMN51ExPg
OufYmR/osh0+ZJXVP1Bk2ptKIQWsqAn1roA+ZxvPqAjLF4VnrXFs6HMZkaTrUcjGo9L59B50g4VX
NCyPNM8YhPJSddKzVAoEeUydlDLHk592ya6l+uJvPjhfcX7Ll4Bv5hIq95cj++f//0tgQvum7r3l
S9CkVX+rcrtDIGOLd6W5rJ+NSQa7iuZlAMLZfKkrn3pU7SJAkkfTB2t2/G9sfKefuOTM3//67/B1
TuKZ+cvTW/IhzPtymWt+eWaZmnICl4OLP9WmQ7FmqdlPV07LltEb+78Zkv71nsGD4a3EHy18lvdf
UnQl9wf6e1t3S+7bezExDS7f4uRvMFNfR7HPl/TLo3z5lmY+WONG1O42FXH806RJ7jR1hcEOqS2m
3V+/fUvO8MsVwccsHCx3VNYW9pe3j49kojUOp21BzPRIoHd+J7YtT04tzHt7bLjsFhicmDpMszgH
VD5u/voJ/C9vaQBtBHwb13+Hf/zz3680ULSryHW3Wev1T9bA0n0MZ+9v7sL28mt+fZ2wdzg4ILxy
CSf9430dp7nk+lOWyC106nu9IMZyc9oncX8ZaXcP4ruxEGsxDu/jMK27KDPuZotVFPcT6MFimDZB
1+Hup/vzIhtNa6bCMOaO942tK7p8qRPVDHArs4uutIPvZiWCuSZ/XP3Eavk3Wc6vnw9wBu5iHobv
QIDU/MqrpZCa/ImsvW3FbWeNDdtHMQVlN8vS+Ju/zr+8bTArlhsfJkByWe7XYq5oDu3M6xjYKGZV
1+GEExfVf+FKFRlrxrA78FYHf/OgHAW/fquBkXC94bjElRVSytc/14DH0M5pI9lSDfzIPFtuhfLr
fUBV3ouoylyuSCHeGyq+qtXwSrlQsvOGyX5LaNMFUx4dOfvgffS9lQjludE0P3BxQwOsNVIHYmQT
xq9QfV/L3trHzJAr/N8sy3Pq3qusJQUxjFdu2hMV9hrzHMiBDUWO8hozIa3op0TiMidzV1uhe+OX
rDUVpHltGxkc8SFaBSGFJ0LnF0h9FJMAS+MLdD956ZqL/lXq+A8qKLu7GQCont8RHJu7Ys4pI3dd
9dKURndnVImNdN2oTTgnFutiWjjqxmMpEsuC6p0qS14nbMCbsYuLCCtB07/bWVDvnQiPwCpnu/k6
xra/Y9H+qHV/rv19x+uME2X9HsbgH90wZ4o3VP6dvHDMcjJz651bpWDO4kBjPIPaZU91futUSXq2
Rkmw304qOGlsDFZW3dk/G5H6NzlGsF1MFS4+wZTVbmD14XYe6DzGZiDS73ifh23M8oYGqGmtM/mA
Da3ctJXI1aroOidbgxCYjrWInEsY9RVOf4ybwtwG5Xgoo2LeUzp+CFGYiXlNo7NpJzv4mAZsjUP3
yKblZ8Lp8im2CcmJGRZe4PfPeVRdN3S07BqWMDchi4SnKqFppU9ruDyTLmFwThnRtQBLECL2JQ/m
p1HhOu1Tzzm0eEDQhJSRrVJ/RKgz2v6uHmciLojbZ9Ir+Tt27OauqzFdUV2hPug1DvYkXJqDWfn6
sphNXopKZ89DLPakLcp2F7OAOpcwqy74AFm2jAgmdDPb1bRpkn76lqm5vYhw6r5hbwCDZtTToxGF
eq+pUL81dKUO81gb93Qhx7cdHdLrxLTNjVXlHo8s9W2IwLxNh9HcMs5bb0Zo1VclosMtglm1ifjr
HbCotJeoy37UvTdRo8MrHEzX2OMSPJvK2c/lIytTKDF41CsMKKEBWy4xk+GqtNLy9zC0osfS5CNZ
iS7mAE7bO8EH65rapxnuXUXxb4BHoRyVe0GdiWjeLokE0w+wLlHaPshajzuDhuDrXNf5XeH6P6PK
fS1MVgWrhsKmcFXbMe6XxitxwA/UX08BdYaC6ELXRPMVOziMVbV6rnXzrAPc3niIrPpHBlDySfmp
hApV5ftATOVWhyRkmHyaU53X7qZGwT+gXGa72vDV1hU8KbawxZNTF8YNZglnQxqAfzkt7rnCjocq
r4YrqxWIf7JQe7ayJ9CSP4WrwB+NGKCxD2AuMwUSRBzxL9Bc8dDDuNr2Y2/sUnhLd2GjWZQhTjwI
YtyN75b3WT1IzGVcFfgOzhtHxP1VlrvnWZvi0kU5fxO8yMUmaobu2rGagS9VG+2iYBhYBQqMnaU+
QSaJWM1IYlUTqzw3nKNvLa30/G96PppmxQssq2Y9uVwdXaeZuEFU+cq1ouSt6YruhONguGXBmV1c
AEykrYycXklKv6Is2eOdeK2ivNkpmRQbx8iIvprktPqg34zsn28xh5MlodbkdzEk3Wrwq2RTBQCj
4lRVZ9vIA/IsjHZyJ3LnSYQVZSXERmt6t4uN5aV3Rmt29yqcjlZOz44ggZ8mj2GaFrxinV6EOQJS
mWL73ZzH7F73CSd9f8BEnDQ2vPh6LpINu6272pbOptARBUmjeLDCce0WDkCuLuxXntfBGtDdlgz6
j6KvjpHlbrBj/yhisgvgaJ39oKW9rw3zAdPIpqEe6wafHkiMjjjsyiXL8NLOMFl1NRThd8V4Rl9K
mHsk1KaW6Xquj63VqvXCxKGNQN12M53m9FFY62gQM4Tlcly6Uepu3cW0XC+CvbMDL4oaDWieY0dJ
p3GSHkth9GfDIpIWmwVMirLU1y4et3tHVpcotfABYQZ/i526fJtpo1hAfIRyScriCnbiUxzW4oVn
zZa6S10iyXG2pyZ53kdSR28B/JPryqcB3aOQ6x7HSsX3QgcH/DDdGqc+4yA2Gmpgy/xKC2xjNkxF
LH2peZNheN61FRfvJK4vtfWRRuwRVtQCNo9+6xUs1yN9todsupcq9Y9kz6ajN3vJEWf/tHWyNnyG
XjC9dGB6STBk1j2Ub1pS6bm5SiM72aOUx9/90p3X2mkqTCK+96KViREiIq6ZCMXtNiL/JtNoM6ZC
ndnstOQ8uxJ0yeQe275xT6HoXJCQvflItUN8yeJWXNXN4J+cQHVbM0jUTZ/7/FMT9LeVl7zrvEoe
EYlNQJTKPPAR3VZd88PP3WhXZJwXV169XF2CKLJSgNec+2dU0KvGEfS01te037kmSdFGFndDhrNa
sRFu1+TSwq2BSHojYBXct3Psvrtxlb94duFCJHCeJqiJmzICeE0Her93h74OaGtok73psC41HJlf
twAjuIY59Q7XpNggxJP4JXv6YLg9HsxxzoJ+52k3uqLWUO/MiUxXZlVQKxzqNGBC1oamUkg6V4nq
yVL55rPvtN7Z5+dXiBfGpQiS7GaOq3cStNbWTGvBCTiri4ei7m4N1FmvcT4K3AtQKdXZTQO5GWnY
26ghSq56wfusPNxFFfr1inXUTaM0fLFwzUEt3NVhPlBOZE3Rtqeq5W6wgu6ubRv1jRFTUvmQxdaO
EKuMVl7T17eOCMInr/aseypszBu7HfS1ICJ5M45j894QBIX/XUXR41DwZHDDuD/FaAa/+5hVr9M4
TrZ2xM9ZFAJualnUFig+tPWQcrV+xXVherODxjvlfTMZmJbKYlsHXnGvgaZeRVXS/8zIu9I+LAxN
i6rf75tSC73yrNj6Rry8WidUXoA3dblf96x/EGZkaFKxox1ulV0VPjra6vjjL+2qDbL8ngpVN+Oc
WWHSqSIW9zEFgk+lG4wvpGIzxa6bxAJNgOzJtwkeFbJUZRLcplHa7+yU0gHBMISpKTTcV1VxC/J0
mL1Ku/MoAzYMohpDggl4yIObIKs0T56+7JzzDPQOAC8Vak1lzHdjyoJy09aNvtNT1NwkfXJPYOuH
4yXPXe50NB1N9jVlg+rQdfNLNxMkacg9gTpPa1A+c7m18yVzvdxu6NAgTRtgqFhWROOmyGW10Znf
nWxRk8oKu2jniSSEdusValXTOX3VR8OOqsNNkmNB5e6KLY5QCGYHzJxHY4z1E5U8xy58nx3v3h/s
x9rv36wqonFLfcf4+hLZjnPIlZFf6M2GM2IW3toxc++U9X6Kml/G+aY0raZelTOmjNzUNfHrYMYB
YXSQZDKbc5LvFjeBW7cPRpNiu8a/iltW290tXVWE4/BZu2+wc+kS4il05yp01SULxodwzMWBOEvx
OkJNKzG2muLAamn42VPv+zDD2t1PY0nmR2vvUBiT8lcut733Dl4ay1crXCnQWbTtiIUbLfxq3dYl
qadkOPToWa9F2Vqr2ur8rSxVMa5VcC2KVF9kysIFK3xcbfom1leeWwxP5Iq46fh+LyoEQ2RTibfr
fTTBdmFVlvEHP1NAf8kxLWAwl9xYZY3bY54b4zod/GTL+b+583AvRNulempb2wESihMZLkwzgH2k
6bx9Epgtl1ynFGsrto0dnaf+gwH9GnozS8NvZJDKVwZ288iKotzXvh3w5e6CPcIlwdfw/3N3Jrux
I2mWfpdeNwMcjUagqxZOH+WSS3LN2hC6GjjPpJHGp+/PoyKzIrIahUqgetG9ycgbN+4gF2n2D+d8
Z7m3silUQVmRY3CRdjrwl3iH7Y12QIXmo1zuDGWOm9kPCspgEEEHomaNGzNxItZ8c5ffFEkb3XYU
HxsvyfE2EcixGyMy3VLW78cylk+FQtVe9vWvZYzTHdl3yYOrjPph8RwjRDql79NLFF5fBuL+Ak9+
T7wiOI+5bd+gXWd/hY3q83IUvpdxnTyMU9l6/Msc71oG0bPJjODJX4bh0c8xjq3HIf3kYClOiZrm
p8lE6Ej4VF6jDeqrd0wGLV9Dku+TWC7XxZDGJ2uJ23vVzfUVkmPn0MTjAAKnRPFi2PFL2owRBs64
4gVi9jIJiZWTgu2lDFIHXtcYFDtqngaqg3JJyyrnYN8qXw2XKUN6y2RQPecuk8HZ0OVVHag+AJIw
9fdmn/iMU5ZO7yvqtaMoBvE9WaDkVmj9U2SlTXPfSpRfycqYSHzwfPrjpKCb3OcdQ9lVBQ1/i3e2
2ifVlCG3Kbu3NnOJhHJMFgcokhcTrW48ZU8j6oo1mhlr40K4Bj9cljQ2hLiZ15D6kpMhTHJLvbrZ
q4g0FcMh4yPTSXfHNQnzylnISeMijsFcSP1sWFX1hMirwNolvXXbQCtc2mo45f5870fS5+FX+bhv
+BKMVQNC9ocfouQjYZ7SMieCYUJnhACM3kp6ZyPB6Op3JB66RLm5YYsX+ckaLAamJkZjHI1p+1k0
yI3VouxbS5Ud7T0FzynCx/7hJVEGWpmopU1keYQc1ZU7pWe0C8OuaB2KXWPRY3us3Z6TIdZnvlBG
6E03GzRV8GW41PVu9kW5zx3DdJ7LKOp/lJ0VtNZMDqsr2y2FC1dQexNSplSgTYssX5OhmHfTmkra
MG7RrQ3yaGERvFisvdexnMs9TlbnXCxOsE+NFN9eqeoB7INos5q3HSYh8YrlhC97QivdLsuIPytP
g2RbVnOzHmpFcesvstnovtM2mXMm3EGReiyqkKMuK29qMTsC4bjJnaB/ShV03ckAkDC1/iW2Sc4/
SxMsJWNgd7pajLr85RHVCJSg4IrU3LCorSblXJd+ubzYldv/JMyBbszFM7740tu3McI5vZJEF15x
FXIM8L0h41aPaDFOnoz1qa+FhEcyLsVWecq8ZhoGwtJXpLStlVOkWN/q5hYutHmqTS97p7WkXfSB
tBME0eVM1zm4X1pLktEmnemYDYnEtDgZFYrHSTRvfQvmq8DS/8pKifeKfCUavbR+qNjTX0edF+db
Qzq/CpsB1ATi3h1clifMM3eZWq7ynLDfBUsx9cxixOdU+8XjPM7D1oHCeWwSaaH+zkmry7qx81fo
s/utrpbhoMvW3jRGSkYwcMzuxQEUss+4vp7jPAZlIWUiMr4Sq7/qliz/qCmXNtNUD3te1Rgj/Wjd
NajvBD59IlSgFBmREQ4zIQThPOuIDFI/4ZacFfFzlkVjQDf8y/ZaCR15Qf6t5u/eUt9dbzyZtACr
IsNz4FgghCQJA1t34gjFWzE+d00cX8mgCa4zPNjfyr8oDpc61ScmW9wMJYX1Shq2P65a12IM2qV9
uMxks/XBhO5R+M5Pb3tT/3n5I6CZiGkIznPiJt5GoIJFgqBSWnvBOhO3jqPdVQN7EkgsXxyqVFrw
5dnrIOaG+TL9SnGD5qGS4CPmyL9TyeDdDJzBHl9WtMby2jPRyZ3xqIZ2OXQ4Q0iM0W8mvwsRlAay
EhqTfCcGPReXI2Jedxq8yMgcLt5Ba4NMI6dbnNXOK0nofOVcwyQWAFhix1VvmC45z9xOoWsg2lll
kfZOhjVPIbUMFv4il+vWWm6SqmyPAdb6MBra5ksXM+O2cjRAKNPrGoCAQ6edBtgxlfbx0oy8BwY+
lJ6SNl5hTLen1TBzJQ+5PSOoWIxdbfagF7oLmjAe7eaEaKbammC5D8i+Y5OInth6aGQnPhllgNKG
DAedycjmw2L15zLqkjvLZi4IEr2gBxzJ2I7GcIDRt9FCE8gsZa33fMeHKVzsS4y5nHhik+BYq+B1
Mhz/OVmEgMbfEaktF4vRbDmvPe7eqzETzo1Uo1hLypVXZYnsWMK6CSkOmo09qylMVYviIwgmXF8S
4M5gGnoTOAnbuor+6t7XdMWumhQOuyD9jDvgyE0By8/xWKPlaVw9lUS0PcbxuJwNI/af2dfXtERp
VEYrdwQbKGOzDguRWQ5ynkE+S3iszGAL+2HQVUA/m2IYdgd4+gvhq43jSFD6wBcv9IwqdCselcCd
y3Q3UUtCsqmhCKToi0K4MlFC0J8bU25p9c4xCutFALkNtkE9UdpjZxsObKHlEuq+bUrw5f54Hixp
7gvK+5rTVLYTbZedxqvAmyCag0c8tXUdXcmWlKyk7gg3njxxTcx3u5+IC97KdsnWnurpgfpCQM3N
mrt0ru/60nGeLGTYJMi/p7X4CAr8ax6xn+mKiq/Fbo1bel1hLyBU/EaMkbeP48Q8N7UHPaFy5FWp
p+Im7fPHKiGR3AJ7iMPdth78znUfx7yODrBWlg1moYfIxmkhIzGdIUKY+7Hw8tPMTVqhhN30cTae
I2OJH8RSlrt+QGpE+GUNojBxbqbKBasgmmE79rg6WYa8jXCFj2jUjd0clQdVdP5uxGcNNXb4GehW
vjTwAacx5nDUI5hHD2GcYvMF4rA8mHZdbFocOjs/6ZkNRfj6ecKdeLM4S/IIAmmLbHvjAMI6gPe1
N6buP92+XI6ksju3chwA+nQ5UqGVwUlK8tuI45zc2To3jRYMvY1rwLttPcjl7QBYNuy8ftxmuMOT
1cBqudmYbXGUHWqRxtgEWXVSqTG+lYH3NUoj3o3GbB10BUVqQPl9P5pdWPfi2l6GvdHQ39VD7B67
Nrll9luzOyh3dZLd14Zn/kqaZeJooh22p3JmnK/0kQHYU054bNyYfsjiIbRT4GGxGpuDA/YjrjJk
3N1cfDkD4dm5070vS3wNB9RCR5jWdbyy7LgkR1vaXAeGBxSfFohMsYNv6x5DVtCW+MoqNlmUHv7R
Q8yHDJwGWRQaI6dDWpnEEsOQknbCI3T8vZLYpUoF+N2pBU37OG9jzty16cc5xrLU+1WXlfsg2pi8
2zixk241GfCvXJ0N2LQ0TCy6iuTKM9Jc7CBueG+dsoz4I+Jf8Hp2jaDvDaxHx/XBq0yKaVuu1Sbn
vb2EZYvNIi+ePhYUjDI6jDyR4UYPbeNAXxkD8kOwSBwCzyGYFFhP69kwMCoFbGCv/CX9iPyIW9HP
eKS61KqzR+yOGStH/MbBR5zimFhZHvo0swUqdxQp/UkY5wJIWxBk+X0Q+55zYJ2NBFCP7EdY0JIg
T7olVHHSaqbWZiYqhhTjL/chCdrJ5TwNwNrAhT5nk8ofxsHltOXcICw8W5hpTlHloQNJhf/WVMX4
oWvb+8r9nIwwNxjL1RRQN2OPrUK7ngvCcFABy1Zbwx5sbEVIGt9qmkFFtwh8w7iXRvfKoLjbZPaE
j3Ue/Css3szwQSFAGsDquhQnYdYQkpr2Fi/Toceqij4dPqmYbj3ud8zPt44RH/tsMB5ca9LE2sRV
fO9RkNzwxCVvZNK2dMTtaupj89rXsIe8+ZJAYjf7QuGu8yINaiALdqoM3lWszl47vyJXnFEARpQZ
BIS1hxnfV4wif+dWXX0KHAc6WseDXqYMG2NUwohsrPHM3V1xQ+ZMybKiKTe0AXSqg+HOMeYHVX4v
uDrCznV6jNjJoYLOtBr8iJ4JZwIqE8FWqgn66SGoq+EpvkRjz6nDkLrw2lOGgMEs8pveMaKNNfvW
Gu8dQ4q+jqJX+oXShFuL4cLPneWgiGt8T62sL7EE6fm44LmICUjOLzDilLUwbpLQKMeYIy8JJfMC
ncXBXpvWuDZpdWzOn7I+mUXlPbRgMCi0mJ+mJjgfkElvPbbknb6wH5itzjdp7XVEmM/Lq/bp2sqQ
VRaTDcHDciu68nWaLOc+Xqwo3vaDo98bM833I9XxjRsM4lW3CwQP/BeU1vnihXWmA/NmJuwGWobP
x4AezMh2ZR9Htw6joU96U7qQJYtOqYorBhV8fnySRuJbm8iziidauBQbfrcj+yXEj24e3cBgX9Cr
/KkcWuwRzbT1yul56MuWTzB+YoG8ayzpQ4mP9GZcuj40NXiWtdd5zLgz49aJWSlyrqRPGNgw18mG
zkTxoKEUNTsi69NT0/oXU6gms6MjirOAKJJPXNkM8sNFpkzgsUQmtqPwvku4m67dxNtA4wbkyB2F
WMNp+WWPttcgamymfUn/+YpVn9mqcNuDl9ntF8wVEx2UzQMypV2UrsoWN1fhWfYcttaQ7/Mop2tY
Fv/aT2T5ZM8CfAf+QkJYTBdyZDXho1KViO+TNj8NPvrvXjUp3pWWlYNdFvu5C4py3ZnjhUhWTst5
mdNqj/BsIl43kfYe5hZ+kuoSlWwDwHvNOBU/F6uzwgpxzYNoIsWceG7So4dZB++fr+6GnLWZsiMa
udq++Adt8nJkW7uHzlZuFcIPyE8TdcyV0lE8sEIDgwdqf9Y4U4qal30wbXc9DXzkIXbG57xfEvqP
RW6w6uJpkxbBHYF9EH7DNTgl3s7rqaAgwwz2DR0cgYIdW0W1btvlHuBVT3rsdw14Jex8gIH5peKd
Fjs9o9erTw6B5Miki+wuWxax51Vy7gLGQc9uYmMxDQxvjSexot/zBjKze5t8qBrOT5ZxblUE8qJz
gr7vK2rnqJ2OnLhzCFpTbkdO6Z1AhY1BrrtsxtrIeikYN1xFbIHWgJkTEDiOOI8wcOA11R6RY74f
AeavuTwwfzuY4THxJxO8gSIZpzUzJGdtwh9aNbkxvBKJ4z1YPJ/3SUNK3hg7A3OHpT57SLXArNig
jj0HXB6HLAMq5R5MsFRMU3KdrmXulQ+E1+e7sRfDSxtx1tWmw0IfYDOMIm1mfMUl7l4VFpXFZinG
0AVvLPkEtG2/eVD1bskWArLDXya0ESrCmHA8AuwDFdpmLPikiprUAUcfE/I/WEfUiu/OVLfyw5iM
t0rq71j5zg0wkDseKKb1TJPCshiyu8SwShDQWXfpHNyknE/BwuoaXs/Uj7uawzMJk65Xex7rlvLR
YWQ6lTI5EMEeP/mt2evLRUQiZh0UegbJ4/tIBpYAH60V7T2/7D7teMK7UJ0j3xluW6PUh8qc/TDP
DdWFw5Qhn0mGNLqPGRY98HSlL3nVWK+TTfaz8PsYNLwXb6M6Wm5FVRdhC8GTBaomlWIoLPMV1eXw
hBOUwZQsAbRmiyUPSWcTYyhF/B3Ei1w3kZlvArHohzZom+sKe9uW26LYCL/rr6rZbOhHTWWzfrF+
75LHcMaHezQyui87Loor+PLWwRgCyF3cIQ5Wd6m3vauWE4OW4bAkufGRx7F4xoQnryqapH1vJD1z
WD/ZzWmWbq1BbAp7Hr8M/CKHdLIja+XbkyjIJU8hY0xE3ddjQUntdm9AorJPJwAn2CXx8uD7NgFC
mn6nWWvWxygY1kyNV+gb+d+cKcmjBtc2hiw35ByaaugfrLnsT25et97JlJW6GrSF39UzpnHj0Wvt
2zRhg04qyp12EkknKUprH1hJsWnEgEbFapjqBZn/GCnHPiVNTSFi+QxtCnvifebVa2JQHLVciqek
K5GQGEiolr6+MWrjya+Mbwdp52PZGO25Ht1oa9Rzeqlqkf+7afpsGp261WPsPzpzrs4gnsCDZ/cT
o9at7Wbja16L/s6znPnViJIBeHs0Hp06lSEemvGVY+VV5IVzo41LfTCV+cnJXftYFb25K+KkvIvB
0IWRp/IvBfpt2062GXalSmlVTE4HBFZ7esM0DtvGHpIQ+Yd3wEXb7lQnl7cSAxJ4Vr3Yn6VjUI/1
jWmsCurkY5Z68brCLYazpyrXvcA4GjfQTTH6II2o4AMrJ24OZSOY+wgg6BfGQjNFNehjy3r1gqLm
rOVvhaMpLa17hq3pUS34TZnZZvyu/rzF8J0f4rFw7hq/7Tcl1jTgZZU8jhYjjaz6wfKxFTN3RgER
bUcZHXQr7bgtPKYEbzq4q30rmBoLGb/JJPlCpfQtmbZivPK3aWRtZx+JGiCVbNe09Xcu8hrkzYXx
1xWr8gKay7W7TkqF+T++nvz6eR45duaFRLCCxZBhaZO9MdisAfSW5a5V6luHQjUPurf2KIZC31TJ
XmdVEcKLQ4HAVggD88wiS46Me8oea6pt7BezvSJhEv6hvnZbpt/aEmyE+C33vZyzrTvE6JGbhdRh
tvvZu0+27NYgSvhG+mn+AMFYPHoVHWO9YBESZW3t/udSm9SNrO43gPXiDyNJ3BtaYHO7yDjfVX3a
P/2uZ/zvJlbtvuuLjaL/X39Bv//rX3/Y/9uP4+/64r74yw821cBO53787vT5ux+L4W9Ww8t/+V/9
yT/8HI+6+f6X//HxVabVOqVHTz+HP7s6LMHr/CdR539wghw/uoo/Nf+L2fKPX/WHE0T+5nk2I7xA
BDbq80sW0x9WS/c3MyBnDqUfHHbsk+hD/2a1lL+5NJWmCQnLQtvt8FN/s1pav3m+TZYiP+Pyf8Q/
ZbX8Rw0ssegSrSHwKSAFhF9dfv5PEmLRe0bjc6Jv0Cjv4fDciij/sSRFCEHpRjTcqzr/aV2WtX/6
lP4PTg3wzP+gShXEYxC8zhyI9SJfyz94C+LEcxaxFONG8NJ+R65vYsNyXZpmT1nxwTYXvMmp7+Iq
9FNjOc99Mxe8WsnCHqlvfgij4bLN9YgUqcrBAdVS10cm8tgE21Rf2E8xmLoV17O8I6MaN/LIu7h1
vAhZVIf0ZBHKvzLiQWxjID7LqtLcqQVF1moW3e1EQskaD+xnBoZozXxrm+E4CekIkNa01VmXZbka
YnMjDBT3QwK70J277OzMFnDDeVbOCeGTdVdgaDj5vXGZgc8Zt4bMHuNA8udFeu53syPKe+3Vm7zJ
cLZl/U3e8FHMwWItYTSbGkxCnvKLJ81Jzo5MfTrCcJ8Gv0dd349WfJv6QXftVaXHwlJHK1uknNSN
zXQVKWm2glIfP6eIEM7CUzOUSGIhYhaKFrvee1237jqqh+QVUp8Th3nnGhdAsFOHDpHLt5PRDz/R
bF/SoOugI6cvG4KvoZkggemJzPa4C8wnYsTA7sY2z9g6apzk3NctGK/K1WwvCxvl0wps8bQD20Qi
j2NSu7JYIlWAvtsxPHGa09K9NcmfSjZ2rr07PK5+KNzevE77GfVQM2PjjOHMhgSnA/NdWi5hVJYV
SDN0brvaHedrlclhy+yiCi+13JY8p+VYzap5aivpj9xwvQGb3PHqZxscxdoeDMnGJJ8aWEBSBfVd
bDtkFCRuTgNH2tQQrVXVliGptsFAhtfogvI1yWZHvrI8w35ENwI7CzU0LYs1zAxtpb7lv5taJlmV
9e0ZGIA3MasPpNdDcJeIidmdCQDYC0fWu6GHtPIw9go9lqzqDE+UMmtw/hiz0bL6LKvquPGePc0A
Z7NkWpDjoioW6vNAyrDoegbvNVfBIQLizXC89pqbcUyG97ayeZDy1nxlMJx8R4PffPLJpOceAPot
UYogaVtdsC9P3TF55QYnGSAd03hrU0TDfjEtdYfcgj9lsRMLfVAeEAAPGvgd1Ud/JZYMWFoE1iki
mzRD1QYUWm/QLtpbykX9YNeLc67gcLXrybIHUpqAPpSrC+DjE8WmAKQUT829iqzgvZdAPruUT2/j
yq5G0QEhlr6LQlINaL/8cbTmi2UT0GY99E9THMCxsBnyfrRp1larBhvV2rI64YWCVahJ09pa30af
Wg/J0JTP7O+iezE7/ms1QhNCT1lExtqeHGQ8URbQNFsqbzZjRZtSi9bd9BokHnFrmE+oJETer3tn
BDhHzBVcV9EVaI8JfCPEPhFi2SSgkHdWopjaUqha2NsYfmuYXmoHrrU7M8trL+5Tszgu0Iusy26H
UyRnn0QiZjEZt7rRjFWsXObPmTYCaPAmI/hQVH79aZpENq3xGZZ7WDgUpMjZfM1JaPuHESS4AjN3
0ZQ0mczujLJI7uzB90Zo/x6a66WypvsUyccz31JW/I0omaHIBpi+K7oH2JnJ2m3cCUGoV95fgvE2
S9OT/NSIuX11epwGHGamfpvgK75zmPMdZfVMKAFGNTRd9BsGal0VZwCR5mZgvsy2fkHyPQ2ANGb+
pgZbzktWA6tAmQWAecBYV6GKYIqtSSpUp2kQ03NhdhmjRHbZWF5VwCzNBPX9lg69gos6eh4TaGJW
addpF28ygLV3hiebJ6lnhpF9pHy5iRi7v05MbL/aeGGrUCaXNinF5cdAx8YuhQSbwCfmbp2OD1bE
6m7lO05+ohcyk7vaRN+1oaZ1rmol4mTXFw4JAdoYYfVptv3NTVeXKTOVNjM+pqibo5CWo+s3lV1F
275iDsZQ0Geb47QQt8G+xrhkYLG7IQ9Ox5yA4QAikdoocySQ6AjY4moPC4NHJqi0PIahc4eiCMVS
yS+Ry1WQqYb8SBnd8CR17z6Kshsj7/xnGtbySjGPPi4Ufwb3nCj2ItHcoHk16pdSWhx6sUynE44g
CbMUKOvTUuVgZTVwxHaFwcv/qishHuac2W0Kf4yJKyU32q/R7370qJL7TjgN8eZouDfKDKaTBI2L
JoYFgYNc8qUCfYNITtZpmPlcO7Eo4nwFbZmsgopxoE+SK6pLRIP8zT+Q+Z3GKYkgAJgXfiSF1K8Y
VvDJjch12Yx0B/Qg0JCRYDaeb+4j4JegHEcZfZixZsg0ioEkgVrowlpJoeAtOzN4zFKCOKcunyWC
TouvbY4S/eosjnjk+G3uwJQROWPO+q3mfr4Wdjwjdirs4q0cZ9iZVo+6cRWbAoAiBHjgdvZotez6
9YUILQyze59Gb7hDj6hO0RzZd6bfI8PTkxFKchOfPF6kTzqHiLUEW3T4YcXOZmzXALhiQ7Hq0Lt9
LYwWm9Bre98jDouO/vJNs+9Tt4VjXYN6BtqQF9cts4k3b0ySnyWPyiS0kpaZjsWClQ8uS4gnZhA2
2+5hmV3UeXUMdFIjKfngdknvaa6SmWML+dWMkrpbinU9NAiOV22f+7dmxJUf0rO7M41ehbLBcDqX
weborWen6HkJaHvm3gB7aQfRqVb1C8oQ5kcdTo8ks2qSQ3udbCkM2oWprOGro05cQc/uJFPYakj2
YRkBGyPmEh0mLD8WiiRab8bGuIQp2vKztQfnWCVCesCvrZh0hDro9+g9xPXoWm+tiNqnfHbcXzK3
gwLbDY/ZJrB7dKaWTZHA0tMffkgIRsbSjj7MZDf15Nl0RAzTUjmwbSRagn6dzGPG2+mMkPvYgyGN
lKocUXzKLKf7RABVH0flui/T0PJElUhwKITAHyOy49rrCnIlVswDuS654K2fLmejyTldxK9pR/JR
aIzufCtS9I1rU5dqk6QYXlfoDywcGnOpr6DQGb+itBvhJaArh9aBaSIk/GN4d1oUmatiTI33mIRL
ETq9zhDiOZwCgV3Cy7KQJT1UskEDGKuG2sS1FpIEc5ysoUam2h+AFjqgSuOIMX+eZTq+gfXunM2q
IFm0mMQEo2cp2g6RORqtQdj+Fz4ftotEkCENKdZdS4C4MxALgbY2eZlm+6LhW6jYuiixVjkas5Uy
dYdmZ4Y9iwsO8uFgGZ/aips3cgQgwVaMAg0IfyS8reJBlls3RaKJzQjXwtLwhzWxfUsUC6s54SXr
Ev0sPiK9LtO52seBRzCazqR7nzWGASKrklu774qNH0QuV66K7iBeM83zmZVuJVjUYLGtF55E52dK
+2xDnK3DG1b7wZ0/dh3ZH/OEcyIr/PNi6bTemEOQPBjagro+Tnx+vBTPM0ivclWArK52ss/0S+TK
/rHvhouKf/FmvR5F3FvkKTTjD3O98dNNmHBD1OuTEipYZOJtpbv5cSQa3nChu0YGq2uuWMC8DIcd
vUI+iDkhtnkK2eJOVbK2Rj39pCSYr5ulLR+mhUNl1VRRM64ZCrL2i6qYvWE0DLO9H11nlgAmZn1F
egsj67YoFX0ANy2UecwOnsvUimusaotTSTVfEouaKfPgdUW3iS2RPjR5a5xrvbAm9pEboNhcJAs+
/HOTDUa1DjKszF47TuaKmAdkkkWkuO91iojMT0TwWINoczCSwdRecVEWLWYvVbjr2moLJhcsbdFK
Alnt14ar+Wh9t0ZjVpZbfLk5vvG8MY84hxK1GfoLqSuGIviiRxn0yGTH5Dv3Y1bKrR9RFVVGSYlo
CZNRfTzZ9bM5OsXj1Jvyy0aluIc4NjcHLF/Va0VnXKNl7jJCDevY3NLGerck32hr5RjEChDeYlrH
IFaUh0EVaMTGpJo7azVFLoeDy2qDa7hu75G8gLUZSh5D1qLoaATJt8BvLhwc+3ckTvE7Hkd3rvno
V53DUrf4hkQKRidn48Jw8ne8jiqNLN57F/SO6CbvBNGDEjIBNiKv0lKaV+A1eeAi3vzDkHndHZkn
DFzd3EVB7nq0eWpusl0KlekwyRh5q1FnX8x+IYGC5rGOdMnePZJQ8JhQyqe2PpS2vZzmJEeSCst5
oPna1M7EYMctAH6ym7Kt2F5NtrjteQFuU2gC6F2GBlUwKvrap/zoatUTlOEPOe7yhcZiQdiJQYok
VDWZeHhg+ZNVUt0jJirvSt3hXbOoGtFa6y7ij9FucV0T9bwxWNqQdzFTXMyZgMlPoiqT6j2mDOKA
qS/jPp/uKtGZz2ZV2jDbwI8i6ulfKhRx4ZDa4qzgSm1ga+qtV823fmLME7jMUaBBJhOV/TXglQnV
KGh+IzDXgBpTuAI5XMEulcvG7IrqhMotuFoU6qewjgIUlBze37L3dy0KuR9U4PldrJgIDqoK3mpD
ySuf7dmr3Yr4S3KBhj4fEHb1mv/EHdkWNmmEXIvfMTfuFuH4PlPxhr2YSvrmsewGc2+3EVK9KdCs
7gE2H4uIHB4VGM3eF4l6YnSZv0ejuQCzNrXxo0a/6t+dnDaIAiBV9raKYCHtCEuZYBK49rweLqaM
QwqK7Yv4CkhEmEyghCYBF1g2WybVQKPzaVsoqsk8k8E9wBBJDK1sCQzyJliHidmwZRlZ9JOmbFEp
rPPLnYlsNPVQBmE4QeTkTPmaGqm/an4/dgb+am+DgD18cVZG5nqeDR4KZdqLt/dK2gRs/g46bbuG
O0XG5oj0wKks8T4g1/tuvNSO1q5NZu1a9jI4BCqYgz02MmhSyIMpoienEN+SmK51yiTn2E/9dAIj
saA6MBMK09HKEHGVLi5UN25TRMxuvR9Gxzm7gwkmMpYmR2IkUUoA6ouxVDY9+6e09LW3SxlkN2FW
VMpeCWWb12PXsJEfFNXTIBNAeLUxD5+Ms+Ww+78y+bxJPzss6z/DX2edv88vP2tGtinTi3/9f2k+
alq27bv/KYlu/V0k6V+Gqn//RX9MSH1yMQMP3o0UpnP5598npOJCnCNT2icW84/Z6R8TUltCnGNY
EwiLZ9sUF/f+31g5DE+ZkAT4twm65He0/xkY3SV68y/2eaixPrQ21xKO67nkCPx1RJpWHqV0YF8M
1Jf8EUTFw+Oo4uk1Ufhi8c0/cmMY58oZetIQi6Q5alxX8NwtUFvelNFj5J366CB5HhijjBviMD3O
JeYOljtgjEU6dD8Lcz7z29NWZ1MDgLQsvjMhfk1sTNfTEhibNmMiK2q3vsP3GT2STIPIqbX6F4fE
w48asebasDVqGWyEd9Qh57wu1LGwKLmZMU7PyGzNjZnxPsdJMK6DfKhpOoLX2UBKZU00qlXezkwz
jWlnVpzjs20jeOgb3krdPqDoTjZJP0NDaBCxNjMjl3Ec2ge3RKCPGI6Xk6EgMYjAUlL0AruBdvHF
pjvfk0Zb/ARRU12zEkp+ScF8Tep++DVW1FzZaJe7LIqYmjLsZYOpuO+YF80GPlsRWe/w7zXDQA/7
Gila1xOaUx0C56lp+9thfncIGGJwG1Beo8NV5lttIdM2IxKCEeNbgOQ65d0gYWePjg39oo4s+mPS
wlsJHbk0irEUQ7t/m3D/dy9D/v87EgQkiz8tA/7jyuS7+yj+YV/y+y/599MgQJYOTJLgOcGb//fT
4AKZxDVsCgv5E/AZ3tS/7Uvs33yTgQYMDTDxxOf+O5pS/oYB3mRfciFdBcCoxD9zGtji8rr/maZB
MojgjDJtljOM/wkB+cvGBNafMeW5lW+caGB3UdOmjbUo0hC++HhdZYy00VXaR4F7bM9bMxzqsssx
dZRBc8OGfHhxJ5rLVUV626toqBW5+6r6UPxv9s5kOXIj3dKv0tbrhszhcDiAxd0EYg7Oc+YGliQz
Mc8znr4/UKq6Ul3rqq597WSSSGYGAfd/OOc7ayjaxnNTwA01M+59iOzhVkSddk+D1mN81dh1+aEW
u7+0BSP/cy80E8e+jPsBRDzmMqIeIp3uOoojrD9xlSA14+hkf5mFn0Vl2zkCE1dbW9dKGlTW2QqH
nodpKi4jA/dnOO8JBATmB1f2IoLL0mLdPUNj16/1MkoQtdJ9aiNjvC2XDkHMsE79ITKE5wEU1yok
iYj0dLPeO0uTrC7gBwVptQYWrQ16HDWcJU2l2CHNa4yzniP5KArmKvsUJGCGaQtW8SYNTbY2I/nK
WK/TaApuI6ftF5xQC7jwMlekgLf1mI23EIGd9goHdNfSnaom84nTVc6GIcWEz5POAncrytVfNRlv
V7I34nYn4rm5KudE2NAVWkv5mihn5gljMtONydzCKSLjaE8DlnV+EXerKMQzGELpsUo/UqNcqtNs
9hnkvzblB6hQu2+CNvQ2NQLSKgpHPTFdGEjYDOYbpnvenQRnihTfS5pp17aifJaWRTIKMIIpOOiQ
GCxMM0jp1NBML6gwnHsG9/qDSseKd71Ga0lE8MRH4+KuYkKX6GzX2618rfu4f6VXUMN+zBTWa5dM
mR6Np1NfCGcoHlGzoNZO3BrQYEXTPp7U1HGYBnnILOerlrK/6qp+LbGStdiy17Kr/arAhrUYo9ik
LsPEyTopRZt/k6yFm7eWcGFv6p/qq64LFpumibEt9V4bLN4JM1oyb+uvirBfi0O1lonIVqgYc6oA
YCCLh9hXf1WV41eFOX9Vm/NX5dl/VaH9WpDWX7Ups5323LrLlDKuXqtXOBNUsvgd+1/6q76lSC0I
u/+qe9EajcNGruVw8FUZC6sI7vO1XJZflTNTeN7B8auiZu1JdY2CprmqM51+9l/VN3Nt9JOB3Tdb
lgqMSTeIg1ySqawuf/S8GL84A4k02SBzkUw/6BiTl2rxboDGTLuib0bibAkRri5CMkkkZAwRsDMm
R9GK5KWQIw7aYl52TqyWq9BrM6Zo9AL1JIPaBybikMmD98JcMaHlSzOSgztgTDbRByJxsboqgXWf
F49hlOy6rJ0H7lDGmKe8WSXc5Ppdk9EcN1S+BbGHIX4DxZ1oxNW7hSz8Sg4m6j2WjgRpGjJI5xdb
ubXB/G4eMGdb86TT/dCjjGUSNCSsJPIkBWVp1NHD2Bf6Pc0Q/Wzp1XGrjnNWLLdxmpmzb/LK9HvP
rrTY0shOTIIIX7Xck/YIDETySKN5bRhG8tLNHdrG2upsmpaJ8UFCOqjsnSNgbY55SJcRC7owJd3H
Ner6RzlVF1KR8XGSOzoxxsSSiwqpsntFxAc0jnjzf2xooaKv+npHgHl118qhO5hVlf6OjvrP5f4v
9BDKBDb2zy736x8RZMwW3P5fbvg/vu73G94Vv3nsbgQPPyhk4fxJESGBT1OyC3BLCBK4m/5+w0v5
G1pMwQQAWJHH2h8ZxR/1vmn/RkVgcy9bEsiw6f5bbExT0B/89YrXylWKCS3SSRadcDz/esVLQHtT
J42JGPNKDkecgSSGDkgXN0sEcjHtEJl1ueNZ28kbltXxuY6ZzK+Jk+EYMSLtxGULg0D0LacZ8G54
kdb/o2ghhtTaXEeM1smZcHIDWVpnX/CPmYMRG5BV93YTx68Gut3wEbTBWN7XEkHXFv1cx9ZIFZxs
TaEDuVXZ2DT4RyrPRcSmUc3rgakrKUSS+d3vI+SZ1S02K7sI74ouNH+RYqB2yaQlSzvikU/1OiGU
aWTImz5FT741o1HZLM3MOr0dm2q8wvfB2NFeJ5Bm0YznrkPMsm1swq5ugq+hJc5xkT4wq3/DGTib
B7ySTDxrR7KTGQM9oxaMOInA96jkivLebH0Kf8aokm1Ys2UGpRIg2AkTVNfI9b75msLOck3QHock
Tm5bS7BIZ7v8rOvWusJOOof7pXWH7AjMZkzPzVT1GAlCUgaw3a02l5lAAXSK61xZEuDKqEConrEz
A+huHUWT+ikxgwOYMxs3up/WcXbLXNtuOibc7ZSW/Tb1cpx63th2m7LXLh6pLH7lu6EYGcLmLrAN
tzzZWcWUffmauDO7VA9wX5bwmiQBZvI665W3QW7ArJ7TnnTxsdQM8gMoYMu16hwKodBheeML8C7G
sUGy8or0buwPfRUG0JuaCRqw/bVhcEdp3xXTZOIpc4O2uHJFh1xg8MB6bcqhMo+oDNhdtEhFvJOg
eqouLCFYOlD09cMOF31xlLg9uy3J6fg6w0Xyz93XwoTE3DjYz2k6ZCeBvWwmm8kDjhE5lZZMY6qJ
0i8ysmOyLmbgfNTPeVSyHAub5rNsA3M689Sh2RFfy56hoYTCOFN6aKRFfwqzlkSQmrgmgjoMtjDs
iQN9JjDceq88s5+OaI3dfBdNYcuelKzX2SfnrjxbY0eHFpMWeoV8i4Vk7Nw5bDGf25boU78L8OpS
iURndxwRzrRmXr26RWI+MF5uv4Ne0cTTpGQFyQ4nCj9aPgb0gxFImbiTT3EDX3VjCjSifg+p6TEu
rOUzJ+f7erBFMxLLV0bmbYNGk61imUrI7VB1BhR7YX7tJR4C8EmVbMVFMuTfOmOpbxGMinrbkIxV
bQPhkdtq2JZ6queo4g6WcCOwPLpWR5RRYV9BNozsbRViQ8IdboTmpSfiHeJ5mCtIn2bPyjsqZ/x8
SR5/77wSwKozK552E8Q5yJVZAufAtIN/QAQvxpIFh8XBM5pPZfGZVYTHZk0U78NATa/ewGtXt4nr
HMy6yb/NWch7g8a5u0U9QlicystLIbLhqQV+FCGDyTgLgEGQxaSsOzQFTAaUZyXHfihzaGlmhg0a
1XB+rEWtns08bS/tPK70Chl5OxACWXBPNAbedMdil3PwCLLbs4+L3idUsVBKUf/TgQuz5/HI6qeY
6vDERJBmXmWkzm5QzVhwFRydfYJ8ac5Ws4CBYhu1vKB+Kj5qjFLefsisKTxgs3ZZObJVYMg9DmAe
wvEmqsmuDZRkEjKEZTY+ViPAID9i6I62k3Fhi1YirxncYyU4D7rK+sM0WyA92wX+7TYFUYuQIuBZ
9W0BpGDAFnfLlLFEaszyjpBop3h2k9ag4pl4UTYgEwh6M0rb3jpcg+5HbhCQknHoH+xm5PGMXpfY
EO9dn5k7V5YJ+8u02Xt9BKisZa/JEQ41pESNsXYY5GJrBUMUJxRZt3RFYXemTvOKp3Lq6WFMQHq7
QdXBQz4baFrmdBWFyNEZQFua8bjL8BDciz5wFBo4yTh0hcwbF7XI5IcmQWY4hrHo02tlBYvvhhw5
PlbSfFfJWOjN0jf9HXy78InVQ5Fth3AyyUSzYgzkpl3zJHo2vltIxd747NHELZxXZhxsWj75GDmJ
0vfZVBsSpBXmYD8mEa3agm3kDyLtqHqIa4ntgLOB7T+Dbg2eiRYWfTgxoXAHUVyQKqxScvGceLqk
XSyOPMyLgfwFpeA0lVWMD8ljhSyxlQf7rra9Y4Hn+lNPXv1KLV7eG0OH/HYiQv4jhegFLwX2Iuvn
pHfLLT+iy31opsvJLFSaHltoGfSz8VzPPsAYqXCFrB9CIXuc/Wme3BEVPVMgNJb1A7PqKj4oiupp
Zj14XYpqVISnT1AVVcouGpMHS9rBCfObiYyhB8uNhpdxZlGRzhTme2Ggb0xy4aI5cpGDXafeMj8N
i3Cb7Ziw06MIZk97hNLj/nRGNR8h/Zo3AYaUlacBQhfZbzrWm2IMl5IeH0SYGU9RcIv3cJqPCueP
dzejlwBCMTrRNSt/75u2Z/sekO2lthJSqpwufyBHiI1KsnTRNmCpc7A45LZEUhjHJGbdx778Pamy
wY8rzkwp2tT6bjdoL9hxLu5rR9rUL5QhARK6qfyBtMeMfASL6UlM2Lo4Y9Z9R5g8zijb/Wzsk3AL
YzHxB7zBD0ZdOGezdoQ8DBbdVh7qaA0eZXNnhqtIO2A42i9ovzaKdtR3ahudghMsZ6NegmYjQjZI
ivjT9HtkduGVHtIRzzJotImmGJ0g2JdNVI1oOHGFMXEMiYzeoFHtDl0UjheDbCHlCyz6OyjOswPq
MXZuBjiEHyw8w0816uhb1M5PhsnFCg0yBGPmDJhZ46lSSI20WCg9nIqNIGfRqkNf5HDCjq3fayOq
xIHIcWmchyQ5mYp1BbMQ915JOnqbVKQnsgGq7wDqWoxCST380q5TjNQGqcxvdRehZoqS0WBNL5cU
vaGLF1CYY2myHEun91CG3ueoinh4KVFBxQddmuVnbVuiuSctCnq0TBifnVVOx3YVe2RZbMLQ6+eN
GoLq0woxLlLeyGg4BegfNLdzCsk1M8vcOxeFNTzWwmUvFKcGa2uvJRQLBmC+PFhN/TBgyynPdkNC
0sbyxvme9g3xD8bka1QT8TG251b40dTgAoi4srqsy9lCqmgqfZZnvCYU4t1dvDTRKWfIcS4SIz4G
3mjdCqUiNHLdWO7QvPQIRaps54ks5C6nBvnE+Dg924UT7ZgyyK1TsvHk4HVfDKMIZpblwu1OLhP3
4gfmZK86cNB6T+Br1Gc/1FCuQvCHt73X1i/9hHAlQdJjnq10zgh8xZPnZ3VovhL9ar5gkzFu2s6G
lZANIStwiAT5wc61ynZCTuR6zRVAXCut1AcXZLblynJTH5Gp9doF7Q/Z1CSVTUNGGBJRHNUvlvP1
qxnb0FxML3IMMIZMDXwjnouXOuzDp7FMVwaIBpUuqBcfxzqbAHhWeGfeiLutfa9esvGjU7CJlEH8
rRnEO8zl8w/sR9rv5+gxSSWWHWlx8ncTyQPnGg24PgrckctViqZo3udZ0Sc3cYnDZeuNBogbQyG2
PEpkgMuef8odzjxnIAvFLNxwH9d9tW+d2pouPZu0pxYEkO3HMpSPcZKa8VYqrvJoTquHZibdnGd/
wSOHZgOcKNf8tlj6/o5AVOV7rcV4JGutvTSoCuJM/VRasxyu1kV71LgJXIgEtdFrXleYw1AFBtEG
duY6s7eEeV1ZdX+nxgn1RFJtJgI4d7WOSCXPPaglQrf+0AIt6EfQgn2LnMqPMgerjBXZNrm1Xvcw
wls/hKw63io+W/yzK+HC0kVaApfxDJJ9c4w6O0EqAOSLwTC+MZHtjTM2asTHvZU7z6M1MOvAkW6S
2dUMKDYz1wE5w0V7E6q1OSudFmNJ68HUiucpyPYl00B+hfbyzYqj8bvkT6G3yRgJgGp83tVWWVV7
UFYzfWfRg3YrNlN1G0coVilwOWGTZaBY75voHFjl9DMP6nmvQbCcoPIu8RE1s7qmaXCDc51U8j0p
K2tLgA2YXYoM1q0R6ydUKxi3v09y1b1DqVGS32Kwy7OaNarHb6xDHW2lyY6X2cTtvKTDO6+vvmrT
DJ1nZApud+a64TEgUb7aDlG2HwX4kA16nfxWCoqhXVCL2Dy3XhSQxFK0And6bCR0VbQ32qfJXQ6e
SuV3u+MC85eup39l+a1WwSXDOBolT8/PTdDihCFE00v24HSjz6FubOhqvfktnwpGcZHdHNOKY36R
aBY2NjqHQ8OKa0e+YbrNbZhjG1BudeGT9AM6Lpe6/a4MMFuhM9gHbTbRCyIC4nDCuVoTJBMgBkvT
le25LiWr8JbgIvQRa5oF+lYm1P0YongYZEhdY0foFdzK9Ugi7GLvM8YZ9mgB/Is8DyORnWg0WgUa
3bxanD3rLXHA7+qeMQmNiFHq4lTBgrtzhlpsq0brZsfdnJH5HPfwKoMRUUvTQ0aKi7j9gOSju70n
va45Ol2BrdaMus+qW4Zb/AclKjYpmKvZJU68jZxm8UN15OVgUTR/ITdZHrBQgGmApXyF9lujusLQ
mEfBeF0O4CIcIgo2GT7EGeozod1Kf7Q9BU+qQ4KaZIF2P6JLkrU4tElGxTto63VZIjiPVBEyZyjb
6/gzG+L81BIPABnB5fNOqJBxRtyo3KjOuU1UUTaU1Z3LNbyPuyb8Tk0BHYzDTz+q9IeQYNFxM9gU
+gUISECuO/Ly7FNaiOoRbpI4NC66Kw7ObVm21sGMC+ezR5h9DESjTlaVHpfCRfan+zTZViQg7xPC
Fx8buIwAOl3x7jWquKATGH+gE0C3EKTIlrxuFtMxw3YX7jgkx4+FATwYhdSs0Rjb7sqmpOiqJX93
fyBS+IedanfeAZ+yIdVbzRFOgblLEYocktVvXaG35DGp0rvRteYbjdanAYmSzVcjFhEPEUa3/JyT
lkFySgXp2yp3n2Zb66tZVomvIabSE2cIQ6pUbCWV/M/MmJpDw9x1vUyw6WMCgUpk99et5hDtdFIm
fsVaIzjkpUcihzkf6szF8dVFE7SHiuFHCpnkmXK3ZkABDsOfvnoOdHrbmrztXy5ICFRk5fKA2mz5
BitOPxQlVpuNiGBx1lLhoC4EgMHY5rhkcnOwy+w0yrA6RJmpb/tUmfyFJhe3rl0WFDtGrvZWjxgl
dDr7asjoT3tH1W8jUBQSTxBYCtuxHzJPdcc6b6b7TCDUmgjdJmK3SN/qzBJvgcirLQCR5gbpirlj
fi4Be6zjs3YkIhEcJRWNfQdTWe9sJ47PlYBpbs390ZqcG8Rao69qR11mW5oUUt6CvMgiPRmfDD3y
wIoNCsFu4DKGUiso73SYX3FQJTteGfe1MOp1UdDUtU8wKeFlZviEJ8IbwKgP05PWILdHspx4Prze
vnVJQUFUnOj5eswIN+bEBWRrQY+fu7A+Ayyp5GUyk6rbMU1Dyhm134zEFU+2rkEQTvXSPi+DR7UX
ptZrPSXi4OSp4Le6EHap+f03RdjtnBaDz7meRsqQMYIOZtuY/QHlO+9Tkf1AvBz7U2kyL+iW/Ocw
O8GB86F8YKU3Ug4Fxk1m1VgvgvG1S7hYe/biGIQwux7syR4Q1KBMKDPnpoKaDmGedgBoChHZHM6j
HV9wwRQnRzTuT9FZd0ZA2d2yyaEgC+Y7rQjOmBjo+2SNGbBjQH0huj1EU9Kd9LQwm5rLRb9omdvf
wIX5APy4ScI+vjh1R2Qu/QbaMgpbZNf2/L7EmfWMh0L8GpveoB/w7Lt+iQ+JtpfupjJQRV1HA7tJ
vhcxoEv2UYMxaHeG1U5HSu+Z3N8kv0tbWx7RWde7RuR4DUW6gpRmbG9uB7WSiIuISmqxQ0k5TDoJ
2lryY1CMj/29sHK0nTZr0ij7j2bg99isf7FWAMsjpWOx6f9/B1pe/wwjdAPzX/YK//2Fv68WPHQA
NlufdYsgLRb0fxcPuB5SIo5N5ELIhn7/L3+TEunfBCg2D5kRc9BVPfD31YK02ToInJhYJIm3dDzn
3xIPWP+QKYF0QSgSZfGCuopvpv4h3qTHw+3a2J+ODbdPiHIw1dPGtZiM0wLE0eeUYrPv9ITO1bZ0
D39mhtWuR3ryfegF1jMc//xES4napyIleNrkscGY2R67qT7kRmQ9g/qFbzaO4jY3DLu7g2SkLd+B
y47PSamEBW1ZchuI2YUCIDCkn/AeFb5th1G4c4MufGptJxCwp9iAY70ynhjP1he3d/q3SoGOKxAc
7ky4MQC1EN3jR9gOlriBSTYw+apYdKRIoj8Y5lUjDRU4FPg0YXgFxhkfXYOG/cpGPIk/RkXonfrM
5bSCFYB4O7+tZSyPXLSkStjLak6f6URU7fngZSeSS7JZ34+R5T2h83QPI+rP68rNPD9BfU/zSXKC
1UB2QoOAVT/SvhwgorwMpTtC62KDiLgCrriJOnO9UuM535XStcSVlLjgzyPLlft6ILrYD4tShVc1
CoDxEOBTp78bV2+LV9RTuG1hrWOjNCC3coAl5GeG5ryq+dF9mvcLYND5tgldXdyz5YILi787oEIl
uTI4RZVrLng9uKnPwTCyRipZ3Q67nnDQZW9RRr8NpBXb9y7yUrk3wT65myySSC4BuQDVsJZ2YLGt
2+HgdCRBiRJghp9XuXcomt58sQO4SdtQhCF6zfYXbcelN0aYPxREV2Uzozu2hHE0EPS/ObqBsyyC
O2LIMIbVI0OaboKrbMHgJIcrvjfjVOy1YM5bZkEybWpbjAdole2nlQ/OEfJKFB/iYYlNcMTMvakt
3CfbAeCC2gqnDjL/zn3MTIOSB6uMr6bYXr3Y2SNWnnrbQ3ggg7uIDmlolWdkH/nWaD3Kr9g9c2N6
uxkr7FPAqHkPSM8+a53QGyaEVhamuGVg5qdl265DJTQ4pm5vGaEHe0wSGDE6C5M9LlMsLWUZOaAG
cv79gZlZdmWjZtnyvZrtnGf5VQPCEZdHouInntb+AqDETHy4ayC+Zy9OTnOIVXRTBv0WB4mGiR6y
1YBXdOu5wfCNNHADaV3JDp5p2DTTv4wTnuDFGMdt00Qw4HLnZYpjSM4zxAh0gbvaW32kyRB/2pL6
oHGd6hF+Untwoj7hc0/mg07CmoyXTp0yY+mvAfv+LPseWyJTf2BQU9Ad0zVrnEgcI32rjFE/juVs
ppiGUud7NXcmmhdGFKcxI5NhYoSyjWVl7TAt9zt7QB+BG6A+LJ4z+s0ESSontmSfUWv4qgmzI9h9
mukOwApotmtti54irGUg34bZHbPL+txWSXFmteHdhlYd/FDjEHS/h/78Z9v+/3ct/lMAwfWPAlhy
8z/1tevd88elqH5z4OQIy1XUtetu+2+KOq5LtuZ0dLQdkjvpT4o6bj5KXISvJl4IC/MnS/K/6Wut
31yLeRPf0bIxQ1r/nqLuizHwJ0UdlyKltgmFwLMR6tms7/+iqMMPV1SGSD3SSeL8SJ4UHUXMqLLD
eVJBtgl9O5yeUjcpDhiOMYNGy/Sct+DZmFG/NqFXXxu1u5CnkU8XB7XVA47qe5NVwyZlBL0xR8Ud
MpW4ROB9AT5ughcl3Rx4KtGrTeD5qnf7S5a2DwaNHsOVKXqHYw4IeEi4RYbsDuPqegYnOW1aq+eO
EXSv4G/EtBCVrYcnbwYqwtsYbJZxxiaaqCna2vUsfJakMCFFgLcDadfRKEBCHL2WUVDW59EbqP6f
6WIUzjbsLHxaYHK+xzJ5H4F2H9m53SQFK+00ytLL6OYdRmQF31LNv4TBQan6or6Z7JE0FiPIH+AI
1ddeah9nANpAijgHmtie/KUBcAWZTvCN4rcBg8Ym6ao62xgFfua2HZnuAPcTJhKmxPEgMAkwbo3M
Tb/lEUk3IwPbBzEmnyNGVbgQQeBb0Zy1vinGllBo8R23IbTENiiGwyxXpKqnwkdg4X5njcYjOq7s
nmvVOGQj4L4t2GEBUc9hvAlJOyIFqTDB1ZnN+j2RRjHPJ36D2NssEsUx7ijRA0z7bHZUDr+nwErb
G5mWx6yKQuOEyTG7gIfokn2wSAJ7FXEk6Beh1A97RETeZSjb/hULcNCc2lq3EWvIeDjXnV3LTQTv
SdM2zexlbUeA10qoTrg3ciU+NHPOF6aCxbDBtMRsSzk1S6GBqAZuJgN5HyKmlHVFrfAxIkC1sWih
bWNbwgLhrWt1c80SVFXE4KxxaNxN6jYKC2JVuhGFc9OxWGG7zazNK4ZbW1mteT+nHbBmj41isRHK
ybBrKQqODf6PcXxIkIxER7w2fc3BK6A2ZG4IhY2ZrLxBvl38YiGWXxx21uGum5mWHgZkE/zOWTGf
UakjRxvNhrRhPXr37RCeGEYxKrJHLjCCrTvR5duBogjjkRPulHVDzNNb1jp30zrwyWIhCQdvjlHH
6s9uCEnB50xjWz4M1vAeVOoRfdhuZslxwyAM40h6nY99fZWEwdZKy5OOrnU+rAQ+jyoWUzahAPzK
5Ghvu3zOT6FIrbt4toyfPM7bkrxtbxB3souNLXHH96T7VPtypPTliNqjdam2/FV/Wct9DiKwdfka
06zeckMm9y05KpWO4u3YoMHdRI4isDrR2zI1PlWcpY9exa2tjfbOpVBp6fvQ9zchD4MbHjObLCf8
8U8YFqlOUibjY2aFxxrg50brnMXezNoTWi5BQ8sidswbjR8Kczjal8NUlBFwVuTBQ+WER0JICkIu
oDqqhPkBLJGSiLCivBZxor97c/gosxzAvyv7wxhkFa9Msk8VA0nTctY6PHA+SL9rdw2cBdOdEL5K
ijErgPNVZMFpsJ1Hjr7rMMFWbNXEWqSxu+/Qr2CEzICQYoCuiUjLKxfyqxafKI6Qx2i4aCkIxGgs
fTzB0Epb9wlPvvlz7Nz0nX3brz81bXe/H+v/CyfbXRkXXftf/xvyzV/UVa5iv2AyxTelsAihc5x/
6IGKahqMITa9owHcdRPliQQtCPZtCz7Avo2YvMU+tQ5+fwLZ2mtgnTGgq5KOZBoGTAK5HiPOyU7z
1mk8XneJZPC7C6e0mXkuY9fCkpfSi8QDqsayKcwP8H+8z2Yz0io5VeaA98iXRm/nsm/kZqqa4Zya
UR8dolAbDTN0m8OiqILLMCfDsLe/ThPj62Spv06Zdj1wpnyK2EEjVpRH3sthi0EfoW8vQKi4UZo8
dIkxOySRCOfEzIhjatThBxqDciO7cF9Fur/KgHKNnrD2/To9tZLhSrDwutiiuEgsyhciIRJgpihl
cUJjncWn6MvC05uhtx6WnD18wnF2pRGqHmp0YohEOzgwZdxuV3WxVRTybGH8+mm6ZfHcoH/Ywe7P
eFbbOi8ObYry5pAMJYo2vUCZRLzL26JFwqjKI8G09FVlJilrC0bVl7lOcj9LRnsT2ZPcTWC+cZMa
+dbzwuIlqr3lTgeaRBGRs1BqkgvAOHXXq2Khy2V2/o1DoWWl5ix7uxxL1nWrmR09THI7VL37GSIF
3cEauMd/J89aAG0qwzwxr9m/AWnwYhxzHZY7GIVdvpAi70p9wWWOGgO57oEdlfqgGDcOJr3rHXgH
IJhOGH5gFORtndhcfZ8ZH8BQJ/AAaa+4Jwgbf7xpviv090cxtfmuLe0amXDe3GURIpTYlocsL2f0
MuaZ267Bh2wMFzes6R6mpt6NUdv4+L/jxnRhJ89XVWe/wQGZdnxyrxnB7KgA4oC/iTfvDFb/SJDN
p9wD4Jwie2oU8+E0qwissj6REI57XRsf7ORJqGCieaii7gwqcRuZ0HaleSGn8TUI0fCjuy0HqPD0
ImHp3YgB5+7co6aflh4B02TepLX1kybWu057NtQmM7q9OxnukbC4H7bbtmcg/YPfkiz1OYMnR/ri
tvd5KYl5am0I7xXpmnmeuodhaD8oFjF729bnoMiyMVh+IiAM3W1uxvFFJca3JSL5J5+FeVPU3nUC
JI5daC93BZ371nLMco9oOfCJmSo2JJEuvq56loFD5iNpOuODRceMeIcqAe5b210vlUlrBur84Khq
DRKWjyT1TNeZacYnCV7iCvqapvhgqxCCEbiHagMrrwh3gDZjOIWrLgGnfIap2onPjH0gy5NSqX62
QTbsZG9Wv9IhRKiZ6nKvepQTOWPBjZVL/uuKt0tYfh0wDyTcsL2cv01AR9uNnmb56oAHqjZDk4s3
1KHdS90pgYMqTpJfUcAudJMHIck7fdjpjS2ntjoYTc98pUR0dQnWO7pZb+v06+Kuvi5xmLpc6JaT
hfHR/broh69Lf/kqABADUgxMX4UBSiyKBL3WC9FaOXyd0P/ptv51t7X2O/9c3hwvZfMj/4du648v
+6Pbsn5TFs3MCnT7sij9Dnuj1cJG6FqYLxwkzAwP/lvarPiKNeOBhopZo2NzI/6t1TJ/87grbQ8v
lMnX/nvmJZOf8Wfv0hqd6wrPItDWMU16rX+wMk74A2hw2OoR/gc+AMboYbTJi2wS88ZqWu8UM8lg
hTht4Jn8lGw8r0MbT8w/LwG8/9HxrX8Ooogd26ExXV1Uf+34LC80kKcESKvTNjt2Dixopg4lR0J/
FUUXVR9rfRfk5HzGmAKA43Aeh8E1YIduUzfWU187hEAcl/YFQrLFXWklU4UmdgV8d+521M6lMhHi
jLyuyu7u557jO2gp7ys29aJ/HtuECHgiZYJil+Tt3ZROt2ManKVFlhgim6DNX1Ue3hoJo5aE7IU+
tpodlv0fitXJVjjkPdD2TRWyo6baTfygLXSKWW3K+K3FGI5/Yp8G8zEJrTvkMrQNq2iID7a1rO4N
SSO0JNY4ewe9CkKaq4GGYG9HoT/L69IouQMsbqlXmlDYwckjd/yZNPSjtJxzEQE4S5FSOfXjNNnf
3C5zMN2nN55C4KxCcEkIUt2jZcevXpnfoCY+68n+WUacK+K70YrntYANO+e6sZsHHJYHyaLcnIzt
KMlJkg5/DO1Jf+7pBebsHR/pZ1xb+tgvlrlFevuLzVlw4qxErrOApUJIXm8nZ7l05nhtoGDbOiG7
kdGUvsU6F/fZqREPWKN8tJ16u6jxkRnqnSlYCY5cM08WLWZWzFCXt6CgkCxYz7nr1hthgCJrH+ti
+kV84WlqxbelVSTYClTFY/UWjvF+ZgUlyZvb54xl8wCdkOM983htUnuPQZg2ziSNd+qG3SyIbzeC
t4CIUJbWDw0dFwqy/hkxNC3DZ5nnN60YAMJMCSOBcFtOCwyWzrZ2DcFwaZBtvan7noA+lgwniOrK
3mDzYo7Sz3EuxCYQxScHPPujiFS2NiGERxi7POk+xGqXC0TAtmtmvl/sAF/7NviiJDefVP7qNM1y
i/8/fR2W/NKm6j6g2D248+htGh3i25L/l70z221cSbf0q/QL8IBjBNmXkqhZlizPeUPY6TTnmQwO
T38+ZhfQG4VzutH3XRcFVGHntlMiY1j/Wt8SGzy9J1l4G1EX+y5K32m3+EMg7TLN18p5ae2cZuJa
YyxZ6VjeJcP0YaZ4K3mzjWJY/LobSG23OZBnNcLxEM5WORYWQRgY1UXq3rptIvAl9lRSG9nSiGeE
QFCiW4djxYf7t7dsAxsRPiKMCFiq3eimQuOMrwH/7KEtLIYIoiLC6N3imO5INuu3iv6HORVfmFL8
ZChoFNaM5lJ7xmLYIxUZC8ufRmQNN/5yMndbpzfb0FHmjUf4inTV2dsMkVR3870yM27LuMGAZ79p
FJpg49zxaMiNHpn5wYLPt1IG+bdAiYeyN46RybnQnOlvMqnTIkkWC0GILcZ8MlPTNHHozsFMmO3O
BKRdzK48Keqawzr6LZR9MwKqXW1CAp6OAwCp4Bp7uE1T71eR1sAZnO8yNQ4J5O9psavAncy3aVbQ
I0PeivrBZFtKYAVoKndS/xQDBajVeD8IWN4aMTPp1PnkuSyGunYgzHaBUTpsRGANlGgpbmxEJjTh
3JyG5FqWkNTEYBq7xU5FUKZiJzJQbqovWhU3DFlfc1Qbwf+x4d6wzZjib6axPJVRQ49bcw2K7qOf
8mpx2UeQG9xXdKonOQxw373LKLsTDKEVoKdnXfOus1V/UIn9y2T8wMz+rE/9Rz2lb+kk811X8ffA
ojxpuGsU1gcZm/fJ1u6ey8eTGzXxl+LY9dgj+3SaiWSXaCyySfbSHQ4DLYYmeMO5qX6sNN/hPft0
wxlu2hQcaLI1L9A0cLLWMDaM2v3D3PB1XAhBRDv9epi2teVV68jOwAFbTI9bo9i7s/fJZITRBBzP
lYc3JBPgf81EezFL6zy2EzBxTAPQn99qr/iapKx9m4DkWs/bzySVvBhMtoG1fCgvuBUaV+DBPeuq
e5hNnUg9vL1d26QXhK3DHNp/anDcKx19fGPE7XnmY0USu6Rq2DYpncR2OczwUXC20njqAhsNHcT1
AENaeuLVO3RGX/i9rd3wsWGWikI6khPtYuuQlOIw/m7KascN887ZteVjDunT7ne15HloXD5JiguF
vPQeFszZPoLQoPTwKKIOerMb7wG/rPQpOArno7fSF8iQPv6aHaBUOrWKdV2yCOklJuko2OE12lTl
r6gtuFzJN9UYhzHzQIrbJzIv+0FVW+h1G8PjkO664qDHVO+kSQe68KkOhg2nXiZ0dPl0b1NOnHLI
9h5PupsZ9N12V/SIfTrDQpDeLu4CaAhtsIeUNJOmap5F0H02af/XLZwCzXlzGVo5oGcWv3/hmfsh
68+GPI+ztcntnIKfonnUZusCUmCrKrCvXsIrrzny5ozRn2o6QXj3wdpco/EnB0quO2KbUOfW6NZP
F5S1b/XJBsf9ifMb3p34BzfTdxTaV0t0D5Zo9ovFXZ8GX+ekjrDlvbtLgrr/6RyDXCRLJ2PS1mke
qPPgJSzfeUVe4Z0dZfZLuelHogpAXskGL8+51/urTEB6lQ7LSxBdHBYtTJePTVse5TA+9F6ynirm
nU5OBaOWbSbN/vJkTVTMxEM0XQBTA/VJLKQiA793ux6M/rOf+/co8XykqX1qJL/npvjCjQD0/uJS
Hl6MABgcwrEiqnADcWnKGEeRRRviJzM/WiwKGESIgVT9vImwvNtdj6823w3WZU5cDDzZVfdoOnOV
b3EPwRTF/ll2OzFi16IGO0r1SxlSHJB59Tm000eCaCR5xb2n6SACzBPn3Ud0KbKz2b4kdrqxam1L
WdtDlbRoJLDELBW/ylg6K+QUn+zwekhukgaJXu6ycdiXefttM6+MaPMYaz7AxjzbOdZRAfzXo1sl
JChrj8lGSPHajM2XV/eB3xFbYfQavcJfpwcl7eb1mOQvoyHsR7RYYy2WYDq5Qw42ZRnv8LquB1qM
U0xcaQdJqrCdG3rMR5hMCDT9W6uyHTUkkNzs5rVJqz3zOpRxfHmLamoCaoXeL+Zn1VG2zcKbBu4a
fua9rmgqCVro3Y4vFean8KIGx1sPROo9j0cdepw3/GSEcPr4sau945B7t6CLr0l7xPtG1Bi+0H2c
o23ZbiPKlQFEwtYym3ED8ov9A9IS1eE9W9GiXsF8Z3b3EkrzjavuPe511gN3F4fPaZzuOsvZE2a+
zcCLyUmfRz1/VMYtt3iAcMbO8S+NEPRYM/csaf+ZmDoM3V4M5hlBmi7IejyOXmush1r8eOg7vJu0
pR0HOpaSpsSgzUWiorMbQ7nBwDNzn8UQbl27+4wdhGsdzIgT6DHSD4F1Tb6lnUUpTP1aLzwy9DAo
CR4OsThhybI5ko4EwupcPBn5s3L8sCT8uO7/ytVYqakayfOXEDfOuiATePQk1izJjtzo7XyUQZFi
BBD5b80hdlSQgzgEAeZ0lmmve6cIpOSOPmMbjp1+rbJu+qH7yb15ie5emDSob4Xb2idkou8cB0sk
dZIBFXZg7E3XGX2iPMwCiix6dK1cnCiYR2Zlsc/3eJLTV9hzrp8ZuXeflcUnqXXRr5zT8D6Lq4BY
l+YYfleRZkvAevdrRlyRn9EjXoxZfKDzMtxL+GJ/+JHub5nN8xcxSH2fO1O3C/TEgErbWFsD1PAV
en1z1IskP+mabJ6473E+5mAGP6wp2kfm29azy29MDUXN3pJEA2OdtqLJzg4PvYZhTqKi3OhsHDfB
REtESDCHVLvKvF1fVvUFDnFIKJ2mu5Ee4YPmVe3FLGRwzJq+PXq9BN5HtKN9pdKFz70U1aWzJTUt
5nQpXVNxngHQ+lS6naSyV59+U5oAjqATwTYkF3m1x7n8GC2C8qCkavKcFu+PS9jty01E/65llgMR
TUXJ1UbKfHa8JLpj65ge28GrHoyhce7KTsZrU3oRpJ1XheGUIGiz8+ZuxOJh2C+abQPCKeKJ6hBX
G7Yjtr2NPY/ZY6NkTyPMLM8TGyaluLHc52VPw2gykm1p5uLWZ0N3c4yupanMSA45DE/ukKSBvHAJ
kFBYuMWuGO7QJekVsCqIFWoWCPEmPUZ2ku+8CBdkvlywl/KTiZ7VwETgYwJH05bzZvUIQyPL06/E
ycyHigTX3k6kcdJmFDMx0x2aZ/GtxJgd9bTO0yiqumy6mubETlrlk3oCdrueMNq3Ey1qpQGdvJ5/
O1mCz2Ro4XjSlfMcaOLFJZQv6vRDxNnedvJDVJogQvqMZT/ea2I81dB+42pYzJK0s+tuuLE1D+8x
+68u33G3HhDA9TUtBN+CcIRFXMxuUtp2yOxQD9oVSwKQoQidPs4Ihxnp/8ENbX1XBM3baJbPuMoP
se4+ZHa/wfezjhKL37jfqfTB1JtXw2CIVmntO/5hMHQUt/lNLp6VrV4CzaCzG9YHNL5VHFF+M5Lz
hK/txqE6VAbYckczs31eUMtO88l1wt+05MWoeip8r44udTy0+F84lDMUWPWmvSWTCrpWMzeVzzSw
jyiAK9uTF4Hm9NxtmBU/VdG+/J/FDmuxnP1DdHFtAV0fvj93TQgKhu79m+giQI0mnSOGvcjeuObH
p3nsx+s4VCb1Edl01MUywy3D+ZH1KboPsXCeadlKrg2dbwPj5kK9u6nKv4hcLFvN8taQLfIenOVN
ipZ3Kl3ernp5z4y/b9zy7pVzmD4NFrUaKxTdS7+8o+7ytk7Le4ubpH0N/r7MY2i1xz5LCSIHvOvT
8ta7y/vfeFBX83yuLznz6t3QDxaWT2izhwRexKYwmuCGdQAL7rK2GMsqMy/rTRiw8uhdACTPHqxn
SfrnsTZazudhFHVPelK2T3rZ5ifU++ZY4bK/hjO3MW9Z6czAYc1bVj+xrIPOsiJqYWn8MZdVspm6
GP8UnJyqjnxa6VlM8eeW7J2h6ed/F9s+84b9lLrRr6LinFHpk3e3k9TzI8tMX5UVcWEYBpZvPRrE
qZ6G6NH2SuN34JH4p/lqbVUJm/zfTYBGY+Lsy85A1k19B8tuUS77RhJ7jOCXvYS4OGHLZX8xlp1G
+7vp8G2WBwJsnl8ve5K77E7tsk8FMouWxOK5XPawaNnNDLY1yHVoxu7czt+IhCd6jTygK6bRvg6L
xOz+VZunODPfJmfRoPNFjh68MeStoVCAFhoEqJRn0++Fwm6Qc4AzY/otrbGgfGDhIkY4Ws3KjB4q
xZNnZfW24tK2F1oElpMuVaw7udOX+xIWIZebsjO2LRCehmLZvz/RAn29lrnbSvZpGu55mIooWmMm
zG5lkQhikKZ5yhMWiZ0YXO6rjAE5KeSdVpD9FXb6ZenVI93FXrDBl+3U2yiwOJdwW1j3AP8RvHIy
9kknUdWcavRVXd/ht+v7QbM/mgVLT4EDN4mZc+XM4zthoGCzGX1PC56TpH7Ouij3tSFpNhgq8odB
LzosUqn3h0vMm+bqzsXqPc9vK/tFxRw9FcEo3FFY0RXtyOu4DrO7Owjt7Mbj0ppMkyidSfGz1MlL
iK5NjpEQz/R2PbsUB52S2kv3heSY3ef6MbQMkoMqGqOtGBWHni5L8UUKKvN0tBIj/pkmLWX4NUec
itPeN43p3HD+wKfBPz7wYKwTqd6d3iiPhcNIsBCjvU6b0tyB6m82Bp3yJJLtnRuVxCeLgWi0Xjtb
xFRkFR3o1jLP8hAUdTHWK04fL1U5vpYmkJgBBvvVdLNoZ/e9gtJL0emZZD8JyzQsdx3tlD5uBINa
RlFtXTnPxFJUu1Um7xrFGjYwlpIbGAxuKO/tr6FQEgxSGr/Hc0FqMeME4VTNLpNut8s9q9lRtAiJ
iEJkLHdMLxuDWsGuAqExBaQO9Ap9EQyqze7o5RwtKp3r/A3DDAEcixPThEF8FblBSZyx4xueuLXS
uyjWraee+XPOIbQATa8sQGEvJKaLU9k5wcGsPKzxbLuXMpDfRtXmz6mJF90dWVC0nDi8yn4SSzxH
uTDWo0Hk3tRC+6EqyVoweTa52ETfrceZAg49W3vd0lqHOWVpCf2aJvN9yIAeJ5eOsijRmTHlx/I2
G6UJp7f4Ee18n4wSc6DbUw6UQdgiSClN+sjj8KFtTLUh2wluXF/SIwUDqrK0myfFrPwF1kLL7dX4
jVHJYvSdvMgm2xsNC5dmuQM3Y0h84GWjcyit0yQHrLMW79fYsElQNBJvEKQfVOAw9OxlWeOaUeUh
wp25pzhjfk+g3tGbZU1bGEqKP4ddZF7jXJ1/ke3ON5ZnR2tJgmZtY3u/SrIAn4D3rANsav0UDV5y
yDq7vQal7G5gRoqbE2jjV8D6czLMWpJO5kSllrNVvZyyMDVnj8Pfk9dyBjO1Th6IKmub4O/pjBXX
fnGXI9uS49n1fOL/f4z1t/jo/zLGYp6y2Mr/eyP9S4eu8j9uzef3nzb65yTrX3/yX5Ae+z8IY5q6
7uKZp3T7Hxg+SW2RRXUPceC/TE6cgf9y0lv6f9iY7E3XtkDxSPKk/3uShWnQtrnz4bNHJtbF/xOU
89989PZiyDdsqQuhM1UzLH6Ff9YWdUR5RdM7aldRR/M0YBO+cm8RVIt7cfOleTNuOZ2Wu/9lRP09
/k96pv4L8wr6wL/TQA2mKCD0XQdsEd6WxRb5z58MjjNVpGLUTth9sI0by6k+c5OcMXYTAxWir4yU
voRm6N+zKoHLwCymSteuzCyU6XTQxU7PKiYjbWNlVMkGsPEopYNGzRW6owXYYnVsibmu0zxo+/1g
At1haG5wRzaGDtB5xXr8ZWHZs7qpKXamZckP9LHxcypN7zXXkzzygTyoR/zoJEk5G8anGP8gW1IV
sMyx2vTvALTjrQNMbOPm+cmOEUW4uk9IOWtmhF8JJLCoo1R0Zk63aYOSDHxjnNtmSB69PpVvHoG3
nQWv6Izb3ijWkWMLMCehCF40RReDPzPiO0zuIqwH0x9ZOiQOaFAJFJ27nYmAMwzRjcJSuVUjgwuK
TohKG8UrBmk6M6slEDGYT8rVCB166Ms50U0Htu8aLwY5NM+yr0U1bNyxxNJlgSkIh54/2LAhFpXI
1hQeFCvwignKq/lZaVmxCj37pDt0uUQ0jYbsUQVJ3GHJEteMJ8iJeTuil5Qq4fviHyrhNQftAAQJ
7xpMMQoOgwY2e0YvdlcCWy8bu0ej1os1nm2aoYZY+qlrWZsWI+iOoHhPi1XLbDO2nIOtS0L1yqx9
o+l7mvda8AoDHIMZ/PG6dwqTltUEV38V5scoT8XOc7KAvWeKd/PQkEozAZ0jd4cZIWXN/q4MFYKI
17WN1IT2APi9OBhlHd+nOWtTLKJQ2sO2j2GgUoaBTwjSDo1DLi6NjU1dl7dJXfDU/oCh9HOSNN+t
K3R/5BjywR9hb7sXOcXGF5yT/LuTUyLXblo51sqMiFKEZXrWCXIR4mj0+CExPWTtqT6R3NWOuVVV
x2jOy7fcJR1PBK4h466TOp1JunH9ZhePNIFCVAqB4i3KW87GzMGFpt2lHiUtNhg8nAcbyobONm1l
56zNjd1oVFm+I9nlPuWO1tTEvm19U1M3YvqOZpCTnsncX/QGPxuQyEk9su1MWzuMpvAYhhV+Pig1
8qPt3InzhAmjkrgy1JFaasF9Glz9oHeUEqxFTfBv5oU6pMZAOjribry3vcx+LpsGk68r3Hjiw+yZ
8VnIVGzpYGOuVl6qVy+soQu5OOqfSPeY1inU7GbwXWcg9DcNnfGnrKuautbceE0hcPa7Ljfsn6Wp
2WMObk4A39vaIrlIo7t2h4yAJYik/ymFfZdi0zQba13UOn5Gqr2i596M4Y3HtXbiFGVsK/5j4ZiO
5b2HiEjv6JS322zWroE9fYsw/Wrz6GwoGg8Zr277ybRQf7hJgxe3roIUxYYKxzOsMbBRk0jPXseY
ZTaWwaJeYSubNdq3q/qhEHN7qxP9O0qxIDVlg/LZZeFeT2R1KaRMt8zsva1k6rQNcxnfokDrdqCw
qG+ccY91UDm/ZsGoa8o18QB8FME5n4LhHLQpCj4OGtpuBzNebuhmxAPsmvDcCzoyV83kGF8yGeJj
ZvbZyZPyOkqS4CunNeitNSCtiT81QYgsXkl0ROgsuNSIJb5D+qdCsIVAJgznJY0mSW+P6h/pdgP2
DgLL3XQO1mBYhX+gC7B+tKVtb6MlIuwBwbwogDuOneJN90Yt9Ic8jA/0p+U3TTcgNzpWb631cgju
UPbR4pTG/ZaBTNod0pDyto6G7IcWrHPqR2VdYkrr0DQa6ApTV6JzJyRVebIApLJahF+uSpB/C4dx
vktJr+FIfZ3FnP0S8MwvLh2aJ4fvcZWPA/+GkQcYGhqnQGx2QxjsqbuirCJ3jl0WyUtliuhIyOiH
3Sl+oM+t2mUN3LWV4ElpD9idxnUV4OryG+ys9Fe0IeKSNtXNN4UepObB0FB4LoqWlrkgoaI3ajRM
qK6jwssYqXtMRuati5GIMgCOf5b64N0UWyOkCl6YnVMzWNhXlUhsXynlPtRdmr9KvicQMEaznyDn
g+UQ9q0d6+BryjLDfsKnyDLbzUXUbcrO0unDa0RDpJvTASNu2mOozmvmSwhdCcOV/lVBxVmc/vMO
u5w64dHfjE3xro3EZoCQoENsUm7z8m9y3djFeY8xBKaoa6xM4l7PQ2riaw5IAnFzZlRDZwIm0UwR
oJrc4jGw5oJq+7jZ0NGk3TgTBw8j6Sr+pdBHXXurtwTiwAgZG7MOJz8MD7khE39w7YYrIzuT05BU
S+OQv0J0wdr8Xcvx98T6fhhaGrtcHQNePMMS0Mba3GugIai4DygsM7MzWbfRB8jk7FxqytdBCHF/
jkK+5Gi0T3h/X0OL7FTdYcsfgoHlmaZm7Pt2S9uxNkd3qJiTX1LFS2zQj7kFbbupN88RddybTOsM
PBcy/h5Ds0P8Vt0la/HTxhowrHIc0/XUYpgP26DZVRK6Gd/Q4HMWtNbMYfWNGucXvHV8kHlZ+bng
g83qIkAXVuUuaKuXwYmIE5ZFs+88tBOOGojjAi5MSVskMzXPPVF9QQwxbQRjOJORIR2ze1Ja3BQT
79ZqE69vbtpXwIHEnYHKrc1GjfZOY/Dqp9S5wgVYInJWA3qgjW3nxHGh/cBXzZcKHsyBAxK3NxFX
np+g8rp+WQTDhyf17C67WT/pXpb+tKMjDhpbzoFb9/BGCFlsGDCXgHYdvQSTNvZkpKUe/Ohgifeg
lFyuUhlWdLbZYEethBNjBTKiW6hBg1unodKPIrTH3Wgm1if2h/qsdHO8YgNNh9XCEon5vE1x5DoM
Q08xkD6GZh8/hZ7hnHRXGc+Yb4M/GQZdtXSZ5Du3CeOUhckIDkmnO0fM8kB3aEPGC21p8ZFXhTs3
tVmKwBtNsLtcN41XC382ai3a+iqfRm8dmbChe6gKVG8LT5Z8CQX5aNfVnk0pkj06CWW/YzLvCn1S
77ip8lNfTwVZbo4PD1NRtFuzJW157HQyPL4TWfNzmkzTnz4ROa+pm6aL00bdvYjxAvYLsE4cbfv1
wNF+i5LYvrpTqT8EUVEco8DQyY8ooikzV1xABbhf3mMbtTfPqc9zRm18VkNu7xWoo0fNszpOkyK4
WW3p4gx1jVNH2SNThIF0aliX75aNU6k0GIl2IVaoRJxNF2yeX2uOAuWRAkRCXqbMhxWPKSPtUmdb
t2Z8QU1DThA+wIrU4riWNTeLVd+OegYVSfAwpcThHwKPamsvK7BN4R1Zm/nU3QUQwIOs+A0KtzBe
LKEUA7ams56DAAe4P5NMMG5sEexvYAWxUKQVxZk5Hph1lrXtxpsLbyusYt56wq7hcoLHlJn3Cebe
8DXQ2qwzxbRj1iK2NWCcbw4tpORhOpAvmenbXPXjVOxyZ2gOVa3aD17a+a55NMrTbFTs0oYf4mq6
6SfSTX0nJ68jQIoxdGjMhwEP1PhZWuZYP054prMnjbGe3HQVeRpuIlzw1oERJgDEC1wNBDcUMz5J
E5i7Ei7ma4emqntuD+HzWCF7zVpqErcRWM+BFoW7noHdI/FF46MvPfu5H5k645YwvfeF7jX7SRxD
NSbL/D0OJGQ1YVuftY1jfiXrOObrqMR41zmg/mmscj6GQ2lhU47H+j41BmvFjA2eA1trsKo5XR3u
6jFlyW6ocHwTfN2fKRy8F0foonl2wYl3ULpr26JfczCBjFBc4jPbaXxlTQmSuRNOtCXkoWwoyKRO
itkDD+Gmx0mWcG5vG5/QigBBkfL2wltzjU3JfngqjQSbfmrV1UPYyCjaDJqFuYW6XYP3XQLXKlUV
Huqytz6yeYh2heFVr+hi/afJlQjtvKrvjWM/xpoiGgEAtmpd99Qh4UDebkeUKqF/JhJ8UFggziyU
2lewQNq7UZWOC7Z0spn8TONRddhmlOeWV3O2xGOIrT+EVjsGzJ0IoRIHPnCijs6jaQ/7Gtb6vucj
/IRXp84kWsTNxmW8zTW5M7pSXmOZLB4209iA507uBeSpC4DnHuQM1hucEqSqV6Nbw2CV2RScygZE
rk2k/BJG7i+mX9+aysfHvtID7Hf4oVmtTZojWqG8n96tgBP1ebzF8RZu1GDC5XG9/g3qeehn5NXe
kiwESjcK61KgYh6BRuWPaQmX1148P0s5Rc1x9ga0FmBnHFd/sKDO7KCDuS/aVDyD1OiOcwhQ1pi7
4TVdGjJaLY0e4LskNxIJONIaMol+blTdeQxs8rtEVQ6wQKJHtfRxWFVcVqsmGapbz530i7SN/Rjl
RUdzLoNC+kybq2LkfChl/dbrY1xuRhfKEs15Vu+PBNfXzcAkNu27+TOCwIIxtNfXaQY+ZuoS8x1z
iXlRChUDBJL3Hss6QKRjzXdCzmlsq+o+MR7/FXMWewDrSzlsG3SXniTaU8cpj8Ae+JTtrFXa0bLt
6hK0PPKqZb2XVdn/iimvowi4iz8n4UJBTDyu1AaaLm3iXNZWauLtitlVNpEiAzCDOfXdYWGBTNyx
IApv5ypKLmDhgtfMddqjUwXJq1byXLWRyLkJqmLjVhPkJXphbxKYI5MPNWw01WfPcNLMS4Qa+2MP
Iw0EsV6Yzy7nyQc9Z8/D5xZY31SUc8Pqm7w56WELbwn+ZrjXeNAMrCmK5FzXpQzx6rTDqKnZ1Vs3
VgTbXG80nlJnqp5lY2Luoi4etiEG1QKjW11gzs2Cz4GOP3B3IevLqS0bgbPHCl8x06TiTFU7wMUc
MH2zTahc/Ay7gfuVgwP4S4lCLIL6jNVKlp/jYGC3AxDyVgpEGifvynPISQ01n7WDXyihkQ2Vdxsr
ad9BDhi+IRpnzyfZXlHE1QWkVvfZ5706GcQzVy09n+RPGNdO/SLUAgM8ty4LRhnG1XsjdSiuaa7d
nSx11gAjg5Uh1wQ5VbkuSmCvTADF+OBplGsz38W86lB9Ni2oKuO14LYB6RUU64/SbXfrNfpENgzO
O61fA4Okspimt5Q7JNVKMaUtMqbklb888wFlB1yozQiP6ZZTAIVUNGl/mB7YQpkUPECxMfM7aJAV
FgIm5oOQPJCd1z9tGsOWqeVUfM5NMP2UnEEPkaOxDAUaHqS8LjcOVDUcRvFXGiJsGRCNYV19grqb
KMLinR66DrtOlOjLYeyVRaY8Tg0jxGAwd4BitBPeVJdvE1YssVdnQ5fiOe2xQ0W9e+/i1r4GVpCf
QTOb2srCJkvDXZAenK4oTiATxSEeJx4HDdHvOOdNX26yyFq2KUbHZVdvPEkMkIJK3jRtPo3QwS9x
OEUbRI9mZ3iB/hXx+HxVIDFmIE4lyKsoq09YEJ2L4ga1FdTI3mHG3qY5MnbszcM9Jc1RMKOxKPDQ
nGGXaZ5N9YXVXB1Tvy6a0IcuAruCGDYYFjW5RXLlZJcztWS9ukSQTFC7WhzjoHjscN0nXDxXcpxx
PwBu21hjlL3qmWRE4g2NeORokDFMisj6mQk54G6Q7Z78JsTDzIo3FkFJbDqYz6Ms8GgGobFz281d
WrDplc3JbtAS8USbwVsd0lLQNlX7kVA1eUkYkZKJgR9OA4JyHq24ry81P21d1nVwAxJnXfQK694q
8Ep5Yv4m91aZJkeTSNkJjld1iu3YvQsjq7bFAEB7Yxa8p1OruiviWtv5jtUuw1HYR36tNHAMs10l
fmhPFEHW86YzQ4tacFP/1hh5H1QwB0+ClQkYJ0N/tqOZOrDZTbchcZxt4+jz1WtR37AHl/SJJrl7
IVZTPc7aqPPowavbRXA99gIX5yeELXmsnCp5EYxkPBbvtkZvpBKjQrxiLKRV7ZU7gfm6VO+SDNAV
Zy5p762WzawjhRgS1OW6RzasMbUXt2N6m0xDuTKmPOTbpCQVHHs2PsrAzNbMv7RDl4nqqJV6Scdn
Uf/SYw4gjMDxe1B0xGKMNXt2duQ46it14R2eUxdVcR7ZSPmfzqGz3fxMP+GwtTK2000RJcDcJtAu
vm1FvOMl5N011LJg16d1Y7DxmOrByLz2lTZr49UdihDKFt4hSJDN0ogrktiXGbbnlT3E1XPachjf
xk5LS+YsychvtQwt76SiyESSrUqT5xbxo8cvGGpvkBHbows5DO2ZQ3S6jqJE3em6auJTKUX8FMmZ
ghVQE4i9syOcYZPUcf+TyHzezf0gfqUmFkN3ZGa0lUWm1X6SCJFtHatk3UpqWjxWGWlwvACea91b
6h3pF/FiU0Gc9Kq33raSL6Xp07z23EG3CRI0WM1mpP5n2jeK99oKhp2WFPUVN05MTSlMgkc1hTNy
G3TtWzUgxFnKxq6Zdh8gleF6u7R9GdQO/dJKK2KWPlKgbkmLjhIzf8W+QTyscEewkyIy/akwMoSU
7sCnMPutXo0PIm6lu3JKr3zqOjVuKOadn5EvnSODdHkjOIHEkAxudQ77WWtXHeTOb1QDusPCYsnk
6w2jA20cNQL5cmj2aMgM9JqwHN9jV7BBIKFOly63pd9Hj3ElSduBL/Se0y4oziExBTsVTQpTTo6X
wGQn2LdsMzmFsVH35QJ6K9cRmTRSwmWu8FMVGkiayrIouqfww9vEcoKM1ZGXczYAdgrcnlaZbNlG
zFtme92jNZnzG8L58KiJviBQatAYWdjtrmsr68UC43WlTMz2YwaEOkxMkwh25kD777OJe/ngUixY
pdFHPIrs1GmGujV41WokSCOyT7UL25CvIOO/CTI6D1PMKWvdUdH8Ps2ELKDZlP02wjy+06MYyw3M
JdKbePwIc/BBPJYYvrR1SKPkd2BEtGXHtmE8gZYGnkCgI39KYma3oxZwgfbIDLCdtlTMexEXqTG3
nIemNNp7HZb63cRpc500pyCuFMT1xzy68YOYE+z9CgvIRQcOjoxTtMmCM6iNF7wh5imuPQHTCDDD
wkFC/1y5SS6PUOCD38xk58/K4+UhYcqBbaX0egg2ao4K2Nn4OrDQq+yNp02pdZHF7ASonuO11a3g
96B1ywLHS+QY/8nemS1JbmzZ9VdkehauORyDA2ZtMlPMEZmR81T1AsvKrMI8uWP+eq243VKTSTap
1nM/3LJLVhUjA4P78XP2Xps/pJQjj+gTlrNAyndKkkjs47Y0V6ztbEAmFJ/GBSa6CWt2vpEY3mef
pJj7CazMaYqz9todu+FIwHP/yyDshy4csnaOQdjCUwLM+9PPIgblRb/hDFFk687vqkPlLurksW5v
BlUXj+40eETNVM5qQYz+WTEIb9aLP7v7pgDykLlqokaLy/bdbqDAbWOm2A8ckeh+X2RZ+eAE9zBA
io+lUepxkZpfEMfsTDy0b3FnzxzxoplxR6qMBadRECjONXyskLJ/sAOVaEvUGOJut51oXZVaptva
JHc9KVIPdZ17TA9YW0Dp9q57FYquQymr4ErY/CU7Qv5A3K2686eKboKYy/77QlvtsiEP8ozpyewi
xalkFVdj8UDAep6tkxBv+iOR0cs9eRLcEYqbayFS/57hVnUshJ08GEnWK0EYyPyGlqOGW+ut1mBL
lmSMbsth9k/8tfiWt9v6MdnEi/GPb0k0YBpI6+mdI3Nw06PYuJun8rO1PfD3fbxukxrpahbOZ7+b
y8d0dMa9rlW9zpLwcU6NhFFZ4Hb1aV0eO4OmYeWMEyYdKfwnh8TOFeAYXp656TZuwXu90pYZ0d2r
y4Smp8NhpWV07CjbvytM+3eREKjTXMjXDy4FPSeBwrOAZgChWA0AzU4pbiNiY8PYfIvzSRPcFXzU
Okd82nQG438s1Xkk4PB+op3xvVKB662gscQdx13GN0nP0zSKC0lhii70gWAN4are5rqX6PZwfa+M
aPF02LWxLgQBLuIm98a5XHuUCBCwVPXqxGxZ5FpQsiR0OHNbjtg1mLbUyLibF+ap3bHk+m6TtqsP
EwRivH7IMQI40vVeOJ7LbhpPDK26rvzuO5HBrrL0W4Bhwa/BVOYSpAaAgu3+m1CJgAIO3sxa5wiX
Tj3SNkhsGXMrZ+k5wUiyVq6MNLRyyhZHN9Mc2r2N9954buWCKu7ILbCwS7v0SIDa0sc4475ikQtV
S8xAZ5JH3Eb2zgnt8SklT+azHufpR0rZ+tROfY9gJJ8u6z+JtNd+mAFiXRyQvy3hJmjbFYceWqSU
JkvJGW81ZCzGQx8Qv1ii1WajybvkTJqL+IEql3COsYlIGtEzG9cMhOCIFkRc8aVgerMHT8D7neE4
ex2hLlkV10dtPIznBK1UzSqLivm1hSrO3CYJd1I27PkVSXdbslDggtaRtKJNp9LlTAIYq3c3yvyk
QpyPKI4woXq4j3ChZyhFfMHED7xozW4lEf1dANqzd9OUaYJHpnPyjsecXWxVVn6GOs/vnfY6RHZH
SHoOdw8xUx0C9nft52LQzFFklV9NgyLdsoss3FjFVKqNpy9xl4ypbCzkfSqfmdk62BoZiEJbqzzv
sx3S6gakvHvP5kXtUrBdriKPrf3YCeg7GyWX6Y1+s9xq+GBPeEXFpgw6sNoxVsK1y3xwO/4zziot
xDkIB/mZY5diE7t47KNcJ2vX7kE9e6gI1iHN4aulFPZpAkJ3Mwsm3o59aZIDGUJYr+UWl47NmzXI
rZWN965FZzQxI6dr89ZThJ/mqCqOgVVZ2y63zWac2+Gn3SBo6iknbuRldUaLGWyUEvjrUQripuP/
LZmHBM7ujXgTVpvemDjJz7keUTYBoAvWLfFIKQ4IrK19syCzHqprMlEuYGbb2royKo8F/IGPosGi
EzeBvi6JVblFCpbpdZOOKb6ccfkwsYNaCYgORJ96PFCv0yau+9jb/Zc26P9JG4RyBUHLf6wNev1p
uv+2+lnF78XvlEH/+vf+zeAuwGXiK0CxoGxoYg5qo3/1uAfePwKJvTwAlekIfoXk9X8Ym+ofqDAw
kWL6DiUrC7/17x53z0VqFCihcCYo9z+lDLpkc/0GJub6VPihhEoG6kzhl+eH+60+R7lW3BaM50ka
6PNdS8g4oS8+4rg0JySrmo+/uTx/pgi6WNW/fB5FocTWzxUhYvaLujuTU+SEIqQ3mhtMATLPLv3G
Fp9NhS98pudVRuRowhEKCdBa5oHxS5Z4Pd2mqFizloCzHeBLbv7m5/pi9b9cB1cGInCFJ2XoqS86
pcsJ14WJGezprn/vKn4Oe6RBr0jylp17CsMFCCENx12UFmRBzmdPYx766x/iAm77em0cslqFkD4a
ra9aKY6lfnQJWNk3dOf3THqiU0DN8vTXn/Indxw0fUAh6YQKednl9z/eH9IqBj9k/w/FRWaxz4I9
XruDlxOvg7bpMKYEF7WYI//mwv7Jd/JIFnC44550eZB+/2laaltMAFD3Icrf3RTAQ836Rv7Np3xV
mXH3Qt4IkLSMIWjBfnmqyGO0W0Bpau8lwEzbnKZHVfQPQ5l+/KcvHoQ/H7It3wep35cP8iyylP75
+EYpHaDSyn4hz2FK51R3Tpbf/H98GLQHwBiuhyPiy4dNvVuThOCqfe24yBiI/l4lA9tXuSDYmjL/
8NcfJy/34svzh3ARxZXLisA69eVepSQFLlrFat9abr4imSG8HiHbPhR24h/rMoE+RsN0h+8XlkSd
1Tub7LIfdOuqFcG17QPtX713qhLVbg4mAVU6ikLfCYqN51Fvd7IBRx4kFdqnPqvY/0r29pVuFhg/
9dji4+4WpiTg/4eVyPx7XZb6/q+/41ekx+U9DwlBl+AAWYv/8DwS9SJHD67bPq4Secw8KzjOBJeR
TOM9WwCtmywyx0rHv5STNOzEuXwi5yb4m0v9Z89ryMrtwnEUHjPkL29FBqHbi7CQFeTdHScXdQnp
j+icaTD+9Rf+4yeFREZyXg2cAGPN13uaNJQzjCOCvYrScj31AX21uvxuEqaZf/1J5Lv/cWlhMgEm
BRG5Cxj6n7//m6WlBYZqKWnU3qUy2+YDqTSaFf+OM9L04Fs8CLLtnjjNlNsMDli+QRberilem3GV
19hZQ9MUe+zml6lQ7/mPPYegd4+OwIHRQ1esnbafH0PTudf0gOqrPClTEL7JDN/V7rNpV3DzGbna
aEJL1R9FOAeHJgHTFmoGwFZriJnTrdw6uJWZvBHXaoNuqUH/j51s13FpR+c+ybxbcsCAWpjE+Nt4
mCQn8iC9BaefvV+YXsT1htiei3A5zKFnMZls1TFvO/WWOot7OxKrBWwFTZFFOBBjPu3Tz5PR2Sbj
lyB5Z1tEDfYyLwWEVdo4BtDaPLlSN2+SrC/8/QLLQdJWcADmlrN3PWLIr4Z5V4VVcUhFlz1aomlv
A1Hi/Z+YnW9yPTE2nEanJZhliM4opKIXSI3pfijb4MMfL7V5JJxv4G9fCVbCGwcLw8doqG+dUDs3
qkw29HKBVlglvBubrB/wZ/IBbW9N4FDiB1fCdcztMtA/IsXW35tW53u+TrMOBk5DETkoG7PUfXEa
6vSC8mVSdx3Swb4kXTO0QRGCg4r+fZvui3YcflIycU3oBAGx4cRTYyBE4hRFXDJH9ox6XfNqozZ7
wSiW0cbyGiwGkRbhC2UbUFGmNR2artI99jhdsN2ixtS+5yKo9+FUtyIyzDFR8ZKVxtbPvIA2/Sor
3EtU5YD3X8ah3lUB91uagcs3WMZ7j/x8hOdPoMtKDHa6dRvP+5Y0khiMULrfUCCCOAhwpN4OcSu8
VTDkfE7QCwKlWTzA/Gt31oyyyzF8YeTQFS+Og5x2ECL7aL2LTUJFHk98iFbtsaD3ikgwGRsyE3R0
KoGjIeNSvxasB4RD9uzbG9HBtdsHBFxAGcv7+VrmJYEIfufXm7QYCaj2Y5p6DHn3cqHAWbEelD8w
2A0h2BykUKGr26MOSSZy4rw/DJGYzv5i0UDL4J1hMeT4vxYEemyCKroBsxYfaBaTN0fzhp83GZEO
0DREGr0mCSYJV5aVkok86l0/2O0JnZC+irE3PuKfo02QzjvI4cmTFOG0ZaTc7Qw/G76kOt6FbRce
Ak+U3N+pBKsy8XwUDPZA1BS9vyOSyn6hd6WunLn9iRKl3aa9TqlP2/Z7GAFLpEB12iNcFI7rViYh
/Q3Eg9sLYyEL/eymLSAd5ih46DJVKHammRFaBQoiw6mBVjQt32FRZJBiMRwHjo4+c2fxLqCGcbwf
MoFMi1v8GClHkONmFdtxhmdpTezClKL6Y2BweS9DMx+IfwIGZXomdjK2d4FwUBbKcDcNFIjTYrtX
kQTTBjNnXOk+g7fSnGIvDRiiBm23LpeRg4KJg3WURc8Ij2jSaju+tfJZXqGbDd9pTDvPcvG6LUN8
jNLwWPuLjCQ6SOHVh6TsiF2Ap7bCtxuf0tweNtDEhw0t5uQqbjBCBppZQg0imF1vXo193x90tFRn
WAyQwBt3XDZ1lbqrGI1gsVIWzUji7xjAlxTejrfcGAfn4JCp5RHTijk3C6nWExx4hG+SvJWI2Lu2
zac7M9TjMaMn8dbQZ1oRjhs++62LoF/PgEhnheSQEKeefKI9ZsZpHVYR6G8aYUX5gBSqoJFU+scR
CAeZ8tkmXjANFH1g7WrHH38SxQo7IG/oUPKuWfYb02nnDNbkPJIDwhAF6Nw0inkt3dm+LjoHxIwf
kLCkC8WBv6jHXe1CO0HvyoEC9fGKhtfwgMiuSnfaVWZVdPRIssr6NfkYBkflPVEkLfu+ZeTO2OFl
9NFa2bbvbcexts8E1d03qb4GPDivlG3Rm2UF30dR9W7XSN7Qbk+OzlmAYvJN3A6UlTKbBDfedgL0
sXb60blpxz56qERUblUUoxsL3LNbowUIAwtJleMTfzv27fcohJegcEqt/Xm5Y7IW7IAD4WPykfy8
keY2bcmcmXfoHrAFBoKB9NqtLIKP67lqnqnLpntZpc6B0Lxor9OxWNssNjc07ZuV3VrhY8L3/abD
cdCbfCo0V8MvgVgYGg4oHch0VRt0p5HA7KzzYevXXBECuhZ1V5CXgGSdxet1SLT5QbZ7JBCIhxrc
O0OSYOdXcEA6s/yaUV6v4vQit1D9O3NlwoBnvaw68Ky7zNUkc3phi027eGDt3wgWnxteQnDrGVpR
CfXqmxROe0InTfO+x3RnzxchaREnuzRFxWj7Aa/xqK/0EkEqKnC7y5T5fGg9O8WI24VN/s5Hd7Ez
yCNy5rs2gsrIH3lyIautF+W2j9IXjyo17QGPG8GiaBwPHYiS0zQb91C2fX/soyxhle8rVOkeD8WA
k3NPUqq/Z0mxtpE2mBQb1KdzV8q7vinSTSWS6lsduGbbut42Qh18RWQboTUmrH+xIdFIpg1+WHwx
PMekeAC2mbzxpy4WPH+1AF2dabOAcoK3UBTevLOIUj6gZy6PY2p+1VLWp2mM7EfHDtsdUoW7VA/5
aV48b12HDm0227aGlyHP41/ekuttwr25benTHpXXRjsw2/ph8Yp4By/zU0MJubErK94VKUpFLNlI
2vOshzEyiGk/ZiiQe+yFSLnEfbvA7CENWe6WYJh2S+RBAY3duDpl0CzWwSTFznb6boWUc9lBp82v
YDUxMupKcHVrZslQKzwsM3KSxRWRoTmu844rEvpZsY+q0D66NOdX8Eaucrd/m/VUn6d6upmK2nx6
ZdNft41DuIRdTExpyeV2arMNI2PeHeN7yDjb4QgaYp/X1gvmGnT6/YJmFqFtdaqjkrCiBhRa3PsQ
UMzU3eBEoHd9YY0S8HSq5lI/uw2m9wpZ/aYNB/3ZVuPCzk1RQDsVFjMtN/KUJGvzJQjrRjVVfG8P
FfQb0firoJTWJUGiqDc0MoY72uSvzQz5trbA94FLX5dAdOqEdRsFQbMt+mmjawZiq6Fe9qivkJoy
mjXMcc5yYWgg0zS9p7D3NFaRCOYnJphV5QQSWXv1YjIr3TWq2g65+Kj89NCPdndkPs0sj0kcagIg
1YBM2YWdyT10qYfyG1ZmHyLtrz21m/15xjbVWMEprHEeSQfqg1M8DROegBaH94Yj1KZq42ZPKY/x
N0ZB7SdZtE+YV2OJRdCjS++DWNnoTZV4WBvB2zySbLRkywH9zfPcwZcxA7o4q38JMjncJcMCi1d/
CzuoDE5ifQRp/SKd/Fyl/mM8sEOlpX3LlB7+8k89BsMecSPhsqBbyBdMVgQeojtQ16lnny25YPhV
vbkutHWteYLQqIb5PhodRiiTynYxMn92KQSnzbB3/LZ8XZxPWnHFLpAt4Inxwu1tG3Qs3mxxA036
1MMIZhWrnvUSvEDg5X/te95E36fau07s4psrvQ7arMuAsNCMdcvkOZEhOO/yCXv3t0q2R4a3xdqD
HuX4OT+7xJnhNwNzN2bnqy6DfS0tmEuuR/8iaSXGpbHdjX7xkPFWHRl3/KDtcPTHeWMFLUgg/A9d
OxD/nSXRAYL0cFuFsXc7N8r87IoipGlGAlxklSccuv5uiMZlX47RD9T8HMw57j91lzjiyyGfV9by
/I9ksZtdadw14QDeTpMceprzAp0g4bmXUsoHBOYgbUlw7OIPqbJNYKMmCKvqLF0mGqaaqFUaMgKc
ckRlHnNEMGOac6q3qGH4whm8NZYCOFaB61YY5rjfnFvr1Wipx8AHeOKM6dqX+vtQLjvTUecTyEMi
Xo7UzYtY80G7rlsnfEhgWzlZ9NrN4LgQ/0CH4b7HViMYXBb6mCQL4HO3ehadi6MadBg+uuYtsyH7
4TBoVmn9Q1nuq1+IDuQ/e/bcGG6azl8a6fR3czGULxPNUIiaXnHQqMIOREDXW9yG86ohFfw9Hfpu
n7gJPkYaIidVXSZYqrU2bTlS2yr9vWIcsQdZyjcVSIBJL7n1bGK8kUCh73WK/peaE+eWySTVne+Q
dYYyZGcx7cAhLc4VZ5Yd/u3gNFYRxRGmQU/qO91xwPCaoH1LGsvbV0nU72mxPLY98YBRg61miMlv
K7tb01pIKFk7ti6JjOeaoHiK/olzc4qo/sJrY0CFfX8nkElS/etXJ0dyQQKz2MlUi20cdaggR396
khaJN6rCnTlq9Acx09GPiS91UloVG3/ilkq7bw4ysfo9+624ATqBwQZ72qlsD9W8ZFu/Qqkp5hZA
IgP8c04Gx4vBAf4SQNyMJlvi2iASISG97hWLW3eo7Mx6bJpB/xh5tu86jTgAi0xDUJJj7ZsuGfYT
XPH1iBznxuvhUbu0cTYIiNVKtKTVX3ArfEdjG/UsLqZJGMNESJMWAwyPHt+6cAyadugm/dGUhAug
WP82t5SK6FfzD7DE1TZt7RksHaVQd5E7hYjH6FXDTcgzgZuhrTzmd75/Ai48f+sXRqZoyLYFr+8O
XXVPmHrmbMcMoY4u4+kuZXpMtZg3J6WSYYP36j6hEQXPgTu+gJY+yMGzdxO9lBxiVb+vpUnP7qT1
MRPFtgrHaRfyonOWQu6JOWVABK6pKxkYn8ORVE/G/glcL3tE/xAlx2a5WMYnkPZl0XlXfM687dM8
2S+eHA64bINTFIDbMn3NrDWlmucA9jga6XzPK0Td/tR9TqEzvtl5zKR5Kc4tadmvBLR/chzXD+HY
FmgftYUkxOrNzs71cGUJ8yyl98rHmlMF8TLxe3drEsph487zWke03CSeC8ON0gmAG4veUIXufFv2
gl5Qadl0HVN/HQcVj09dNxBf6yjecehzX/uYeTWPYEO8PNt0xAx3FVQ95lR8Yt16zsiSoldRPTfW
GMJmSbDn54nzkA6puJNt62wToAkzUrdU3+Uy/NEW4Kjox/nrxsIDVLpNjSVoQZwRKgbxTa+uc1Np
+J1tvvXDCenchIanaSMfd0Rd7i20s2tE59UKend6mhNUNWDxakW0BebYrFq+j8Yli32J57ek1kjS
s0zT4fB/MEmFWE4I1tqFUbBlfNvcFg7ws3yYU6K5OWkFZCQfefzuASA35GBUcXsARQPeYKiwD0NM
uMLEnAIAQpO6XBVTD+bW7Z3hfs6E+zlkYytPFlKS/TBiNls7/qLeMFILKF6jmrwtvO30F44GrSC6
kCN4ncTd/LQAOlTrQhDEtQ2sqXM3bq6Lt9GHPI+2kJPe0i1PQsbIUoaC3XHO3Q1Tk0fgVKyZoc4/
CNtNduj8p00wkXArKggguQHBGuUV6fTDTVDa+lQo9As1YHceQ7tYzpUucRzBhuZbqMWgjWP4vWLQ
W7/wQfqZGOb6Lb+snWRu39TE1u4yADZEpYX2DptVwjIXdNU3UBXOqfNKuV1crI0bt26jgw0n53ls
5+Uxj4b2Kc0d9yzKUAD1cMVKQGCHSZbRZTdFA1SiCSfNR6f9huh04FWAMVkTL/6gFZbeoERkiAs7
VqO1TRFJwgBMrAtzH8d7q8D+MWvOo02esxlg/OitBqmVKRhYj807gnXpXe5J/qRYf276Muh/6sqz
yhWxMdW+51IH1+zfpOymUj9EnmH1yh/8IISdBT9l7dG/XAHyiM+j19+5MZIWOjmA6gG7rjA43NBw
xxUekTM5XMi0zBF2aGiZ/Of4atWAsS7NmnXvEzBtWdgnp9yD1R62+dlDy3SBerwo0FfJJskdiwNC
47/7HKUO4YC0Qmt0kmOIfE+RRvzAkTLi/S+zfYlleQtKjJ+qS97Gmd1Pev20texLJucyfi4GC181
DcuqXsaXfk4O7dihuqlmdKJBJO6MrMzWCUGHVP0FBZOiE61I8F3PSQ75PUixDlX9FnnmKXJxV695
WuwNeP5yS1enPyuTyR9TrQgTKLOytKnBZ7XvtBjgXoumu3KV7vdKeRZWTS2CT8QPUN1m2bzS/mju
q8B0D/EYdG9BGGQEIBjOxbTudvag1S21HNijNg52JW/fRgzyZ5fE+hAu9nTrLfESrfDGRT/owVLh
0y9vrionxgxN2A6K4sFAPt/hJLPyLU5nQAN5HXbdr9wV9rTFG7uIjT+CrMKXVCFXME4TPrOXAh5M
nIJuljf3HIPzOtLLsQtnwDOouxipAtIh3lYR1+Tl2XPuD9HWToL22sT+CJ/nMnGJUuv73ECsQwa3
LS6BS6YfzYM3Ni6BJ6TE0RZR/KdNSPvC0NHzFFKtXUgtG6JdaMFeNjnLdCJh2zGzXFe62iBdGW6j
otgA/jEo+rMtJ6Bo3QCu7Rf9XHVT+FxNI8m1JsYdj+4LVoyyl7eyml4XAyzO7XK5w0FBnh3w76Dp
4nU9k0ob1/SEGOgc4yK1XsxopZsQ7uul7Y61K1nIrY0mDG+JC2iAUxewwQx0d8hhdnAtGi+Jdo5U
sAPqbF0S0i46dsVVbYLG0NoZ0TfqgGAnF58xwmkL6dSKqYp1Q1DyXO8E4Q05ETVh8ohg1bui6KuP
MvNBZ6dJ8+gPM0HMqvNtA26OrIQ1DQ+yr5dednfGwdjKAub4TyJu2oPOYw6RmtNKvXEiV58wOQmI
FuLCPw8MEKuYtqYYlf/G91p2aNFAJbS9V784y4AcihNLgXYsxlBjL63zOcuWohfjSrhB/Agng85i
8xzMl8USCSAt5NyJnF+unyMxG7Ep7jNmCGxv9EteUUipt25O1LXO5vqM/1c9MPhUR186zrPwQABs
fM9KMqpqd0RTW5jw2zAH9cXiU1ZHFMIdiV2uSGmn+TTteq/k3coGjBUbC5zVT3RZzjMqY/ECl5H8
CFXhJuhCU97iyEf2rDHEgzwm0vwTh6E4RhOyWsFk5DEtvSgG4mkZ9p3a/z4rV90iLC9+FGqJ6JjG
8W0/1S46HQe1renj8j2DxXZqSveivh1D2hCFxYEJ7ake1iEur8cQp1eDwdu13w0yq8OouwFIVJD4
d7mI6EYErYnvrMWlt5tYO0k2xYsghfNXXcn6hSFS9FrGZf3N4t3fWoYrn3E5cyxGihCxKl1eia9O
3ipsxgQaplH3TWrLf6cL7H4vwCqvB/BtMILRTLuGEn5x0PdUPCKnBggjW0qdbUsE8L/kEoxri77N
uhIuATFotMv13FbOi4V46ehMYj7rcQy/ZeiZ1kKZGollkJ582syE3Vhds2tqHb0vNFl4Aeqi/RZU
XXQCveRTVC8FhGMKQCRxpUl28eA9sXlVP4eqr+/w5pC3LqmCVp6ncZGlFEF2bn1PafcgxEdGQe9G
oK0FrrEHbJjdoONA6MayDzQYkdkd47KOU15Mv8tLC4qSSpbN42xGHa7yucD3NJPpjRXSZGfZjcXR
HefgeOFunFKUW59kPDIYrGETEP1kQ/hcySAtnkw4CrHBBF+fWTAIP3FT7pxsZl3vOSZPJNXIllM0
Dv7sglos0JSiQZUfdqbHexrW450QUfvoIbD96bV9ca5ElcMuiAC2ul5wjroG/birLFC09uD88rAk
/ERyOcJNHur+W4X05C3TGqhb4Sho0EF6kVDOo+tCsa9g/vOohpuEAemT8VoyvYPag5XiRkY8WLpz
X2JVlp9VDMsxpCtaGSqSYcYpivcvBkrqkOF0h4Z/fi9hfqi1pnfaU09h3Ve03peD6WjreeFgyF4f
Jy5y3wwUGJbfLOKUJeS9ASomZW6F1TS9mafOwzDE1JU1Iq6CnQNa/Qo7gVabnH7FblyId0X2N5TF
WgZsNhLLXwiZ0hLnoXUhRPBIyBvRKxp2qutALfgqfu/BO+SbWJs3MDxNtikV6TpDqeuHhBsV7NzA
uM+GAeG8FWWrPimNXMJuSRX6yND70lwpGpUdiLB3KKRQdM47nubM7PEzXzqDKAn9NXED/neMRD42
LEr+qxjU+7PfXXa20B/38WLRtbewgZ5iNf8gsGxZMTm+BJ05Ne8JNRLfgGGCLX3MNWy59LEn5jjQ
Woql+NTxGNGyJP4p8WekIrZ97XW0MNkLXO3vHbhRyQbv5iTJNNIMPBx+48nuhqEnTZSMgG0TOxiM
elvVOEWSlNaZgTEdGbc4KpccpHURd8LeKBTM27KI2g+UoDO7rmuz/TO6ma/y3CrWYuz8NyL12D6y
mMNbqaMyP+gidz6zohNXs3YrDrjLbO/ngRAqJx98UqUAtaBIrhnmBdVxjHsGZYph2p0f0s5kBtmz
m5jIfCxZQzBBIy39ivu1BONANVEn4OQHO7zyLDc8Zait7sbFAYzH1zYXu5g+z3NvbZjVcsaf853r
Q82wmPbtOdvUcPAc0/xqg8FJVmGRASsJvNuCue9exm38lJTA5tfSWNMBUnwy7JjbJ7vKuO9eLeYH
C6LFh3XJhYSCcI21uf7sPSd7dhRRW4dlrEOav4TdQz5AVQnN8qZoaushtuTfCTH+KHkJhYsKio1b
4uJ3L/KJ3ygW4HOrpkna4HKmZ3jKiflO+Sgti65J2bcpVW8H28qeSYtiK/1rwYT7Z3IJJChMQYFy
Ibz5ou9ZpAXlI5yC/exDKg79Rh8GbZgiCMb2qMsFiIOErbUW2fA5Lmwpuu/LXTPk9qrnzuYN9oog
KGl2NoTWFxUDpgpJ/W6kjGfeLO27Kh4d2jKlTxIjO+py0L5bn0Y3Qxlt0KXiRV+NHr1BB6VWse7H
HBM9XltQrwVoO8xqcl9OubVKUQdt/Av3qddQ5MXoPU09hwNvnO27NvU/MvKf15YaugOZGoi8ahBV
Kw5jah9NIDH++tLJP8oIwaKJEG6aI+kOqi8itpJHicvnUq2joeTcIO5cd5prfH3zsbKRLI0z2gyi
ktmV5n6+Sk0/78JiSxVw0RiMckN8dYgsORlIpO5Lf0vC4HAEs5qs68m6mgSY9KDIKYCdLDtUhB78
jTDnIiT9orYKQ4+BlhvwK/qci3LuN49eyl7SDKEO90I3UC2rcFhIDVim5Gqxugd7GsjYZHMmeMMk
J1js/U8mXv1Ri4taj4abZ1cEXJsRI2KFbuOvL/AfZXv8cC4Jt2DpQpSpX65vTA/Pt30CsnObRhWj
yDi8xn+u/+ZjLlS8P1yE0EXxyCvA0m5/+ZyGgbFroibcM/6c4YpKZR1GCGKbaSr8H5IDPGtk3qwr
mxRUACv+Q0oROm1ojIOs62R4i/UpRzbDy9J4VXmLsR4STx4tyKhT8dR0uXn560tjf702rNfChl+O
dBL4BwvH728cOe0LDQmevcFIFoVFVt5aCZqDwDkwsXEMeQnz21qkNaCCCxKhlGKdDEVymgke2SBm
mD+9LJyu//lz/VcO2d8AHAEo8lT9xxrt/0UohX7/M4Djv/7N/8tvVL4XKkKV/5n5/O8qbeX/Q/mI
9Hw7pBvNH+IZ/TeVth3+w/Z5SYRtKztQvOGm7rsEGa38B0ck5Kj853we7/C//89/+R010Xz5599G
gNqXfeB3ukw+wvZDzJEBvR4Mnb9/4HxTWAPyNpyrzBnNIzbtAOejVTUbpvD+rauSgK4NMLtdJSai
+dCHbYsu9v5GZMur/3XZ5cdQqGw55VIHONC5f/+TCG/wIVuF2BhsY17yAKdt5IekqcalfOrzNLye
fE41uFFIlgKOVffMqEOLuJbJO/CvwCjZOUJqWjTfvYRBTZWkM9AjP8VCE0feneiItVnAW2xog/c3
CTx3AsVaUnbd1pL3iYHzlULbODLc0GurtZZuPcVFtLU0qi3HUzNZBpznE9HTrZaukrvO9wgtC+bw
yu8BHdBIAGCc8ecvcpjJPmJtBd9iVZLNw70pU8c6BD6s+dViOuddeKI4e05BwnLXFjQGJtFeTX5H
EhPOIcLJlk+63d4T7Ql0VLMz4KQbzR1HDyxgyARSWktj/aNTgTn2/qBvE7cjF7Nm0uEnsPH90O3u
YmQZG5dEgK3InFNRN4cpJSm37P34ecZd2SJd4vDoolt5s3uGa7Uv5DOMWWvX04g5Zv+btTPZjVxZ
t/OrGB6bBySDESQB24NMZp+pTPVSTQiVSsW+b4Lk0/vLew5wfT0wrgFjT/ZGlaQtKZPxx7/W+lbJ
Ib+Mwj431Dtv+SvmbnJDenupft2zc/bPkSH0AcySFbRzTuY0msHWNcNp7o17bZwTbWrd1Bt3aLhP
Qn8QW3hCOBV6BySXVP2LBFDC2uXeyEvj0zM8ZfnhLvAX2hmmi2hNQMKdWPjWGgo08BoVROUuEQ3g
L4OejHetmxEl625dgnuKCZU4YXPHCAtymX+aIgXBUmTlo1N4QDtDZQwXXRftMYkEXZyKDP2kL07c
7EHTnSjzVNtoonluNN2rKwDvrkyksvWCPGMXGCcN2VIpkpWcYII5s+sUt0UquPdE74MyXLJ1xxWx
U90tHxIAxHHYsJrtykAXLSbIkdm/7hHI6izrP5I06ndlRwPpEgEdheZk/HaXZtp4Yzk/FFzHAl/z
eqKZo90yeGebGlHp/m/qT4SPa6dxErwzsEDaIZY7XyJHl3zNyno0J4AftMFMV7MmFtbURJv1UtPy
6pfXJM9blMJh2dVR3z9i/FC4P5zl0SFHuGkWcnuFQBIcETFuUJzLK/Em+jxp49xQFKUOcUOiX8ZN
FLTlvcfV7e/VLHX9lpdwN+mHpTkqp1uj9Iu/0DWjDdnN4iV0XAjkM3dEPgczVdyo/Tj5y3kCmnao
ZO/tSlYcG1HOPleJwiWTawAKb/GtUtUQ1kFL8cq+7Q1vA6MCx4jL2N8RLm/BieFKJPqlFO817pqB
UU/MpiVF1uSXcoFsQl3OICZ1TTpDPI2TXptl9zDVy8K6u5IXr3LmHWTTMXBGZV0iL776PGQ2TFhX
c+BqGdOiHpnlcMLEmnzPVRv/RXUb1n7ek3akiu88WxpohCvIwfLU34shV0cyWGAYtQO2tBzl1nBd
de34374v38KniD3Wl13fNyxpL/c9Rrrv1smbJ57M3iF3q/aX3QysSVyYT36kCkrDkgGotXQilR3I
ZmLYl9SrhOz/Z7RaBOIADw4Mgq5uwJjGmd7Kzvfqh3I0NRUVOBQvg66jIIYZuE0jKnhwwRBuDO9N
qUBu3T6wG1MwMw4jepUlNANjEkIsM8Ir/U/UQ9rSp0usju8NzsT7e/lZWN7waNgVli1Yq+1bB+6B
WGcYXVXfFpRgqfESAj3Y8kyjw2seyiOJ0PgTZi2xaS+i5piRGbbuhBsLqg3oAzYlVPGe4zqTR5c9
iLNhU/0zZyqLDnVZUvg79OXRo2Ltw0l86u1S9m8rdplkNBjsd6B1J/atgAf+JlUGWD1c2v6v23nd
KgTN8VFY/rCvVXUtY+O9mXS3L0FHEo5XeG/LBD9gnbNMWc3KR8Y3F+cTxx87DIXS+OEULT1IKbVq
PkvVQ6gTbz0XrC5j9sEgBuxwwtXRhPmNbCmX2yLUznRQ6Tz657oIrexHGbIbnsBeOM9RXYlp29dG
/dXxVvgKQ7t8q3LKpJpIUT8cVhzQG6vlqxX+ol9rPG0Gh1TI2mccP7LCN06zJ6cQJ/XcrpW644Nl
z4bSTIQWaxQzcYzqVjzR2154aMplt8Zrqf5asy2fOAo7OqfcNE8f+66rDj1X8eehbRgJqKWGs2Q1
QGDHwm/+RkUnzE0M8Oid6KP4htU6H1huSfiSozopclU/2IFJlIS2me4Nz5LnMHWAMhiNxgMXS3Up
J36qWZa7Ozy+aFqd0ShALKoBn6yaJ4en9TOc4WaPaXLcRl1kyy34AQ+EiuNNF7GENLXIhHYc6A5b
7YCp79G53sge5N61s0I3PY4ZnLXRO+EKoXrUAaVpomig7vtmY75Xfpt8apkO9qqtkwVbJhsVsUlo
X/qlTAzy1xSD4n0PX7JB63LPpFTIwL242L71aJXYRgyLPrhYS/0BNB+4nKHFc9VbOGKsTm5tMVVo
Fkb0Ct+AfmirY4JXI5+CWUungSjbMcinRO+ayu5PlovVjSnNeJSzXdFwPcBF1Uv14yaTvYXlZuA/
jZAW28nCGpOlTUmatszInmaF3W9orLGJ88djQVa4qFiOWHoINMhLErbT79g1dFC1c/yOP6m7EDcu
1kYc0xWEfLQe+QGvl5Hzs0gb6oommuyLabkO8E+CtiE6sRZmYTCLeTv6chDkyyIrILdmYdVPpzqE
gkzrl6Yvze1o6jx2VRofGWeqgA0MYFzGBvXidAOSIiJDqdmJuNYta9i+4t3ipbBUKLdpK9onPmor
U1DLLTi6eY1CRROX6Z501M1wWueowNXAdrAO1bIKUzkfrNTutwR0I44j4W/L5h6bYLO7I+wfXcdl
ltve4TXqkCE/KwP1IonoOsf3VTs/uEjuSFJlDl+hhIApsqPtfrSjFuzYxpDaSTC5v5kvq21vUYXB
FmQe3w3CE7e8Ba4t6CLNgpz77kNlcFjuZnNQ9+I5f+cZd69x5ue7FOMi/bOR2kkzoYeyVGPzQA9B
DNNusFbWUBBQDE1rhrZqYresqkVeFMLvLYbSSXgAuvApyfzsZRxQl2wQLzs5dvkh7eCkwXoR3Sat
q/lntAtayyIq0t69nnIPOCFAhP20cwGymgIqu7ZERYCBuvZpM5WdmYYrObYctaN04wPAqISioxpk
aRgWOPUn7RzoYa63qmnLc+kO5kOq3cZmvs3eJhAV9nGMRgM6iuWGez8Mm3yfgoY4e7Y33HUkcoAm
4odi1bUfWQv+HkgW3xxtd8zV3Ww+87Sh6nSJh6EO4gk9FajzphjD8ZixGACosxVulm8YevAEhmV0
ZqfUrUANG1+LDvtuNwJ5PHpp+tUI+jIbFn0UYi52/jOULn08PBU5/WENr9rJ4fYwzOEcoISWFzfH
3d4Zo/nGisu/ccA1p8rUACd8o9+ajj1snYkseUpY/S8NF/kGQJ17xRRvM0C7A+ZMTZPPlNTGm6Go
QaH6N0Sx9OvS3GXodYB6ZPO0aMUGf+pt8dCGVLsm/jJ9waoLH1lvOyw1DdJ+gI5XhYX+POTdT+uA
xyV20QSutGpOTvpADUl+TVr6IWwZCmBInAS/oU06Z+5mJLX/Wtuus1EcNKu8xj5bJKF7meM8frOG
9qGxFUEJVNddjuEH1YbLzbmVUXZSWevyILHzYV9xxwj8iOyaiU3w0ZkkMkpenvIqf1V28WOE3rUf
sdNlVgzSc8oAD8Wlhj7hcTKl3bpy2Zor2CbXvGmK73Fuh2vF9AVcK4zO8ZLFe+VFmLqs3/TrQo3r
nW0m0JhAQeyF4cTcpRYd4G4pthYHErQK4F4pWPJor5KBLAq18VV8mBJ5jGeF/TI6ZUuiLpEbWaeS
piScxALY51JLkhYWrX8TIA5PNxEFraN+qXkzbR1wCJh52ZabTZYEeGOzR1RjEApt5Jy8fnAeHavw
jqNZj5sedGTgGhCTQ97tp2GGjLISVWsxgpbm/WXIgoZurI0xtTm0yWkf5kqB9UyOXtYDuyHs68U7
0x15Tc9rXco8YOpIjmFhwcO30+nU2tIMoHtX3LMo5KKDjv7p1EiJ/zsSJkyRtQ4lO9PeSZp9YzJD
LM7o4dVjqx/hYz6ES8HzD5DUmxWyy17HxWzccSrGKY4a/8NEPd+BY7HeW8i7a7+J8mONnTGwIDZf
ckM6G6npD1zoA/hF1E+8K3epn5iAMQWFyfiWlWF1EGVtPFnjIJ+ypcl4VoKvXzkE5M5tn8YX6HHL
xmRo+7Ygfh88qwbl6PTVHzJNuEkd6I0NgL8ilMFshr/NibNPzGuApJL6ReOlSQfjZM+4Smo6uvfG
nLsHnJw+GBLtP9+JhAGuJIphLAbY0S0FDeBsjaVbn7G/Y6sF7KiA8MXC4RZpFk/pOGXMCWX7ZakS
ZK0BaAZd1Dh0wt5D7zCOpkgQ8izdP/Q0pYK3yJ4k/HnpYUW0nfahst8bskxDZmKm9LZ2rz6zWF9L
bVr7LJ6ePR+zr1HQh9Dic7Pux5KKkISqcc1o+N5G/geehsAek6+WxcY6b+El4TeLn9JpoKywh1zG
MVOenUzbvI7b6uB72ckjZwxmw1lOqo2NjSs9mtUyb+fM1AJkaZzvQ7NMDhq++06Mw7Mp6H1DlB/X
ds4FD1MOzgXJGH4gI6v2CwUG3xRB3Tl8brqsE8IdQTrwjMQUt4+rVATEyGAQ+WDmqswNT1MuqW6C
DbP3LW76gEFSvM/IzrQXuMHSeeMBAQl8lHuwhvhkFSR2BeosgFn5Wtduf0YWEa9J6mAdb0dq5aQ9
czBiHCoIT4W0w629dJBbdNb6DQddHniCK8qiUBaAn9SnuCIjhYB3u4OA0hk6tQcgOLbTY180P+Uk
2ws2Q1xMkWeWGx7wR7P2gqa1ii0rpvqQetndxjsB1Mra+bKgt1JSapvfgu+P1NoAlMQtp7u+79Gr
l3rebRpKuQ0J5QWlS/okyms6ryZzq8Z+PYgQLwqkH6EM82kM044bzuTPj4VJ2B9Th2q3PSiYnU5K
vMb0ihzMDHo4lE0f1xcAxlXdynNROg4RKqXP7hx651FUgNLxhC5YGQRW6Q6oju8/45oLkljcqBg7
IOT9Rn77maMWmpFZVwzidkPOXSosep3VVluOTYMAFuAA9t3mpjIKDaV4tLhlkxTl5KKcVu4t5Btk
0kATXVtxD997XsUbyi02nLY/StsPgO39Xecue2lYJ+nhnGLW2jbj+DnYOmrXkxDZoeE4eCZ1Pz+I
MP4chA3kjOSDSHx5LdKp/zKkqPf8OX2LjC0uF4iDaLiNMaIYz9g8L5Vogjplo467Up0bG/RZKu0P
HuBYtc1GkmcsrMBANg282XorXCTvVHktJmp6WGnQbfEIz1X/QybShpIz0T9Hi+YqGzzs0YXCBmIf
VJwcCgD6sS5eGpUwXlIVmzQ0LTUc4NsipJWhEDtq7j+M2nN492CUSvTdqZ47ef/MJZuaBie5pOGI
Jdfqb7rNGfVEEt/iTrymFW5Kd6KTxcpN5kUy7FvXwkNOAJCGy4SEVELeZFKW8zAR+QInRPAqawlU
kGja2J25Ue09yAUR7OhkZ8M3T7VOEt6O5fOQ4vgey2NI0d8ebQl0mT9BuB8GPxgq+lhBaU8fftkf
0wXuXc6FY1XUE1bhfNohLQJOzpGrDklPOQoodos4Y0yjSQezrVnG6FeUWVDTXfHFlf9FoMxpbA5I
zc0flz3XC5mf6mAx+h5iNkMbTHRnQ+VcqNXd3TS53t6xSfKVerhGBeuWYajqN2GRvgA1jscpMTyx
seo6XZU9ka+mnuuz7bIx49oQbkf8Bs/gtECsm8t0oTWbcrHUVs1BqXTA+jMRaEK/MNyiBJeZTvyi
cJ7Vdgj20HZnf9XUInkd5eQ88Drb2CRWZxV25zSELFylJluvw5LaHp7oqQMx6xgH1FnwYhj0sKgt
7ne9hN2ekPWzH6bPhV3FO7dK613rUx4LCbQOGtneBgE+DjonIHvIGYERYnWP7h2YOAINlq8YZ+y8
fiJTRY8tc8JMvgv+GMyyw1IjKjVaf8pqnFgdtPFBJZFzyU34CtEYYzdM86wG4BjxO9vrSXhnN6ol
NgxXwYiUKX+PmrwxiMuYDVUj/7isulYd0c0bEKXpMe2iBqDWfR8O5EWzScXhZdvRe7bIDEptVR7x
i0xUayZpSFVc2OGMC2fgexrs6C9oyXTiZEJuqc1BAo6zgVZvTuRkMVvgYi6CPs+FObcuvsTDeR7V
fCplaryFdk1KuObqsekMy3qB4Q/rzYYrj3uxKlL63RnJ3LC29qO2zBMdACWvzrJYiPvOyiVyRwNS
GJGA40Mo/LMpLOYub78R2pIHq1dgauOa0TF0urNuuTCVhjAJGEqiq6oSuwar/A4iNAOQpRprEwEC
B2pXF/LeER+0DH+Cxqp2lbKlOPuttJ+Hwo6O+WzbLzz4y+ugRIyzqMFUZLZNs7PTQjTbySTXSkMC
Vfdc/muOPndZz06Drw8zD5uwarbjL0/xvMCyobNXNHd63+lWdmdd3tKmUmtrcn5C3xS/Tci5cQA2
IfwT5knxwhjymfoSo1/WPtpD9wIzcgzG+8JrWPS+X+Z6C8W4O02TyctVsviiRm/cT8ZSftX3Ylyv
hjtPOMXcjFXPq4j1YBDN2XKDO4VL16TejnAIYNUlu7dFmA4LOkVyuahcYI5p/eCBAF3XzYRHNe5f
xxkfq2m374nVNOs2wfmBZUc9LH1EaZHRNb+cCK8iJUCu3gk5OM16cLBj1JKLTRS+xLHvH2iYZdwZ
yBl5w2lK0pQH3pQeZ9v9mzD+r0Ra9FReJSZPggmw3jh4wPvygsOkWzKw7b1VntUS3iDm3VQEBDJ2
vWkNJJFoTW9/k4njxSgTcZkKZuM2XcSpg8f4Naoo2oSV/8vvLW+vahAfTEnOeh5zhjBfUHBUhHl6
mEabuvbS4WpsHxOmptc0h01pW7z8SpdQ8zB5xp6LnSZInD/2iSI0iTBF1rU/WwzqndcT4VrYSlL5
tHQHPPrGw3ivauD38RLXii9Hf0JAES8NiYYawRBQJY+9nDqgeg1S+GosjXkG1EGyGKT50fIiLsVZ
5rMZUhkFCdOTZeMADVvCoq7W1tEOYQLihT/RwfBs8iZamVJv29EFeNvnL1WePszkRjEW1c499oiV
ZMnAL63lQJoUf12/tZlweBayGnU2vT/yTMYBXp38SvT0WppkYatZ01hiKR7IRKzq19k31B/yeWwt
K7JYDBb0zvrwzYFpj8EMRpZy0yXD+Mdj8dLHXXijlmY5zr3yQKVBz8jA8spIPaou9beD43+p1CIo
EJ09tt07RwIxbGfx6DMX0YBGVStAh6Ro3+Yh/ZBkEVd1V9P9RKDByB7DboyDBYHluSV2srYxwj8J
E/YxhrI+gCEVv0lMsnuoZ4w0U1cFZHdIdVtu0MS1s3G92tgVhLGj4XFCa7pEIKtxIi36q8C6FhLg
qxm7+5bdC94m4BylPFuDjS6Gyc3cYA8+RqPjBTThHAj+VmD/sNrtPDyp3FaYFkiBzRwnOK/KtQmJ
ipWjwj3VkGhYuYjyb2YT3wGnQy0PcInK37QfQW2rB7s680nTY+nNr73Hiio37G3F8+3izzntJAZJ
yO8lYzDjPNSPiV7GQ1SX2Cn9tjc/wHoYVFcU4rzwUn6bynwk5WqF9HgMcXfluQDfij6G/Bd2rfE7
dnvudSwN/BFRKMvkcupK8Ftsb53hTWLTuY7GxNt4zvgloDHp+AECeTqTvEgYM/Na+C9UbHSHeKoW
Hlf42z+16crXIbbiko5R9lRlJCsKaybHqZgG8W9HEqrdWuRAXldLVGi8c17i1Fgy3eQVuBxUZoND
co37L9lyo3b2Li0Dy0pVtc3fhaK69jM9fqRu+U2WzVgT1PvmWg7CskkIs5iN/Z0z8CG4LSysVkbK
SqQbTO802n3Ck6Lin2CAVHqZMVwxUpryA5sN7yX+2OwuhlDdb5Hbibvu7LDa1sMo8YWKaruMjjp4
YaQuqKzTwwDPhvUYmnCrdL+tk1w+DsrhiRa7ES+UxuW3N8RK3KuBAFagbqxJo/j3TRfFF50Y4bvJ
gcwx/lHXSpO9ObVPanKQIfOQJDbYCAOyR5pfekrAn9msxZRHFzSgjD75ZqMpeogF6p4TpFUuClw1
YRy0Qvm7Iok0bpzcbI6dkRevdu8TnmUru3enXFxz4Jfd2g09jRRNJ5BoFFOlY61NEZFea6dki6K4
A2Nb0lPifZWxGW29JkxvvPAbelH84VDZlX01x/jLp+0Mfzsz7WrQ46dTY/nsnKjZZM5yG7CfBHZd
+KvBXEAuxjbV6X2xBM38Qdd71pnUI9rVA4pgxcc31itmdYypWbvzE295o6fXhDULanVIB405xyI2
n7dHUUpuHe7S7rkFxttOUAs31PBR3EH9otUvnsm1Q9s2ifZeUo/l18QK7MnJQtrY0lI6L4hNyxbA
dfioS51se7pCPkM63yCCyHXmh9QWtm3xVtIUta4ynMdUPSePg/bFbpQqL9Zk1Yn6oKIo2lmX0Mee
H47cOrI0fYkHs39ybQSfjV3Qg77GiZOciFkxEkQejVOR4EyWeLvCRUzP05xZ+0QOBDYnnwsaiTIU
xAOccqTTu1P7flK7XDw27t28W2MIWNVWY76B74G9M3Qz25SRipDFsII00eOmkvULNzOmlN5pdx5R
pEuq03FbzDAB5sz+hf4WnhhE0nPONAnamAvNTM3USWJLXI8phSP0vI0Xsr/y3aWHp4hMvU0TMeME
7t19VtftqV6sZJsNnfkUa3vcITKw5uxrDcWcqaXZ9aUOn+NxUg+sK/lWUkRBtymdE9K0deOn6jAf
OHN9scJBrlHXqICoFtfGRlF7y7lcJpcy5rLId6gv3AFR3aYjVu5kDTCMVw+71JdocYarGOqbES1B
yTaPiGCvDk7uQhQ0laxOURmxjGtMcqoBssqwxZeareHq/W1Aa4AQU0gqbiWGPznWgW1v5OFeRHBP
CGrU9g5qsHUi5bPP6Qz6ykZsPBt/NDRBElkmb/x+f5GFSHcTSwSOLnR1ApwW17YpDFTafZhOGhPV
TYi/aismOu+wpmO5g35nBo4jjAE3/qA2OlNIii1NaPOCCdlryuGzn8V8S2fOx7px01UfczGAiHNy
y3skqCYikZHx0Mz/zRwnT31DmwtR305cAehiZ67IMmX+NtG8fiERvFq5zP4sRpHgaG/dPyhw/lkO
1jEZUlGvuG9Dr/Wg6wB1TaycRk6j+jAQZK+V1bRgj0qLV4VlBGYm6l/axwpMQ8OY2fS30OzMWRB/
swPl5mE34hrBzNhgDKKPzsMgh/A/HSogbLBQJsc8RQWEjCklWjIaWIjpbPgM26n95cfMG2tVjeaJ
7TOnzZhKzM0sK7kmOBqDtLbSPZ4dSFLV0LyzGPoki/NbT37OMa7aV2HH+SFpwE2sOE6TD4v7J2Ft
E1lnMM2Z8AVzOneNjtsUmKzM484Cq4M0K6Tz8tGb6Q0JS09d+6JwN3ad6/1SZuOyZtPXb60uqpwt
5DA8GRrrHTwl3RvrORfrf7vgZKwltovbPqJ4EZdMKostRtRNe8+wfaQMw4MHNtmPlWOOZ7g3hAR5
Hj1h8jDWC5t+2nqm6ZbLyAEA2UcfcV+KV3D2GV6HeyusAMINBskZd91w348Tu7To9dTsncy28BC8
eirl2iyoEtLjKzfiJEhgvRerEVQ5ba1R0FMTR1MqJa19aWPyKRdFI1rluWmgKOnceG73N7WSPuir
sIGIlmJnaLN82djCenHZ7a8T06KElafpBn23OBu5fZMjPVgdgBbSdov7QDVPxX1/mn6PuWjIyXja
ewQwS/wP8IP/YCZW8YRI6z/jxJxuCNh322VcnoxZoavRc3ZMW5cmgCiioFxAqXh2ZlTGWfQfHXvo
OweFNkFxj5DjpGl3HKX4XehguA528YQFLztPzFz71O9E4GjvjcxyHHQ0FjBKelP62uDXuWlKgqeV
OTjp29SQyKUGfMHclIz1uhbLpeUFsS7JatK9ObuHLs52caHjoyxIDxeh58EagWcc0ss9iMIjLDyX
B3YZ43qB0M87YtJHq8Y4s6Qt+83WdSnfBH7ygaUV1wcu43dDiSevDV/9qda3uI3IkIfc4uj+ioJC
yzgopvQxRieEpNDvaYTl/eP784mkLJvXfCof6IloScJlBwAJ+rF0E/YGXKLO/lzMGVXkSlxq18ew
b+lvrwP4Zs6nKEIw8gx5LJsC0Yba1GGfhpP5EbcNcQIiyTvpOMWrRVcRhfBo0ocyLY9WpYYTOwE8
IY6cgoRC8TfyAsvFo9doxTW5AfOHUA2pTeERx6/UrBul8y3m/HQPng5bB9CSNWyUeqvJ7hQcXzNp
vjpCl40dM3/kMT3md0l+2nByVFs0SfM02ONPDaJqV3eR3BOYYrWH+79+4LklyT6L+YifAB+4H00v
Yx9ND/DEiHIP3vKExTLfLEnISsq3yqeG4eJJ97O9iWB2fgJboD8jHqbxNBXUy5Hi9f6qSYRvY5dN
K7gUnPVeGjYZ7/yF4olE+u8kfGbCqxVbg7gy6A6yaWcrZXxItawORezaj1aikgdRdizKlxgYvK9F
f2M3EH/nlKdApqshhwsWkdgdLHWaVeeQctcTz7OlY2s4SdpXZx82BFwkfFsJeoJ0/O8m9J0jg0r0
zZKQGSK9r6JEkz4mXMILLgIDxRT9x30V9G4SQYEPX5n95xIq+43tRvKJP225stsQm8gPjc3S+ulP
bDjWEw1DKAdhlb9ABYs3yAJc7++JZOHX7rM0AQ7FQ0NdBX2CT2OEfA7GC+heH6fZ38oS43PJ8Yow
M4fXxm8kXAlagPdFnzpArsPwOBRCbOktQ1UgrG7e8nzWn6xZ1AXJKt94lTfAGNV016MYOM/FwAXc
qObsGYDO77RrITq1nJ9DHh5hu0OGF7K9Rs1kfclyZK2Y8Z5ZlYCuORMTA2MQTbd9s9gHKErAVJRB
mcmCXLyy9dAGpBbq7dKyyKhTHwSob1t/7dQLTzh06pLkDz0LdEQM8U0xHGwR44DkVbwP6a4ueNly
1efqzLYANcp+0lUXPqW+X22IQdcvZZg8c7oy80ju0hy/Yt8WrouWFmenLsunV6VjggI9jEDHyHs0
a8bagBk5e/fTGipLY4Txx0hQOL3nXDRrB/bbC74aHlGJkW1dUzinzlbLV1knaufFqHddX4i1z5Vz
7adUjKDuzM9sw/q9lO7d3Xffvdfm0P3FXDOvvSqSz0tjLQdqxOC62nO34tLlH+tMK3YaKDG8VZtV
7xSa9UlHoy26Kjh8bHkJL0sU7GJ6GJP+kZ6PHmdcP24HgGFb3GTMnFFi7Eqkm+dupFQgGju5Nx0a
U9adZ2nJpRIS/2Io6kDapaTgl5+BcjqxTXJVHapRhw9tOrRXEmwZxQr8/0eU77HLd4Gisn384YFj
XMZwpnhI5YZnrGSe8wz6b3jF0jS185lEr5YW+Np75K4KoVSE+WdOLx8SCpbhV5Wjf0jcV7exDNNf
md+ND1IgurCnxQwLRTTniZSW/yTB/v+2y+9+qoev4qf77/dP/F0RJcTx0f/P//ifuLn/9XWDr/7r
P/wHA1PSz49E9uenn27I+dB/GsHvf/M/+4f/5ec/QyvHt+7+X43wEK+K/x1T/s8P+BelXP3DtITN
kYCzW1ETgKde/3T9//ivnv8PXPF8boUv17H/7U/+nVJOq4UEMK/4YMjBWOP/5YC3nX9YcLR9+Pmu
lAAvrP8XC7yy7qGKf/fAew55a8z5FATZvuvwtf4PD3wVu9okCyz2YQzqfkXaP7Y2gxUKymoqjJa8
jZb85iVhHOPQEl65xpbQc0vt03uNce+OHXtK020hDvUW0E+TfhpRyIHaCmMIE7zbDsZvvx03tmU5
PzPZU4pmOcWPjswHCHfsMtZwbZODKqNNSrXNzUlK+9Fnq0T+dVZcLo2SUkg/OXRRiCZtO8+eU3dr
foLzzqytNqgwkV3w+Ww7squpAxoSZO+RROjarWkbWlq9QPhjK2HfH0hL61VblwUyyI3hzqzFXFE1
/iWMDOsBVGm0c5YYwFCSnGY7xy6ItQkDZOdvKyn+8CCVaz1237jAPJwu9BL2nVxWwxTOB3xI/ePi
+/qY0aXzx29oR8tnC06L1X+5k+HtTdekz2+gjkL7fE0vUT/h6FoPfTP9WQaEYZMSuJWTGg+qcdF0
lt/cww8GZZt9Eb5PjThxOz47jLL0JR8Lh+Lo2MQj6TbGt1N5ehtO4g8p0F3nYJTP1Ez3NvkteoFe
Iv/Og06gEMnsjm6I4BMQpX3PYzltetf9UKl5TltqODxKqckUr5Nhajb0yHuBNxh0A2qij3C8jkVR
zRgenR1OcS4deX/L2hohcqEgY+OQWdjr2vk9awO/R6vMR+o+7es83JOb5Cd/FR39tKtKjdG3HZLo
j1FPb9kAdwhHgvPdtoOxy4fGuxbUnZ6wLM9/W78fVzT+iIZb60QHfV3ocxtnV9Oqk79Oq7EHzLWg
ThTsVdFVPC6TvP9TZwM3CA/zRuMfM4xQayuyOCEXoxVXhvWQR613yyrXD7Ranry4esxcE7yWdm9L
keiDHPOEeiSAsPjgQ/uGU7oJEjl/0w81bT0j/0WV5njpXHUw7Hwhf0rQ98l1B0zyOJHIu3ks7hQ+
rrTW6IliWUPOmk995l4tw5FPfdR11tl1w9RHfCmtBqSnkSDROlkxbPuC2X9Ni3CEGcLPFYGFkW82
yGFC0N+mBk52pI4i3zhLWKBPJKniGybV+9R6HonfVBQdaksiIOrkajHN9TBSRsAxOZFAp/lrjrDX
xMCAXKsK3SDMQ43Yl1pc4SnqiKcVmWpUMMNJin4/UA3bU9VM8Rq8XCep3/8Xe2eyJDeSJulXaZk7
UgADYDAc5uL7FvvCYFwgDAaJfV8MwNP3BzKrk2TWFKdE+tIifUxhkh7h7rBFf9VPcfk1MVO2gjIR
6ChquZGZS+PPoAq2m4grNMECjAhnYDWZ3oGjAg0NjahRjB9rTpOpmxnl1yqlaZzXZVK0M9so89ch
irTkgBIUtBMHvgq3VPagDoYDhNZ9ZMuJKnAXiWPbIT5FuyA3VPteiiGihNxSRAesEmYADg7ffYWj
M30oNE+M3yXo92Gjpk0CY7VeETeJygPmKhBVYoC+sOZoSSuNW2YkfThO8WZ5qYGZw9kCXAifYFPx
hHSM3AUNZZiuwPO2BBm+6GCha8YRiQy8KrGV3soyyZPd3DuF2uY07oXXUVrw6aMJRfuFf91tQewz
hTalmu3NFHID3ud95FlHLIdd9rkG/RTvfC/F1iJy2lNWzmBxJPK9GA9aH937xQw7NJO8YF/B/bYw
Wn0oqghI9xSMjbuqGcNm1BNLQ4hXusmjq4JkzCddlKRNs2isr/qyxU8fqTk55iPnLYUq60YtWVTZ
Piad9xh144sqknHTFvX0Ubmw83CzZXd2YrHsxSGJkaLoHuBblLthaNXHUNScLe3OmV8tc37XssfY
aPbFc2A0C00DDgltOMAjurPk3wU3TJzbtVlC9ZBfumZI7b1vBLyjuOgWMyCA4xX1RfXN1GQ0T0cj
WLZQV53YlB5zkK0oikyfWbWfh84ZvZ2M6u4hyb3MvoeeTW1NRm3GBiFRcqQs6DWfmCeM1JdiRzxk
DjGOwSSu8ZB5Fq3AkunCSsdkRDeqceLHBgjS8MqFoGvgPKDKLiwV6M01pX8WuI8D15q3EamV3mm+
y9ZKMc/Dr1zNOytoMbqN7XBLxD++cQymm4M9jlfK7u+mFEZ9EMnkTnFj4lLKOdGYTQ9tLRs/towN
7yrD9MFVktl6bGn1uZuCJs9uB78s3wrbdQ/QgPUxGHLPwJOq8k8yiK07A/GLSULn34zdUj6MjU+9
hZx3AYthnSay4pLMaew+SNdBZ6uvKpvrSzX1+mvAmRLWGA2ZQCGMmsOsZ+CoF7aMoq1HXjr7GiuJ
2Zg+W/M6HciNlqUlP+TaSPYQwGhS98liZhcLdzyrwhRtFwLqYwmIJ1y3qS6+CE+VXwcc2S+6Fthe
ASX6wFBgHKyQdriMxyPXUKNk9BlmrZFfYRdwHnEE1vmlqEaV4ukpHfDx9FEnW9+M1Atoa8BbSeuP
+6QKSnGSVkoFldEMd+BZ1KNZFtmliNH8UGYD7ylrLPd17tlB4ukbfyGfwhc5GMzaRyskQDRluDPI
nG2U8OQhQBTfWqFrYSkU3XGgvIA6TUCsG7fXpsEaQX3YTiGn13j6JoeQlD+3TyOVQ9foIKieY9ii
M0nwCJi3DGz2y2hoqWkfakqXG5NgHfODKdtStVWe2m7sgb7aduveNcmQveRtyJeuDEN7MVIOgU3Z
r4/J3wd1y6wy6LsAHyogAm4gJvsf7CRZ3KHkGtONKxlK3BnmhIgODI07jIEgrsAegUzYVFyhwo3W
WZiuciPVhNkVt/R92PhueIkLWALrodDDnYUHJTw51eyaF50kMxN0KkcV0kR5D8wUqtGcGFN/H9Sx
Wz3DuFyPmNfxeiTorj6RiSLlkfeZnWPCJguTkvukG6D2H4Mxl3cJJxdUE5obYOLV8cFwZvvgu2qE
rxCLA/tZfmPP3LaR7tSeEBkjwQmJeWMk7XxpAwf6UsGU5Bxjla7XFV4GwHDt0HwelaRKD08Qxwfb
vG4nOp7iJrg3eeDXTRsH204ikrY0Qr0oq6/PdJuGT0kL6i6FiMQEupLhI4BzQlycbgo+4RKTzQQN
6IJCodI9nQ2Jf2DkqPhYq861YegQRrwVONVvFOZzbKaR/eTobqz3gJY0HWMyZVnOOynh3CX0Hhgq
sJ8ma4BMVE4THFl/6vuH0U50dbQIYp8iMYfvbHMslkGjkfQGHdnhIYtNKFTcPz5VVu6fJwSm29kp
b2vPGvct9hDaTKGtNsXsXjCyq03Ru+d6BrNYCKCAErL5Ki4C2uLc+RMbRvIQeiJ7r4Cf7Ou0tqCk
2kaKN6WhI52rTP0ehgVHMMhoQKOACYLyZIOqxshjTBw3ibU1W9vZ1ba3aED49Zo9M+owuHIj4npt
qdGI9Ui6IsWPuq67qfxctdPnrjbQ3DorhoNVmsKlrtTOsPAjTiW/xUP85sbzSzQe9k9hliQ3jg70
ng4yTNucKHNNHn+4A95+v0L9mC7+Oc3+/WKlnCXLLqTnYWP+OdI7zHlRBoGhj97YMH8mAJFQq1s7
3m+QDT+TNpbXWT5fC2KDyY2Q//z5dSzfEB12hf4490X/KVl2eNnN3AjCSQGrHI00/pLR1kknItRs
9ZtXF8u79fP9kYw2mA/HVx63219/zViHqUGyqjs6TVzt8G10D0LlckemduZL2mZ3qsZilBIu/JhO
JTIHp4nB9B9nThfOt2MGFJVsOXgUknP/PN6OXlkepV0jq5hmCAAvmTtUYYMqpZu2aViqSkhVyFqw
Hleu/z3u/1NK/MfP7e+/EDdhE/oAb6wS5MJ/fj9n3KiwEPvqOMdtiyeCqlugfWWszS05Y589PsyU
/Zv6rr+/qG1K06Hzg5Op9MxfvpMN2UNnQKHhRcP5Yns0becd2iHdA95Uf/rX38yfARnLN4YXAwrB
L8i/RGfVz79h6NuiAK7YHfUcG1u3Ee+ASHa5OXa/+a3+/ghgOOcYQpkaIgellD+/EFkrqwIQVBxj
bGjdjWNVARsntaX973AX/+T9A/jBLZJjosB4/MuHFqaUjLlg1umcRmyOeo4UQT9GISWnvk0pibBF
uwcYyD2vinR7k+redm4J563ZiKJ3+mo4/VUWJgN8McF8GL+dD5tvZ8V//eb/7T2hpI2vFn1aFm+L
u+AQfqSTwHsLu6ZU8TGNItM7Vqrvbsdy5LL0b7+OzWPvulR38TJLBd6PryPrqK3DsI+ORcBlYNMw
dY43IRjB791q/91y3xUTtLItv3Y/C3zfRLu/1L//QaIgXQEsEgvI4f9NyNh8egeQ8al4/4/rT+Gn
5j8On4YvWfyjUvjXv/JdLfRs6gmlYkl3PEfy3eTr8V0t9MQfaIUOiAgWeaWEomjvH2qh+QdPGVMn
14Z4I8VfuAxh/mHaQpoc+zBcMo/+98RCvjJ/LfWe4/omO5lk3eAnYY38ZadJkk4wN4IJofE3J8m4
B+TF0EhgxnX2P7xP/2TztBBYf3otwCCAOSzFC1p8eeUvrxUyCy4rtw0YO3Gp9AaCJnj+U29XlGQn
fKKyprvu9AffJlE+Y8ZeXIH2SxYKbuUjMQ5Ce4X43TLz88q5fCL8VACtFIsafSq/lu4FjMR8mdfB
tsKA06X1Eftkt9bceqyw2c4kDD2D+2ojdyrFwR1iHwzIhgZhtXdpWRXVb1rX4Pn8/X1SAmDIglGh
9tH8ZTlhFAehkl6SLczECDuvcwyXaTv9aMHNyAqDa9UAKpoNPUYaOZ/ismBoNLs9+s1AujEqXg3u
g3dM3LKz3TMecpz4SMsBZzqGSHahX73xcwb5e+g6TGrFlRxondJ4RQfAfAzDcVj60iCiCMw+Ij2i
UCZKDFAR41HhXplA2/0q2VUw6WmIuvLTHtMYcX/jXovyHtVqI0Lgx/VA+GjaGia53d5fQVU4hTLY
93V5aaU44NJd1c3LMiE3Iq5Zw5tRnKWHfuxo+1RNq0w4h9R/Hvrhw9ATNoaeASpg9I5O94ykdVQT
SuxQ7u2m2+RtBnE8vJsdttfkOlPukm8njjoBiQxOHFXJSAYrP6BpxNUPOYEETkC7EZWc8H2+7omc
1ZBPdoamNEJ4G8F934g0AmVzNZCHaO2vo6c3yuE1AVpW5bCza2Cw7gfowqeE25EH3BK3CtopDSIx
KW9spAnQuabVa669vD28jE9nca3vy8a94/NcJYZ96DsCwzPOT487gICUbtXEm29EUWMn6rCpqbWG
IsC2d6ocnsxBgT4h7Rw/pLo8GM01HQawUaJPQxJsHeetHsvXFi27YWOm8ozU6U1LuYi/9JwUB2Vh
7VLeLqZWKAyIY5i+Wz3EXfAaerlxNdV8cl6f3iBb6XsqhstujU0BlT3wb4PcKT+Hdo0Hv6p40/KB
Axu9V9mXdiqiO+4z5SffZuDHCXx5aAJq6fFyHiEaPnj4UZ+4ug/HlgTQRwCz9GLbfrjXermvE4kO
n/MqLdDWAbSAsJrrFYw5wKSB2+cPil73HcZNj918hrZZ6HFq+Cng0bhQWg6FmyN+jWRirqKhii92
b9+4AOLumnnw7juR17tvy9n/bpK/Q0gtmyTH6R8W/2U89+fYbZn//d//88i9oG84wn6fxR3foTz9
11/7c4Ym2OAE3b8mnbrcqRYg1Pdd0bf+sFwYZyTM+XM0A9a/f+yKzh8s0qCnaKZ0lAQE99cMjb2U
MxiAOLpbTGWyav5jevjn3vSvMFK0lP68CCtT2hxv+Qclm6/kWM2f/0Ccw6EMoMCx+gOQDgp80g4F
SKtDPuQZheCIpxIv1zBGS0cJnHgGZV9GIT4QvXtBozQRTbByImW/oxGChwYtu+1G2W8MIAtkp+vi
Ia3M9kwaJVmVpB3JOcJEhtBwJysj3eBNjA5FS6suXGFKcvCrtTHK21S6L6Vf1TvZT/fYsb7kII6t
aZkEhC6ABZ/itDk13p3QvoZ8LZC8jfo1KuuQiN0wHrppomTHpSJvVYbDa9xmB2MuL6TBKLDrdO6t
chnehkbgb2JBDYlZM9e36O26VHTknvFFAA02SLpFReCNqOgM2ldmNj0HfvhoxuknIEovqQkQcTV0
03xlcATZJnBu8GX1FH31E7uUcPr7fEoIFafOpZLWeBQppuIZHvAGzxwGwRonl48xdhqxq7lW/9Xq
fXQe3KRWY3t34EZZz6poG9Vtup9aN8e2UxOAJ8i2NsY2eLPr0DhIp/FO1PjA2JF4OYFX0zzZEEA3
M5xbnZxem9GPcLTQSlsx/lsL8FHrqrCrt176xlUgB/Poa2qJ4g7AxZy5zhV9UP3OzcsviQV/3fBr
76bBkrjTIfngPrHEylpmJaRfnG0aFT3hxLo51fko7lU7v1cVdWNlOtY3OuvTF7ucXhyFexUiUoxH
CrZh3poXp057dhi4SjPefIoNkGgLVFLvW0YEPIOk6gBLewYoFE5Btx1y81R6ki+ASrODWTXROUbu
jaV89Lo2OSkTsz5gH0yUNG5tyBSm27ZOw6uE8PS97qhZZ8pAzjxFFtVxBOelcp5gRQVbj66bK+iV
H/i++l9Gs+i2plHktKHgSc87cjdD1T4GBiGaaaTsbKTtbm6fE1CIKPAw4tuCLsDRcD5mFCgccPph
dKvGbbrc/2Vit7u8L7tnk2oGvqLqHmH8cR6T28JG9eTY7K6HyJGk3cHfUgMJOWz8Jj4l34SofO7g
4gdLvVE4NdWts6TELNcwQAGl2Y3fimxbOqE+5jFlPZLv4E3YtTDwcScdwhQUVhZFLGd+u5+7iqZ6
bERrlTX2mUNqct8mjtqLSkzgCtpnC0vkQ+7n4Ulz3j9YHT6ZzpFPFq4ZxnQ04GRJGq/5qIatdqeh
Y5BEl53fG8HHpiRUF6SivpBjDE/zpBn8MSV2mG9yXd/0QfOlrEDDhyU6jxyxG0oybHfhuNxvRyfd
jtxv110rT2Dn7BuzCYhhBgyppa/jO23BMJm4ed6YCLk9jOP5czeRt+zYRqX2ShjvKPEr7M93QdoR
VjJiUhKkIHad6UMOaAMPNFZI7qKjMGpNMyKVn5FbZNB4OadNhinhdhn9h6n15VMf9t6hVhO9JqYX
rA2Tnih3MJkXANg7Jl49nWvPjZ/8uKovYVlLexW5s7jPZvRzP2/mfY5D6APH+Q9mRMKnlNMKKE4B
Fm28rTrqAQZu7vcxYfmNgWYzr+xB0stAaOOkiHp7EFzecJ/rLwPi8I1X2frkT5LoGRmUtRNgsDO8
DPvbHFLZnVXXRqPOdDsJAgecEoFW+EUOjX2yyyWUcKYFVvDkwi/Fukj9RDVE3tlBqIT0G1SXwOqS
m4grFEJmf+llPOxzp6s/FGbPyajMG0b9U4/VqDE3PQbDbd7S+zQkc/I0+PwYC2H1HjPG3ejSTidU
QRsLovWxSvo79iHj2GNa3bmmG74R0JgPVmY8hmO95PQXe7kouhuc5+5GKSzkKP39phDxZVRRes9x
rbzDEwzAgwgMXmyPSR/a5coe1VJ3Zk0kkLCsHA3X6HHR1i40V5XvzSZtLqPRQf3JMSWQ/DHBENis
wrH7xSILs/GZmWHi8O8Y93+OhYJWkTBMcHy4WqNZ2XQWJ5pqxnbefoO45AFtJmURPJuIsN9/BpGh
SocxnTJl54sPCqbeOoPzQFHS7F+lKQl45iWuA+7MDvWbEfY5t9BCN4+iUl9dgOe57pcz5EFpLCzc
oG8GFBKMbKkNokVFnFB11O8GxTDXNZJ7b7SqK6S45LnCbbMF8aS3eBmf8wJSjQHECpRawzTY8D/O
M/Ffqovey5EvFNzIx6Em3JCMk94UmXk9D/MVdKiJvgCZPLVdI469YdCOs3zSnEaDnU3lL31nLD2d
X7wXYn7rvfJ18EjgrIzZpi1CeEzYQAcRmyji0xiEt3FUN1eUTupVaIu72JL2egrIfpbFIDBkMKHF
WYbsnnj2oR3S5jGkBgNGQUh9YtflBxhMn0yDVQj+3yYQwVZ27tvErVg77ntO5p/p31KIaLvv/3vc
/f8xilkOyuq/OutyTf30OfqU/VNo6ve//KcO5P/BqRR7F33qjuJg+V+uMc/9Y0EbgzLHUGZ995P9
eeK1EY9cF7uwx6ouhJCopH+6xmwkIqQbuoyk5Xrf/ujfOPEiSf184nU41Vu+ZboOvjHQh84vJ15B
c0Cl8UDsC/wZm9hrgY22PlP6ypjqz05nN9vEjPxnXbtqL5drcu4E3cbTSXAk7y7eTb66hxTQ7wbr
1k3PRrl3cNK+wgkhtIuSQuYCgeVz3dGk6rd1u2ZdDK9Jc4/3aqmQKPvi2/i9a959yif3Y9R693S2
xXobmZXzOSCSTXOdI6Mdpo7d5PdXQDkyki5ExXotu2M9h+TuAWFNwNJ3ceVDOYzrQ+WH/QuECf89
NWTPXhRNVLsaQb+zC4sxc5Zk43sYO8Er/ML+NNOFs3Ep8trPsJwODGhwRlH+tm/Hut+EIiPbGKsb
QKd6O0EiOZQR6HrWBbnSNaVVMWviraZbZ+snTIxh7MuJYGRBI/UcxNXTABbnSwwI/KozDftUq/5x
bk3/A1EkdWt7tWORR8A8J2QZ2CvKHdsKLELTeFvqewHmTTTjkd2cxnVXivQFXLd5stXYnYpUfAaI
D5YwjeNLHEF9iD1FcTYBKZz2LXFMqnLcVZh6MRIDpFG6N9S5jlvnEmKHf6MOHcbJ2LrG12GS3VU+
qeGlZFJ7xQfO7+ni2ApqEnau6Vxrlxz+xlNuCcAiy7aBqb5yUAFvJiOi2tkw5Kc6XUaVmf1Z5xpi
1UwV4o4RYkANh3R4o4ziwclFsstIo0Eu6s0XkuxMaGRWMyumfLDqU+vKjqL2wNS43mjb51cPF4hV
2LmrYXAHyue0nZxdI3hWDbQll5TGI0PTjtogOmu6ObI/jlOVHnqhwH86Xr6wQommNuwfAOw6kryC
BkIvaAk0ebTqadlsczf6InhLAmaplXttWUNyxL5GDjowL1Vn5hddzv67Wznh00i5Bwd9O3+mACHj
gAIbTkNzhIVC8/JFDXS96coUd21tmwWGfwNuSumQqnaavnpvcY9TOm6srT6sdn2ViOvZhhiVaDle
R2NGY6cUfGtj6h6eMs8X9Qao7rwzct4zP7HMDXJf/zpT+HY2lKruoa95Z8IcajdpShbtMXmv2WOl
1Tb7avK857Qii5Dm7rBqjPCMfpJstEvFHVni4skC/3sd8dtRZWQMQJACMmA0xSXhNeGs8NaeLWfT
RTbx+cmauQWzX5v71tYDlZOUSvfErWhncYvPak5bTlquUR9AzDo7slmKZPpS2lF+bq0RolSQcHjU
G2F2xq4p9VU+wFtRNW4UhOvHCKExtAoBG3PxwIlIGpsf1up/Ikqjlv8sSrPqCdNhnbZcmNGOYlH+
8Z4PV5EG25blgPpDEa0Gt8TwV8HipMFLFdWF4lyx1jSi2W3xkpFEjbZl3TTXDjlCUnMB6NRuHnDZ
5BGnsqjIzv6wsAixbqQXPCzFS1lnza71dGxvITU4+bbrGsBO3I7Te//b85x+e7btiCn7seC5kMd2
WRe4QuBi1YPtFFvCwunrv/7V4Yn+8rsvHmYmAEzxkMHZfH5Z8Sejc8DnhDR1u+GDn+UrL0/tB0ON
rwwfkpVFgRbnuLC+eE0PtxZHMWY/nPF8G5qKfL8Ruo21deeIUAfFujh1OG9t6EYfvqR2Hz6CXJyO
Xq0Pzpgda3uux7Xom1fVcuAns7PHF3wSmeC2nMafa2RL+MZWfjuCvjky66w3mHZw91kw/QX5BcIC
6UBGt4HiXAyNLdcmSgOkklSsAw2acJDQbVx/zCEwaP8VI0fxOnEH3dF3U7wJXJ3XbjjV11kIeyfS
Vr4vO+29YCoKjjK3g9spj4d7/tPbNXMf035qA30cqH33/U5t55yGZN1X876U2r4IosjHMFIdPi0Y
w8i9InyYMB0MKz2H7Zofm+MxPYq7FOl+j8NDAsUgkZbZuFbZg/p423Adf+4EpOmQxMpzYgNnq7PC
+cocKdzEXZqeiTG1q7Fyk3NF5bRc961wn43OFTf+rIwHu9WCZKEfsrcos/wC4nN8prZbPrteWdyC
am5uFWH4kznn1sG2nOgS1GZzEEwKciAD3RCpDUjejoAZhc5oLtZ4J7TWd6PO02ti9n29ijKa6yMH
5k82UbicTHXz0AuMPaagBgc0s3hzKjt4LAMHASbInqKOq8IykyArT5t5/pqblb6abQEdpenAx0Xt
eC6wNF1yQB47JbP44rnAsYmbKXvXWMkE1ypX0dpshuriVTq4aQ1d3UlPe/UeR9dEWbCk2MGxi23T
4G+lEiK97XVUXnF57jYRIRIUD7s6jTj476JlFcnqgOOKd8QNSLC/uIGA8pD5/arWGY2U4XQ1tpLO
L+XhM2KbWFPfftsua1YoWb2CZR2zQysiO2IYX9WywlF0Qlqj4X6j0docgiVYljJ3P39bGPtviyQr
hQPoiJWzWdZQ1USsM1ksZhaCyOzIJrHeTsvKOy5rcCOc8VTokjW3EkTOC64HO6EnVnSo9fcD1fLn
2bT6V5dM1qbEBblJjUbs8m8bQ7LsEYR6URUyC80nXfaQmlm6cfDEXMSEi5YtiCs/uRTfmDq9Sa3a
e5zM0r1pq8wJNtyx/fe4ieAkq9JK3X1rquZkDFW1a5d9sgdcwthn2UGLKlRvTA4ZhLl8p232qbg6
k6CiKaUCbXYo6UvdB3BPYiS4ZUvHcs8HC5El2uBYHKAi1h5QhZaPyPt2apiWA4TBSWJejhTq2+Ei
lRo+U++51H5y7jA5PgY+EyPI0UBvgkwpWuL78ZxnFpRE3xiPAffsFUm9fF9x9NkMKk+OSd+LbtWr
CET64DvrYiyp++J6nl65ok2OdlcSOMDo/iEqAW4TAFD31CsG+appo5Z+s8b/Us+VuB0z7X4esn64
jdspfqKFunugpmxsNyHdT8cuhJoOPcGgZs904huo2RrGDgi0a2nY/aGBZ3fFmQ4FT+MzWmydwr3N
sQ9TzVfl110/4A+ttNe8jc3wYsoKlrwypmidwn0A9qWsvRqH6NEL+cUTbg3Hxqi4UUaJHAgEKFyB
VcvF204d49adS/voQWh4yJNS3uJoc9exx9ZlQb1+rEhL0Q1oAn62jRgmYQ4AE+PwoAC9WhVlOf6Y
tFeSkvathP4GFzA238Cb95/tsqh4j2e8NBxIQ4p0NEbClZShB7EDiN6HyYvdPR5mnmK8QPHJk1V6
1o0yTn496AN8tfGUeIb85jJD5KpleBcDD/1ojep2xlP0iIKdr8fSIEiKxnci2AgdQzMZuIsmkb4m
NiQr/O+uvbKbvHsLaXJ+rfqu3ZqeQ39NmQZ7/pc3E3Pglp/I3XYIAWdR+Xz5Da9DGqSi+M6gpWRV
2FnZYj7nFLgQfJ3bhfceYASnxItCWeBuS3DjiykMShK7kqoC1kREiMpMyp2KO8R+hvUvZZs6p2Fq
e3oQYi75ltejp0LTKRNvPnoiIp+pF8qD4sC+BRoDTt+XJ+YQX3Ptv00jSCg2sIwLUlAWRzBjiqcd
tPmqQKq9j3J72rPycLAOUvM5AS4GZzN/tpxKvDg144qhz6oPEGWTD9SoNV9SnveNj6PyMHTza+Gb
z7YE/Mqo35VH1ymvhNQ3CQ4FDv1g33voblvIETMD7ixqy605ALljakmJwrmpnOqoZMe+G8Av9+3M
PiCaJmjy7vQxNviemrMjziMyIZYcGXwWDXmSUCp0Iq9cjvVzMXJQHvt5PUbOe99Hwd53amMngXZf
6JuMz9WErf/cF0Z5T/hRPIJQasd1XI7dl4EGeSoQ0lZdirpgtRnQ3B9ItUsGJ0uWPIEWsvPANO6b
0nY5GlckBozAlfHG8xvJvwq6MosHQN5e1ZxEXMCbVS2/+5AtheEqOS/4zAWGxPQZnAgRDK4jN6ls
GcY03rzVftbuq2AeuTjZNoHHdDqOvi8IOvP6tGF7LzknwRgu++QjHxXTzq3AsNhW771GdWztoWcm
qwCScg+ge+KpbSaTRqmCVMWqKluC2O1HP+ivZs/8uugX28EKrE/dYHg3fg0KxqsesUyAZhOkD+9F
2Ew5CXLKpRN75jGI1HPeFRyqe/Z22nasjR4avVdmDcw3sse9ucCcQeGYzySOIZkSRowgTYIciUt4
Y+FiaKi8IBeAlXy+3xkpkEfkiflR4iCt1qlJxhLT4sVMo4roEb/zLe3C4irhyg6ZLZRXthMKqCNx
JzcOHKNi73u+8eCyVd/aVqG/Oulb0MK10NUIdSGcIwkKbXIOTZxyLDKKqxxOlmPWkLrbDBB6kSV7
aLk1q4jgjjG2xiZ336FsZ8mO1rNOr4wJLgDTHQvhNrgwq5mvORCeO0FcxexfVPpazvdTBH7f6axV
XYjka+KG12maF3i8K/POc4P6I98vNi+a1m707IXnLCqqF3B4GiRAhgoBtcAA8cIT/XF2W/1E45P9
MTBTDACJrNed2TrH1jCTEztBdJFZYKxVlCztYxlYVgMTQJKEx65J4hVRDziDZD3u4qSS9wBkp1cq
XmaS/GF+bGaHQFtCxTCOAjcDbUn8mf3UG1/IIVO5XZBcXiy10SF03Bx48lRvHYAR+Jj98UH0AdYU
o4TcTU/0DudlcnCW2mNSLPNmyoJpO8TWeOAMaYLiKJVEdLTN4NbNiuro1P24C7Oe6RUYyKcm5uQ3
0IYAO6anT8Rp/EOYZRTGlzHVw9CHYEq76Oo1dh0mQV3yUg+TG666MQzXRZzTBsEiSqumMe9ohRzJ
NEf13rLSp8yYqhOW4X6fBhUHshS4DURX7vyM9x7pD223c1+Vp4Q1AxbDBMHUjUtPrLvM0CQI25Qn
MC1MFmzCgIwsep4sfpRy3fk5f2PocupHAmpAKRtt19jPQSWGhX2IUlaIgBDVpmUGyKMS54dCkDrv
CIOvLJWCEE9KVjOta5wbKYTfPg3OwgqCqwL4SuFHby7CTJLSsotd1YqCc4P6jV1htLd9Gb10OQSe
iBTmNnPn6YTCVzCP8u+5ly8zRs17y5hhJY0gv4oWwF2uB2+DTjBv49GFKQ/Jibs5s7xzhOOQtyCw
jropLeKEA/WXoi2+RgHtjVLjOlT2ZKzJXlvVyg7IGhSgod5FVqYfi9hpMuyuIrgHNuVfAQjJbrmr
0ObM8IRKWomy5MrWfk6Ac6yB5VUfc7kQyqqsPJMHSbj/VXRPglk9gBfO9s7Q4EqBEXBoYwLokCaA
pXjE0x1/hiCSWHueMPup47p22xmYQ4rBa7ZxjvYR+bRKmqG96pL0XAr3NLaHSfF+9oX/kSzFOqkj
dS8KRoYQ2ZNnLPzOsU6z7OLFLT58HkE6KeA52VL3v7M8/7OrMHAIJSwP64Hp/+K50kkhgsCx4ZxM
Ez2sTiI/N+FAELJ2CwYOkGfCBQAW4q8vYE82qa/LTRRVBsiUdHpbANPNNnNcJvSEMUnDLXolmg65
2N43e3jO0ewYdHMvCqcp6SgGPoxAOJVSnWK3BFvZckM0vhfn/XebVP4neTSlxaeEWP2D2PE3/8k6
ij51Xdxi0Ix+MqH89Ze/a/LK+cNZnJSuUjYkZVPim/7uQlHmIrwvRlss3CTVlj/5y4VimeKb2Row
gYdH5b80ecv7w0NDYraEio7PES/pv6HJe/6v6pTk6XaQ5YUiUINJ85evpRkkAxLZMO48p4zEbkTB
W2vUaaZGpAQZ8lVo1dsmtUj/DGFAw55HOpoQ9ChGY9XJzmFblOJSaAuHPWBbnrYgry9MCLOHNNbG
o7v4s8KxHG5lXkSsYx7ctMb1csTu1N96dkUHedFG7wzeZuLiZGujRf2LDsEos+c5LGCNoG2rM0Id
QOZISLwEOpju5FjmdJHMD2H/DYwOjAo8xkpQ6LEFftOwtJGRGpVrit1ELJ3g2hh2gKyzydD7Quj6
Oi4nho09GdyHgOzvCym78AGKGxKzKZI3BtDh1ZTVWHImlMq3sCQWysGS7pQOe5KGCrX2rfQIgJYb
VWMTqSwTC7WIroLidmxbXJRzmrA58+4UYjyHZod7gKp2BmhcqS18Imunjyty8NJ6o6wXcwMhy0D8
J3tnshw3km7pV7mr3iENg2Oy3kUg5iAZnEltYBRFYR7cMePp7wdlVpWkrFJ2mXW33dvWlguZZSYV
QUQA7v6fc76zar0ko0DMyT4PDvUHmOxy/0tUUY5i4mmASumCY1sl4PQY7ZgMTlhskSI5kq14jlJ/
mEbmEeyZhrWILtDWSWG5VOqJXqqQIYU5JhmqXzkiTZBsWc+jLDexmDMrIAfgXnWciN+SUhQcSKhg
2Cl6kTU2Nj1Kue5PzXlmaoZPlFaoVVHMJteBOfdI23rUrqg3Y2DHxj+6ar3BP45+Wb/G1N+yDhEs
5ww3JpVcIWQ5awU/8wUHABtOa9lw0GSrrYzJgqJJSNPz11mEl4mGaqoLVlWofEg7fpjsAYV1X7Az
DPEWVt64B4nv79zOnWCxRA6Y47qDROhaXlZDdzaax1ZY5oWosziHTtc8QAqu3iLdilOCpMR9T23E
V3ENT7V+lwXHDRqfK3BAHGWpu09V/ckAD0qzOk1H2S5NS3VPxMW/CGFonBHrwT+ntEVcilhKCdsr
Nsy1P3qKmGY5PgFVLghhFbr2wfjdRmg3DPUi3Kz4DFyq4rg98d8r0x8emrIEWROxwo8rRVHAtMcq
jIDca3Cg4CewJOcmxiCCYauI2PAT9cv1nd1W84HN73LfZnLv4mEAql87ZJKhUunsnuxRgrk1s88R
N9fyoyGZalZvhiZ60qSKk4jjHXpSnhcaDkDFmyIf9edITvoLZE2LOjwsujs/LPgAva7iXVuTR+uT
JfVoxVFwMOAJeNF+ZpjB3BpEQW7Or0M0boyQwWsxWO8VUZiEoWqqPtsuh9C1MMT4OvZpGciOXUnE
JvYBG0p9jkEB7zNbmEdIdyShbE7r6wiK00ZOY/PMPAfvUtS0YsOUtFrBAqiOMGMdolkTjupyqstt
NkGtxHNMXn+Kd7zvmeM4lNl+oEW6tmKFURiq22y64ZNvYnjlyIcXxsl8Z60ZjEFXU6tquR6iQgbx
vESAIezpBpsp+LpLCJsaeJND1wcx6vhxduP4pGcGtUmytSA/asIcXjRuFGMrTUt1q0zK7rWgH09x
i8AbW5Ff59aeC1teakCD05aeOMT8YqY1x9DqdtUCA4GV0DndtZRLj99UEnNqKRJ6aRZfDA7nL1nR
wwEvFc/pPs8JsvjZYmXoNNtcYXp/1FszvZo9hnNEKcf+WYSROkOjj1+NnvqqFcbWeQPKFXcfeD5P
WxduQYGxlGxnmxJmaFS077pceKTE86sjS4mdraM0l1+ERpf4SlMdYB2OScMVLWtU8hEDneyA+m0a
TrRmGc+IgbDmit/Tcfedn8dESdPIILCk+83HJIDUroeRLf9MaopQU7FXhZLH0KFEr+BK6ZChwMkG
xZBn7c5sLI7LVdGaW5E4rb4v5tKnCwknQ8JU0rGxJJMEJFjJ1IM9ODSlryOV9kcdNTMwmqbpVlT7
8nCikfgeXHZBk0CSjEE+SPmKLq3Tc+R73m1bK/NpcqnAWjnscenNqMxHoCTyhSOPR4NOzmYTYqyG
45H68Zu69cobB2vro5xoO+Sx4fD1cRtgb9sJvmIRNEl/NbktdEwxiujJNzq9YB7qGl91SfbnxDuM
Lcx3dm4Srp+813Zk5s4CZTZX3Ld2sQ+FafNgYNb/wLNJnSkYS68BVJlbDP9uMIZ4qsjvARte5TCR
mIzBvd1qskrOjLzd5ymljj7HRHeTUeu1zk3JJGiokguNfSAmZ8MAzU3PIBhM+dRFevZYw4cO6G1+
rcm2PLR1Ly6QkjCU0Ryzl3ahP0i90j6QqUfKrSOT0YzFSBDHEE4hsLnhQ6FH7sWtkoeq0rVLWE1h
kE0l468eStaFnK6xjgSTwvVAOIDAgA9cYpPoQA9WLZeN1mVmLsvAyBuXb0Ju1W8JKLMt89XIJuiB
itTAodnHsHGYjrJ16PNhfs9jIwnASaeA4Dg03dCz15yLGnQoE53kU9Kq16KO5t3YkQEPE7A1rlMk
b2E3YTPyhuyOOX0Jl5CibruPy63EnwuD0oP1TuOxx6EthhJqNo2prly7KD6BuJvzlWeYIwb6PDOo
9lS6OORRzcMFPp84EGJoH+SM0l1qKibXoKtNu1i5qG3k2J5VmYZTTlg7wQNoXQH2fbBZWm7BYVlE
4YchA3ySYTyidal5m410ADKH1xY/WBMf+iqMoYr25r0ugH9iaUUqonrWPWN+dO4tmw6udS4yYzc0
lokOMXrX00xa8lTi32dqoMf5lcNp662e/PC1m7LsrnUN/6uSueWyKrOVWFNWz+jXAL448G8YDK/t
qCvzSzIKzi22xUfM6BdIimpafBKtqCZ8B7a/qmGtXLK6JGkgGlcmdD8Y1pvTs2kO2jSKnyBdxWo7
+F6lXY82DlMRIQQ09hAyZY1dYtQplUbDwQ+xPGE0Tp3nXuOOLBdRDRURtmpWGDeDGZtMS+ympbpS
4/Hg0Gq1Y5jTvgKAr24VxAxKZqIuOXZSlycnzrhXydan1IxY01k5ksO+BoP0lg3sIFfS7+OXmDhz
RGFbj99SZLH1oKejfIYHV1/8JsU86aj52uucqKc7Q4gxsOUyiFEqYdQ5Fe6XSohlnB2b07XWh+XR
XzqvFE0V/VoNLaQWcDDv8+y1xgKQmN7auAUZS3ic7uyp7j9D70q9rW/RUQEwz6ehax5u+6w1ut9/
S0LCUHCF7F/93n2wyF2hEg42jTwV9lgClfXFW+zXsSwe7Sy/y+MiCcY8as4+JdncsyFJiEz08HTo
UEWMnWoahCyTDz4MHf+5BnGOFlKT3V0TXy4SpgQe53onlGffqJZEf+Xc9YVTX3F4yc9NNOUvRNTt
FBml8d6zaY53OMcXRjHhw2sy9jRBNHk7fvKSSZ+OFfUgYDF8oye5XpoGkY0IFa4lVoUxJ1K7sNQZ
LJf4RABA1W5dAWf1/OtSRhgaWbk+NKNxPqIoVN2mTzNKCAG8eypwCj7rld1bibkzK58uDFy7WxDp
6Qs6GyxEinysbT9VPmtb3D8ZmR/fuVCcaP/s5sucWO2H9W3xVTTZrLjwuDyGKGTgNzWfx8prrlxa
MB6YEZ0M8pMOLbG98xZXCaW0iAmxhcWBESUFA5jT+9m0bryMpI9O1yCURYZrfM65jU6olyLDRtKl
82HsZcNDA7R1uso7037RIwM6RidbNEz0hmElkanehSbb/VCp5ArncXWbFIN8VhgSvzTS9vd5mRlP
PYQ7xuHTGB1A2yONG4Ai6aot2+ig+WLWDhlOkj2o8RG4rMXQzZ7i9lPMIZmJs2o7fD4WVXKZg3eL
Vp8mPXMkSPaOQhiuKR+klwwQEabomH3o1OPzj7uS6ZZVL753mvxmINpAXSlEqRowUCmpnX5kLweR
wqguFGrP8KasZXdjdenO1pt079klbPkBJutdxDdzD/+h/AxVrPi0nLKZ4kIWzYMOUvC93qnugjKn
nnG9Twca5+BMSBb8NSmEeV0bJKiysUcIHehaPTU69SqVH2FnTqy4gquQV+lbUeUq3pttEt1gt+VX
yLLaFdwPaXrb0cerWsuxuF2YhRNluGjwi1Cl8g6A+2zbpygejR4EiKY/pHbo31EzMG+EN8MfRNCm
tyCV6HlUoVjNsUloPgqcWYjFkuzU+6aVOkzEMtE4msbpsignhb1XbcNHwzZeLyCb9vagji0r0luS
OaCQyyRE6CQR4oJ3pLpRBHHbkpQ2bapN5qFlJJo1DuwulbpUE+mZs8EiH58akxiBAtz7pfAMmLzj
yBCTbSR9im4XK6xqTpYcfGLlH2OUUbikviVTMADcSkZbj4W9nClamE3YY1nF17pnACTsDOtcOC19
mHpf7vvMbQ5lN8USyk8xPqFCmvquoL/4oMk+/MTQPiGP58z5AhaS5sFSCiO1240E93t3QGD8Np35
3z2m+n8vcEyI+5dp4+MbM5H/+B9vRf0//+P01vDMVz/Ms37/+T/8pc5v7kIkRKwzhLCxcP5tlkUC
mSQTWQmcz/zhfJeosuzfyOLahkcGGYPAN2Dh3/yl5m+mS/oeX6pgqMBE69+ZZQnnx6Atgw7iz0AY
7GX0+l2SqiRNanQ4IndFqABVatjJVjGFLjwkkv66FplTbZaeTQ4HGoDRFSbojIiJlKcJW/4BRI7c
UnRtX3NSjwN9orMth327z5feT60NMVvVWmTQHEb7VIDqSSFYaDUrWbXToTCRNvMmnp5BbTc7F8cF
wRd9OZ8oeUMkMXuOVIiz1aU2qVjEv6HLs5Mf0QdTzgOK2iISMhlTR7YxdCRRdfgG+dA5uYCRkiD8
pjE2i9zoLcJjtkiQPcUtq+qbLrnEgu6rb2ql6xneee4iLaWcGjkz+qZsYrEzH9pF7mwnmRCbkH1y
mig2PNeM8LahV4W7Ca1UpDO8Q89BP9XKFj05M7OB/sha7KpFaoWS3kN9Q36VaV8HYL3nVw2H/gYz
jLU3FsE2c+PpoctIgZ+aqAnBrv4u8XaFDmPbKWi+gOS3is3lUQjS5mSnbv1ZZDO7VMY+gRdpxjr9
Jigv0nKVltkzpp36OUpondYXCdpF33bXuh2Xx2SRqmfsNS3w/0S9d7CpjlZnOOYOTTfTOe029mGg
rZSNQkpjoqYV7ng1Cxfn79zl/lfchZC8xhllJsk1dXL0qH7T6iQjoSx6gl5F23IOIbgQzil/S1LH
AKk60sCbBqvhvsRvtIlnxyC5Rf0aTcp6YDkmfGlKlsw7PJXFVznwKQSmsuoneBNoMp4P1eqxsZYQ
TNGbEluV01CKmusFIyCRedFN4bjWwS9kfLFNdFKjVlTYVnU1AK/TVDWtGZZMlxCuJTN9SgkEf6V5
UbzFtw4MHY45tr0gAaWN94NBEfPHodqGs8upEsuKOsRCm7ZFbIRfp9rhPTWFb+cIwVDm1wZflXgT
wtm6c50mfENcyDyMlyQF7ZHkCYRDOw1if/JRlSWFRCF5o0DH4XVbQS/Ca+PXNCB0M1x205yTu0Tk
0VdbkkEbw6rGz5xQJGpXBjaQXLG9wIkyNxad43kHbtvT9C8Yoaa3mbPoo8XL2kGlGdZXHZMLtzTV
KXRhzEVDXZ/lcdawkqaG69JD2sXcWXpWkCO/AdvLzaoKRsIf+Hxpx92amuuJS5zMdGygMkX0IKaj
sxhPOzhlORroPcliUupWrcEy5gBRmpvUkN7SXdjpH8MkWb7ggVGKUswRRW1RCcBI00P7SAgmapg9
+P5dPo7vLILiMBmV/S7KmbgcXuG7MbIxe3aAdmcKvC9cFCxChlePT6OWRm9IQ8mhcACW11PYYtJi
g7PKHXhsbuabGKybgt91jpnMo+XxOY1h3p7QZJGJbDi5BOsdv6s3A8bCPV53/JaMQOnSpP5dmdis
grHV2ieE4fhzMqfD54ix/9aR4XQ94+25JGRBj+1kFxdoihzCIwazw0oYkyDrP1lYUlyLmBbIhOoM
VU8PhqKiGS9MgcnHun5pUgMpQPifsnKZuJYkOOce0dzrKLJLei8/09tgf/JERGdDuZiCKCLH6N2G
uBRrl2dPQml9vzYyIwEfhnRyKDyrOhYWB/7AQ/5KgpbkyzlN3XE/OTToxgrTHx0mXni2G4MWZ6Xp
lIBI5Tb01uet/mbXwn90rI4NYdP4d0Bpb6cShFo0juwzhFdubY1o7Gq0u/rBsXv/RNqVOSM4g/fK
jMWxQ13FotLpO2uxmPZA/zd2Q17emqtsbyaaHeR2PJDDlUPAra421fJML+kYDmQrtKNDL+krhyyI
bQn9Rjt7sBhpUzhyrfHcuypg7pAhhHAY22Ef0NjU3Nk85y8y6umiVhX1XpAJyOYMsbg4ncgejEaL
PwwXjXg1JVm/6VB2TjM8/L3usysnoYO2ISLtWPuxvReDWVb4GggWBPVQpFeRXQzZxrAG1AyN3tg0
K5K7AiH2MIztLQUglIvytGTr76e++cq6zcRdZZhPbHtybmcdxztMSmiV0teLo8f0ooRH3Y54har4
a5pm0R0mgvDBrEeYqXiv/c8RihKDQEUBYWQim9Bq+oyWroJRn6lwT6ZiL0Q7uyu/NLRt6cAcXiX9
4N4Wo+WeczU7VN/Ow7lXmoBwC0me/JIRHqFjVSvmF4wEzCTZRvFsHVqtp6TENtp262ppfme70GUT
SMS0ftWx+sDLlcTXJnviN82z0DDabNZN9seVvU6Rf85xkkbraAqpxNY9cZ69on81myjdovJ17FkL
e9f7RbU84724xqAAEBEyS0kSwaqvZ88hdcrY1fyw+qq8xr1LErXhbMlGmZmc7LzmPZxpFzDm0tz2
g9SOszd3HwUGvG1lNP29iliGVsSaocThwDvSEpC9gSAHrlr6ZnRDqFTHOkqX+haevLWOaDo9dB0z
h1VTu93JHQzjRF53wJald7vaSpMdrTk86TR+5pAYEb5xGY4X4m3Ojma09Ng4nuRqtvIxHEr6k1lO
aPiamMCPVXM32IosgBe6D03qU7DeD9iyaEwOPPxDJ8pcr0mnlIem12gUmhvO2m7quGefdfXz/91t
/HJe+Ds46L8GJxzplzPakpX610igBQSUQwT6YWf+95/7fXPu27/h4kQSFkvgwPkmJ/+BO2BzDghB
ELqCtOESRPiH0OzANCBdBD4MxdsE6/V3odlk387kDaGZINeS/nL/nc05tv8fowAeCrhleYTJoJpz
D5g/RQFmr2FRnKAWTglSUum+Ieb4mFZVcR2LKaS0o7ODUiseqzpzAsy+VG3pY/42CtulrKox8A96
u9TGzBnXA+FtvMcQch8jQWM0BmlYAR1aHQj+Jesu+tte2cWKIi8VDHWX39NSQm+Yr9Qef+5rumTx
G+dqauCfeJSdxi7DurYPbzvcl05ZMLLJQpItaQiSE3y/6hk9kTk5s+l03lyKgHag1zZNZVLQ7Pnz
VV7MMHKGlkU7RyXvMUTSlTxsh4b8EBUK21l4BgNE+h4CWcBCorUr6Fhlg8ofbum+Aybgf0HqWw11
cS7YxE2NecccgKcvm04TonNXmV9tg7YnLQ5JeqnMm3eYhu8Tru1NlRQwj2at3jFZeRx1Ij3acO5s
Lqbf1hbDf37lxMquRdnuFi/PqqzlFRjzZo3CUOySsX0nho6v7amBsLJqZO5vY9kdhRHn1yQ5nhx7
CnLZYUIJJllQcGl45ddW9IQXnHRrWEbASI+lL32QfnSgk9QEIEaxDr7uFRaIiFF8ugf3eauZdr+J
mmZ87JLZPlhU91HzR3FKVm2muuPSuDLas72I78tC3cVW/zm0SRlHjci34zhBbSWmd2Nb1EBgf0Kb
D/ENMtVNd16Lsy2HLXcw/Xl6sIrqzsqkALlriS5Ii3i61/MQAHPTtPUO/1B0MzpXfmE/WqTXd3ji
ysugNAr0+v4q0sUNlPEgy5znKJ+uwZJO67aDW5UO6hyp5qDNNNgyuBiiQVHouZnsKeGjaq7Z137N
aKNEbiT07Ft7XE75eoJJsWmNDc2xax2KK5NluvrCcQkEmfJ66vUzvcvs5NhWep63rRhnjY3+GBZP
Zl4Dw4gLjWTW8trpQbL3VXmtP5qJovtr6u3VGK/MZktGqFkX3mDsJC3cpW28iVBLMPf7X/PUv7Ky
Ge9jcXRDebFaD1JrGnDWu1NzbLz2BIeQWKpkI8BW3/tOucUuIPl7J9dGw1XaDWk3+2IMc7tNfCOm
zcKz3xk7k1JSWdKum8lGQJbEIqywmU6pUB78HImxA2fSSTN871AaqjvkaZg/p1bk92wRm+RMZkE/
EF9Q+4l26ofGHeuAr2pzQFCYXinWIAMoh+pCdWB/cN0y/0RC2r2fRTJzdMqYSdc4r2On8k+1nzhb
wxmGbWsYEaFqapOLXhQPS0Xjg1cX3THV6+KxAPe0lb3JXF/VvnpjfMauzYj7azH4Nk2+oj7DQhpu
ja60rm1j7o6troxXI827jRtVIwKU75wkE7ODiin0ppA+/mCjCCeoKSb1peasPjD046rP2FWvOMoP
Zwo32lOOx56sf9/rFw9R626wenlthKZxLrIqfiRV71+BIFdnviru2dIG/QwZqcVxgV9yvcTvdkbO
gBptOVoGf9NtiiGi3H+3yvyz7Nq3gNY/6G3e4jQyBaI3D26gOFDVfhytZDA0Kqsh8+rROMUoRVX9
IW365lpaZQlSQoe1awzDajKNLjAG2hEGohAbe9SijWi7R6dvtC2jXY5sbtrwhG0MjiuUuEPbRrKl
AS565QTAQTaheOXilHp6Ivp47YZ4RhPpz5d6aaMToZdfTVHOByXjRzskXKgAm+2bsS/WYG3sVTzZ
D0pB+O26obhxuoh8AeT28KEeBlPb+faERE1Zu8QnWfIXU3cTQ6VgszbtyjkOURCTsMe9XEQxOjox
o1dKwKlchfdUkUAzykfLjb3XhmZkNAv2Q6Z317mIJUlbrjEaBHWJ9US2LslmPXd2jFTPmkVf2VQY
hEI6664e26V+5z4kgbSu6R9iCG4ftTwZ1zPhgw0Hn2yF6jSvSTxP+PmKUzOL/hSqCoMit3+STKid
TbQdygSLUacgjwGKIV3kRO8xA+Jj2Q9iq0UU+5Dys6+rKYV046NDMjZJ7+rZiYi7RsU10pG7ODn4
Ks0u36qZsd55qBEKaZdtzomt+VcdHZKPsR6Z5yhx5HUG6O8Oard+oegKwZZmuPbEZz3C13aSq0Fv
/StgA3zfISk0X6ixZpgFCjH+KPIKF5YKx61a7hS2ws7JW+4ec7mPuuWOyrFfHuNwtK4zrRxva5nI
s9BL1ueY/pkaAk1QOqp5kxNUa/yOotlmyx3sL/eyvtzVIXr7A/bW8YoUZnSoe5KEcnkOJMsTYZoH
51SLKlv3sly+B9K795ZnSLI8TebluUKStFqL5VljL08dvNCYspYnEccBtQdbrR8yz0jOZeTwyBpb
VTwr9u0Hzk/+oW4H7NxtR0lk63hvaW5OpzrU4AA5mXuJC58Ho8//fWID4rwTxCcJmzrtFo6Yc+H/
1m46SfKO7gHBWQXH4JpgJnq0HipcQM3ss0NBGOPX9vwM245pu0v7UQJ7mbr40VkaKiw17QuB8nRd
uqnHiExSqzDDMZkD0x8Rg4yB+vZjCeqhfsajoHD42BnNDCmFRO2+ihSNDdCnI3ggTbI0ObRe322s
vJzIEMjEp/2b+ZxYeYTbo8CfRhltitlGZhttG5KiEgsygiAtdiYMMDcWg8crLxrt21FzjW2OdLlR
qTDumllhILG+dU9IJyaFpSnDY9aYVj5jxxq4Uu9wnqaKAoQNqYhY23TfOi0AnlDK5PLYfJnznMIL
UISUX7CvpAhjVIY0zlCFzbuslVyXUt4y6sO0nqYDAwCmTq1Z7kld6dvUbR/bni5tS4IK0a8Qleor
kYA+NFstXLNHRQFS9B7rLmqHEU7I17SoBUVVMx8SmF70Pv1UY9LdTunwju9Krj1lrT1/Mi+hLofr
quUedRr1OXE/51LzafkGzOQgKwJFZBmwKinoRNZ3LvUhxDfv0qVPZKRYxFgaRmIKE9cR7cGbDmH3
1CL57KlmIvabWEdMOndEZ1nzEmQXjfV/o8/1e740mPAZRat0aTVR8XBhOX+cl7ITWwzxoemYtA4U
O5zSRb0fB7BIhqdTamHI6atfGUv6M6IXdd2oVk/JZiVu9P+VmI//JcwH1A3Mtf/6kHd+y5r47cvw
8VH/cM77/ef+UGCWHqdl5OI6FgVPJKv/rsCYsD8MHtPwqr7x7vgvf7iJDeM3V8do7MPbhl3jCN7G
HwqM99sCyMP5izLjmoLM779zyPsp6g7k1GeL4Lq64Timh63wp92CXQ1hrKwS9sBQHP0CePLA3I9v
8Sd6sxkmunpA0hKsuep2IeWKeP/1J1gG+rlq+hdrSF+7Wl1jpFjIHH23b2V7SRmyIpzj5KkgSnFX
N2Kt7Pyl9ZZuTz97oVww8PvpCFSd6XaH+W+otbU5pDfffRr/ZDP0I73k2y/HCRZwID2aMAPFT78c
pahxO090tYxFGkCj3mbhV/oqL7hl1//eK2EYxw5O6TUFWwhtCwnxez0r4mno9qTRcdChOYAAS0vt
PLVVYNRR8OuXshb6wD82eKTyxTJNW/6wbP5YMMDfvxZz1KHQGEKxvvbvHAncNT6b53Yip6JgOoV9
FaEI91lAWqoO3J7jou4IKqUjiaUSOWs/d/VOJO4r/9dDWRZX2A7nwLbVS6QNp8px38w4EHbNmd6p
PquxmOgQRYQbgY9OImKmBX1lG1o6k96O3T7mUQ5f9FwKPRmCOJxwCM2vUiafLOlyuM5A+P76Gnzb
xP50DYBe67bpMDaxjZ9HE6Htxv1k4QmqPG8XI5wbBV7ZOqa+HG3Mr17qwmFY2OP1xBCRwCbFofiF
foaPX7+Rby/04xtxFyw/NQdUu3mcAH76MGLc50VExIOtBGKlxBdCLO/FixpGpUb+DtDvJFImyXl+
Ut38UNnTbR+m7g7FIl8Vvnlrdep+yWyOttwxaX+b0+hTMRlbyIJ3f/Fmf4YIu5CMeQgh3esuLlTr
p29pCYhSy9ox3uj6TIrnm/92eBC9fi815wpF7qHpqkPqO/t5ZDtMMTcVPOwqBJZJZFY1g1OA9u+S
5lnPdA7EDkyTWonf15t/Seb/06fL+6Tzw8RzxK1k86T78aLakXSdBJ88fVb5fe2ltFMU7FLlMN4M
dnfClQ4/Jx3ox3RaDB9q/tTL+R479qZjr/nri7Zck+8/4J/ei7dc0++Uat2pjTx38zAIQfCNtb5i
U7fSSXqRSNk1f/ly355JP78eIG/wI3xSrvkzf8O1QmZEAF0Cq8WFBvyFUFCrAkps+FaIeyPKza03
FVXQVzhFZeEmFyeeDkKPP2GFI4CWgqyJBuIPpV++LH3kEYV2Rdo8zAkiNriUfE3N1gi6ILn1CzDM
LQXjmjWf0QXEHm8YQwtafdaqx0yNCrWBzHvi0IkcgO14I4Q8szmKtiHjbHZYFMO27Ec2VHTNJO2w
QnM4tzatNV9+/UH8+DDHJsCXAsuJ47BWGYxMf/pSTJbOZqnlg0DQ3swiov78ekw9ChSufv1C5p9v
EzwRWB/QCnghy/5p2bBnwFVlyD1tpe4p6bMPBjKEIj2qCOelZcBv4ud0HO6FnA8tyFVrMl9Dr1hE
lvCTCr01reZfaPIBbp3tVY6U36qrscp3v36f4s9fzR/f5zK//f6riUEtMmuZESx2zpMxbAkBp2sw
0C+4/3T62XqiN3WfkJ/F3k/D8pUaGYd5tXyJaC2BTzHTPigabTOO0tojOvRXqlFFkJpDtifjFu4i
6YjjjMT51A2iWteyve4rxl2i7hhstJTbaGYNfouWorXDsBjPPa2GoRQLGXdqqSBNig3krw59q3oe
2/QtjGuQX/UwfZrs7slEfAlmdg5fMfnS3YrPfRtysDrhO5u3lI89/fqa/flLxG6HUDFbKwwsrCA/
XrKs9dluWKUfRHYIuSjjIdgzYnV3YW1uf/1Sxj97LfYcrmUzpYck9NM6Paa67Bqr8oPenK1j183P
4JesU42Z9QnQDK1spE6ccrpqoq9M1oc1Y5ulRIkFdmjhqM6T4fCh2Opi+NNfvLkffTfLzUSXi81d
i7mHu+nnbR9kX6OwIS0xX82PU7R1be00y8e/uAI/71QWPh2toybcLpjNpvvTFVBmFnUM4Wn7BFzi
jYsIbJNhCm3GtklcBSAR7oaort9yaT+mw3RrNxY8ObJPrii7jZyLGmk4KTcuBFDE/vica/BKVeiK
v9hQ/LN36niCRZGvBX6dnx4uLepnPtqUZXpOxVMlwa+TUg0YgzWKsAKsnNjd6np48qCF/PoiLWm9
H573sNCIvzn4Z1mVEf9+/EYyjmnnKqqo6axdAPYujxjUPL8C6WneUWiM0U/+xUsa/+w1aYhdBCZW
WMy4P76mTxyIHJMNKEyGO1pXmU4wrDrWgj4aM2FrX3TvcdY/InG8pYnzZs5mvA61zy3dvutYq6pr
byy/gqM8GJW7TtKHX18S8acHMHEUZCc2uAvLkJ37j+9v1KRBkr3VAmZMAaLzLrTDbZhyu1Cd7KCi
zPD9+BIRCiKzHx+72fnUVGrctg5QXXgsNGaKO3Pov6ZxvC1GfRv1hNdoSLpA4NvRDMNSVWGer6t3
h/UWG2W07dHWDxR27eZaDMc0I3BVgG+Zxo5WI5vIC6kJYgavBn32COjbni44EUH76y2V/cUn5P6c
8YTr6HBsYYaxZEmp7P7xCpQJoATPiN2gwRhuFvYt8vPeLXsNDNmYc8pv1aax46t6jPK1EfJvKrtc
wbxvNm3U3LVquBMqZTFg5rlOMkErtmKBd4mBFfqLC1UlKHz8OIaFMtG07dKyNuGGIOY5OITCiuzs
RmIIkMrpiaxKfN3efW/5r4aZXDG4CrIcwkzKapCCKR90iDVzN3+JF5tZhy6iuiToeaOGXtzk+Xge
0/Sc5Zi0wEu89W0baJbFzKMcdm3rXFVatpOcQTajn5FZKIGwCmzsm5FRT6Xpxkof0OHaYgwmIxu3
sWjW1uhoOBUMcvT1+6Cimyp/cWkWTdqPX38Z/7TI0qficEgnh2ssRsqfngydU4bEXiz2Y+Zakipx
9321l6Byqv9DY5b/RrlsE5Acz7N/PUC5+ZIwQPl+dvLHj/yRxHZ/Y8DBVphezL9NSP5IYhtktPnH
NnSk8N+5qX9LYpu/2TxHv0tp/312QhKbJA8Db4ZzEO4Yxvw7sxNuRO7C75/dJLHxZ1rOMl8Q2H7M
H+/ShJGnh8QzbyEjSG1dFdAyVrgM9avYVfEGU5O/7Woj3KBWwkQ38yI8Y4rPtyw28pSltOiFo16E
ATkHH35VDTHSNFuXrBsrgdqZpc3G0Ugga/gVphSS0J6BjRxbeelP8gUsM4Z6s8oPiZXH+4KQ5r4r
evgwTRfvJWa3G9jboqUosu39wEZQZW2hbgNr4iS6AcukUuXB9HJxSjgl+6uuFs0mpKH5akhVJvHY
8MjnmDpqH9SCMH9Go/Q/Jz6mc10fvKvK/k/2zqNHciRNor+IA2pxDYaOyEit6kJkVmZTCyfpdJK/
fh+jewfdNYsezGEPCyzQt67KrBB0YZ/Zsyw91tAMIMnndAaAunVfO903SZDCc8PQ3lATvGrTdsBR
Cf9vTXA0e8n64l3NenqDDvoUEXwjkFQOZLLd9sN1Z2JEpkgeorZ3HzHdFzd6Ckx9pLIbiFNKCIBi
kcMwaRq3eh37UFtsIaTPm4C3bmPEWRJqoo2IZiTqoaUAMcwD/8avx+Jkxn3KhQgURtxQyuLW6UPk
OxnzzabYON4w/RiJdZ8TxHFMnjDtizClwxGMEELTMV9KtcNOt2aG7eRHkd0ZXJ+0hZGx4k0jjVMU
hiFWzag4PlDa4z8b8azfuRM424CoZ3DwGQR1Kz1bEELWSF2JX5rdR+0lShwUMJQTCRqTuAjC3G3t
l7TMlsIndVMSCmhOituohRmtSewVNQrU4uAEDO46qNNW6PZwCLbVhLGpG7FvQVAhbK9HPjMxKNrY
rTjss8ODRbzE5Gku6aBlP7SBEtKoIzZXZVRe8pKGAoJ44D83fedsnN4fz/RAD7c9kQU+ymDA6m8T
0e8ZyLXDo0/scAGNW+arBD/3UpM6ggKiWuOeenuXcCXSy9ppo3ovHa/Yl4GtEPzkML32OnYj4aTZ
fUdeZWNpSSw2WTpN8RkPRjxsZWEwyeOiGYUVCN8HGs78fe/lBMTyeNwySiOQHOXLitx49Q3j1Z6t
/hHEFEKlGrCTJS+1AjFZ59NwkT3vsdF52TtuBXnn1C1dRHZC9LutbvvRuJBnMda5HOf7nPQcPQga
bxnu3bAFSXcTAC4vdwVOS55qyqSJlbRIpBPpOKqjW7MlkkvqfAYOPjprW9PVt5dF7z3AsnPG8PVG
iWA8xA21qjQdemIvu9I+1+C9lgmP360AkUS3WYe1EEJKVJ3Ix7d4YJWR4pPUU+++SouOqFOb9KCy
Cu+mC4z2bTRt+PFG23AypnLXPTlNJMeD8s1OHghauUwaBsuffuAgSK3HzmdM01Fk8FWQIXXj0BCu
25x9vvsB2BoBqv5VIxszMtn3HAOk7gCZjDxarv+EmxYF56oWcDWdyUr5KOqcnk/p+eUx1fjxoW4M
03OC0kxnbl++kqu0y+MSq9qlTPyzcO4dmW0pLDWNFUu0nm88RxavRHnVTgYtRCUW+xcpGLcYVt9d
GKNX9Pg6jk9RuOvhxSbh/uVBaN112Glv8Mnm2yHRou1A4ffiZZmt29oYp0/ykUwpWw4hXts7+5Gn
iBW2ibd+1jdPKjUNWNP67EBMphm6/oqHvqYpyo2+M60j1OZxnmnVONCgqvODDRqXYzCdsz3uxthy
uqeUyZof2l7nx2GfYPt8mDrhDVxWutHdcmaYKenK8Nj0VcsxMc2qgo5hc6kSKJl4k6MpvcY8lJjg
Gb+bKQAbgujzUyaJ6kHtgq69spGBE47BduvuTKeKcV50QX4zOrXG9gJgr8H7QBJScp00qUTeTUE9
Q3JcCERFfFt0ZXFufci5mj2OXNbtmNYENp5VqbrmCPZr7pjNumo3ESq6icE3PDupiM89E99kRXKg
+SFbXg4kJh6JVaeAjq49KaxTrGk+rHyPBo4QNJ2X7fO4UmA/0nL6qdsCzXPIp+ATXK9R0uGZMkRo
vAQe2ST0KthBx+GEp5fTNIWAhwhW5SBjHzrP66hKACSZnCLQuLDsyKcH7GB1ld7STN2eVJkoVEqO
6QfVmLa6KWyCxJbj8hR0WnmqseruFU3yyFrZOOI8YpnUVdLTBCD7bVe0+ofo5wd7ACsKzi+Sj/qY
2xUBf1BdyGGth80fRlG3Mufc/WjjSS/W4JHd11Y6Mghtt8nifd7PQ8Koz50pIiFHQGCL2uVQn9T0
HePTe8bQqh77IO7zdT1M/aOL1+8keIZXo2baD0Yn7FcqvEvafCv72EHnWjlZu7Q0TzdzUNhjKF1g
1L6TQ+6Yj2bPA7vCNE0MrKgBG0jLJn8HHxzbQJqUHRQAPkpaoQUumS3kIK3a2YVt/cbBiZ6sRvPL
6d6KsQg4+LOWn677p9yg22eXkv5+zsaM9Q7JqW+Ool5uGG0p+luN8jUgboNJnrQIyr1RZTagaFhs
WKQ0Y4i4GUbRuHYTzmuARVrYWF3e8UHT1ZmVtxg+kn7jD13xvvAJb9tM66cVkwOXFO0wVZwhAgb3
ulfId0Go7VaaMw472iDwycZO94ijQvuA1eOYIdY3L93IOGah0YnAhglheBGahV3e8qrBDySa3u3d
RldjmCey++7w2FjrMlaxD2EvsL19PfWAcVqJN2Sp+YAClugJC7ZLDQlEgr5UNx5VFjP1C70LrdEx
mi8KZBl/c/+itDvBKBXaSvykb6rYNwtyQeKow891JTH0VyoDO9NMWY+A1ZBlevzuLAAHR8+GVy2l
/n1FTXd2Mxj1s6+4+BBGSmNjAzrIOZULFCK78iESSBFMHSK2sqh9mxeMRHslSgwSuMSYY5oiNFX2
q4jyINaUhUNRuCT8tlUuxV12JVVo0UKtKK4EC27Q8j2VOVyLGDy+sY0dU71NSQn5Is+NLN5omP1P
mu3Hz5KcxbcsesBf0cAAegMpiFBoemVqMPMQ6/lK2gAeAHVDdLYb4kVy6WNdsByDlNHLsKA6xALt
aF2izc0C8tAWpMcM24MD6T4n4tiRdsyqrb0gQGBMQgPJFzCI5YMIUWVl4wJYuCFpmXevKg3yDb2q
Y8i+z3pC0pL2wAU70scFCdEhVk8iwpZQ9NQNkogb3wOo8QWzcV18xm0JyWROEuvnWNahipbunXp+
Z5r5PaQ4RzXCRPsuMgdj5U8uPkF7gaUEV25KdGWo5GkCQW9KzImQWau/GVfeSiJq2CvziMnOWoAs
FArDZrGunBZqjTF/qIBLMQttlX82V6oLZjHiGHaNU8G9cl+wvDT7lu0i7NkDDiN0wQdyz+oFm75Y
OVd+TJdxylyQMsOVLiOupBmtu1JnrgSaaoHRAIhjEgi2A9jLAqthftW+mWgAzpo2J+27vXJt0B/4
2QvshhVIN0OpWw0MjgWHo0MvwMpjxNoaF3RwB6qvfUSUx9weuTkUUpAP4od7pex0TQZOkgPa9I4p
rvkp4yuR50rn4cHjYJgu0J7AlR1UqcE6M0sy78rR6J6BnZI6sa7MH2vB/1RAPil2WqBA9oIH4tsD
KahMgAbZ1Bal+3pOgxOaEZ0Beu2BrcqutCH9Sh7KOpjb5oIjKq5kIq3z4jcm6C62e0WVeXGlGPW1
BU2KI5vxARNXHrEcxjfKJEq8mvzlCHYlImEMho5U6BZjHs6EmK0WfNIUMeZeQTJstNV8JSwlC2yJ
RSL7yJTybgrqlCwEI7BMvGcQmgYfo9jQGwlJnivDCarOS7dgnXhYbXwhoJ6GxjKOxoJ/8hcQVOJI
tWFVxfN25USlV2aUceVHxfNEY/0VKhU0QGjaBTU1Sic7t40TmCvvyqIautb4tBZAFY7iOEy13Nw2
MPVI+lQNWvx4aiPibmKBXAVWUtxa2Vzd1Z6bmYwusZMEHSYSuKPES5gGhA6L5EdApdOq9qXzIwXJ
+Dle+VrNFbUVVNlns+C3ZsgEj7I08jcTatIjjeHc//AsiQt24kjtTKOCJoXPvM9DHiwIX73ukCZa
sF8mj8VmLBVpdV3bK3oswqp6nKx5garwuu9xMVCIYzfWsJZe4J2mK2OM8HHx0i3gsXHmcLGGJw2P
DEpk8uUukDKCkv5GLOCyqrXmmI42cGZxH8g7d0GcFQvsjEaJ4pH1gk4qqFTEpRYs2rC0gPWKDXea
p+HJVMSC+EAjrl/vXsZqOwZ2/Ahc6d9I5r/ODLCJ6OgIKE1o9FQP/DKfaBxHeUVJLlb41FetfI+5
/Vi72ok8FybgIoiWyME/BZe739WKP9eg/6pvof9jAkFlDHSkencpoPnzEMm3+Citpp8p3jOye3J9
/cVOlngkCfVjyiRyZywR27//pb8K0MvLtKhS9XGpkiuwfhG9zdSoZ+x/404lcXHmXNPfoaSieetZ
8tTMtOlxCaTxAJTH73Le/6fK/01Dp4n7CPnqn9+Mf8Ej3skvRP3vtp3+Isf9/tf+kOMIf9MNsQhv
Dis/zqR/WpkoK+KyhuxG7RDTruX//LeViQS6bTJwMw2HaIppI5L9YWUy9H8w5DfQCC2yKsTW/6Mw
+fJF/YsYx8rvIxeyJdHcwdH9r19kpwkmXTZScIZx3iO41Z3PEYFqdI9KIe5IuVggtoF3birr55/e
qf/hGfqXp/aXX/3LINbMDC/P9U5sAhuEc5x0Odz1ed/k0acShv9vhgPm8kr+/EqXgRoNRJx48e3Y
5lJ4+udHNosGjKg2GGmIKTZZswinKuIQWQ4z305dA3cky3Z80mJTFNLfBN7ghXmjO5RhyDcibgIo
WvwCGftu6r0bJxtpbKOjuNejVyEik7eqT3F3ZycDqOvm798rzG//8s9n+Or7DiYmx+QL9cuKY7Yl
2JxB2Bsn7xlqWBaAlhoRj63VXs5Vs4MdbIJUjT52F8gsfbQj59ak+o5JKnu0LsVbji86zHz9XbOr
c2LZQGKg5HkEKsAlHDCh4XBV/FmzVERXlxRfrCioqhOMDf4kDrEw9Set0vHMRkW7hya/noZ45c33
U62HGbDuwUkebCfbx5P67Bhc5Cqh0g7yVzRQfpzm9/izH5piwgXwNS0ReUJIP8Z0nHfeRLCcc7N3
U7cBR3KjyQ+BL+UB7wV1Ud3SUOHzYkYoxHZrWDvqTuInN9fvK5zlrPH8Zgv2yNmMx+kjK3tvV9MZ
hb+uZ6OklWpli4rtmLlRu7YNmd5OhHZWdqHAAno5u5zHdYzqo+Bok9g/+/4SHwmy7k5hkicG2FXH
vqv9H5ZuemQG0/rWJzjN8XTRn9HZfiBRBBtHJeYnCLfhG3q+fhyME5QmdVGEZ6DV+l23zay83pJq
m4+V5FfoCyJtqCCXVV7zlabZVxrX7gE4FBgdU6gtfTP3WtcATZySY5QX76Qxj4K4L6QrTi98NE43
tXuj4y80GcBIVUbZmu1Q3HAB24yyfgKaUp3//gtpLir9nx8njhrIKK6FDZPjoPerny6Ia0M0/WRs
ZFFUFKzQjgCVSfRJHlZ+3KBUONZTmprjeU6k9iOJnEXh9QVyUkprue9ZzzDIw3mR7JSU/vdY+dOj
levFrqMNK3SDTicRVeevAI0ll8tI/+36Ev5/U/u3m1qgs7r83aZWZR+ff93Qrn/lD28uWUp2C77n
FtNU+oFZ2H+fL0FHYYWihBoPGo5LfXHt/rGhWcyXDCyzAYN7trTl6/LHfmYG7IKc3fiLnKcwKpn/
yXiJMdYvX0z2U5fddKkGdPhvMQH/eZ2P4ziHpmhWOymHbt8aufyoUpdqM268d1ahdSclcIIXml2f
qsFPsF9V8aEdqSwI9IqgCKrpi0/G5Sto6XfBlK5tPQZqTACy8aTlVYKPChAi6mp0tEsGPfE4f5BY
v6vpZrEkDbfuWJ40jfggT7G3AqtIm2iQIpRzMUDzeDFr+yuyZWgN1E/kXSN2JlgnNEadOa1o2Hsn
00/RPj3juXBSgBQCU88RabS6AS4333LKLH/CqNPDxSPxOaVc4Ph96pbtXNua0Cp51ly4i0RR4c3T
OBPaE8PlNojyHw5o2nU881ujkn4t2JxF8zXo5EMQdONXG+LEQatqi4JXKDCiKu8BhdQfOaysY2ZM
JRccf7yV9KPBS3FGi4gh0jFIv1HeJUAh9lruVqc6VvKBFIuzoHKp6aHHyHyeEDXjdhwfUwJxly6x
GabhvN3BK7lDkB+e+0CPv0WRtm+pq+z7knEZnSp+cJf6wiL4AFajdKP0EZ+JSRZ+eoH5JO4SiupY
OoSztL+Szyuj9EwZU/WiGBQioetLJ0fMOAeiWytE9qFEk16SxEcopEnCIIyhvOGR1Z5AVpN8R8Sw
wjldaIvSFW9uOlHMC5vupzsDEskmf157wfiamM0+TxxMSnRAp41h3A/QWDapD+uRLrTgzaZC+WxM
jX0iULhE1+fii4kAMLicclrIoIlzmWhnvlRzs2zR2Dp/No4Uu8anvKAbuU3lSauOlN9EF1VU4G7R
7MLe8I0D9BLzBvrmd9SeDPONdix9g1M9eETMrY+F03XrmRk8gJcMWMYcT5QIlFpT0XloQJSP3Tq/
BMmMdV2bp2cTduZtVTDojO1avBrdTAoUNCI9PGQ1J1MM1ImXbWh5g1pLgw9oBX4mWEpl23qV1E23
15PIWtML0oPjdH/D+ObTv0OhtjBFsHV7xklARcdDzy5z4aZDnpkSwiB3iFfSrLhlD/OeArQpxsJl
8eEmGjavLrXS0AHuj+CM1Je1CF9inqbtXBFdHSeoZNqkC9TuWt+ArOUYCWTupnTraW8K6e2KTC8P
5ezdVmO7Ky2wxp4/NzeRH9lrh/CQ07srbxqb3QzOsMEz1GaEYtBXQ2XWn2Akd4hV6Qn1yV81Us/v
0bNTRGHq/3IEPNvIbRpXljEDrVP4nHT/PU/HaUAprIZ7IxXqwQUJTWDos5pj4nXduau8n9lQuXcz
Hpp9oy1tfkYZsfgsP5EiMStUhirCZn5Qnf1AFAvdt2j7NYfM6TEOKMayFBxHRgYiHNPyy3LqC/BF
GsNJ/YSGdMnMuI2kewmMjm7k867NXZ0pADp7PVXGiTFqf6ypyNvIvvG+exxt9Hm71g3yLg8Tx+hN
hILyCLaad3W0TRaPYAy7YRBhTasfyJui2vjGtCQcIPi+xjQpHSwvw8+dc8LhIF4fR09LQy8fut1Q
Z8DqameMVyBpuZ/OoEiJQs53fjw7W7SvbhVZsUe6eRrXBMWj1ZQ7SegAuwVklfS7PBBEpyKPAtVJ
cmqVJJtwMVufDRY5wZ+upzPCIrxivR+PEC6iV8SqORzIWJ3JIFHZJsbqWBXKJ28UVJ+K6NuJk5pO
jinXH3jIsaxhGIjgXgo3xfejrGf394qMpS0jvxZnRHbiX7qYhW+TpHSrZQNC9Ri58dcYlM+WEmID
3HinFQZd6Hm3Z8LirdkwnLeh0u5lpy5TyiuneScZ0mqR8Wn3wMqZvbVL5UdZ+FmYTfA8aqC766gt
gmmVwYdBFE06CmQlzz/gGgKcNIn0lQOLxis2uc6gJomBONFvtqKA6Cwzh/4hCxkrt+xTNtPGhB3k
sZqH8eRcS0qcyu4fE402H2ZqXzka2l7VsbGOouGG1Og93Sj2Os80AHv+0IYpoOBtj/F1B3mq2VkO
K7iztKSMEV4jWXLaZWBznwzeMyDgPgAKQLmKkTfTW5OxbADJLjNnP7gRxYNLJYsOtYlCmnZH1cvi
GKC0JeUE/wD2cjjx08PCH/bRQGQ2Z9Uv0idUkYtZxpt6KX8pi7jcIFzqK2ephkmWkhiIONlxrHP7
AJID/jev/NVZamU6K8OQJfz8wC6xr/qoeYxBYO0mISMnNAb4llgO6KcZl6Ya4U79rUeD2Kmm1eqb
qbtGk9W4bIMTl4yl5abjwr72Zig7Hak03G5y4+ryTdKQAyNoKRmcL0YZc41JTLZZyEDUTxFCC0Ra
w9fKWFRHQz9CZYtXyurO2BnCcqnjMRMadezM2sHr3LX4qla9yKwGAx5pQ2PuDy1u/nH0m7PJqAHH
QfZtdFPgbN2KwRHTELN9pPtbnBv/2xst9VvqTdFFjECtVOSYJwcYYbUbrm1Cda36j5lt6DuDHLoG
blncwR9uFrjSKNjesmF+KpfCIsDVdBcFUw6fSxWpuJ8ATK6nBo+NthQeOX3ZOqvUnPQXlp4lpUl7
ZScqur/MSe10E6V79gt/LVWbhZORuI9anowwj6a53LnwZ5K1lXRPTaKxSQv/1tdgFK2gxEDw96Ba
1hxRYr35hgswPjWlVwDY8dyttAt2b8sqg3vcRC+jN9zR/E09UJVcEEe3rvSbVW/JN3C2zy3Xt5VV
5dY9ukq9xeM/bdn2qHG5VkwxqfTesqV3ip6FQ+zkP7PE3ln1gnhPT33q7VWvJCNGm5vObJdw8nIL
ZB7oIt72bFNnTr01dEr6HHkHGvMh15OfbGgvOD2+OsfeAel0Ls2C34sNOwjdjESEQ/adfZdTWJRs
HFhA68ydp5ums/UwwuOwtiZbXDDUbwvmYMkabHi3DhJbAj4G+ec1AvqfxnRjneGJfGL59c/TFUrT
L3wajvDVwTA4ddrJRa/z9KQtdU/pwrQRdCTfc4qbHuuswDU4KEAHPs7dMvuicYr9ZrTlSfJBh6KQ
gJK7GhQHmcvOIWrrdCYYtMYKjpGZ9mt4GOOeCKwe1q32kTGR2k+Cqhnk6IXdJdwNfgdkis4d1/Wc
OOdORQbkfVscsU8AVq1VTAdbdiq1UbyDdfNeiPr4AL1wt6xyGiyIzvT+Q4u4extEBkznrP7wC2oJ
naCFA8buA0jDPeA7AS8r+jeBH0oMtbNOTYIuU7kUvufZMdIN7dVJS/+tKpW2SUWiPVd2uwbkyw0e
oAUdfbx13yNdQhtOlO69wlMTjgwlmGcxYTzCRi/I6uFBwaC9t1Tv8qaW8TmKtebO89mk4rogglLJ
V0JVdIOkfvtOwR32GEcs41NXaCw8lFrgJuq2Bo2ifHcI3yZTGUHfD6hvA4IWzo7t7JpBRs8VZNF7
oun+WiQierDahurDNG4OnMHUQ20W1Wsbtxg7S4W1CXDVg6mV+mpI++KrLg1vRy1e9VvAJGE3qsYO
fcEJGtuBfQYyCVBk1qryIzXT5OwMc+asDAwwJ7Lh6WMcc8pjuCfSl476IJbaBi+ajOKLUej6LrZK
/WJ4CE6S7jic3l13iJZeVN2r4h+VPRuriDnSWmmq/LKFDC6a3zgvk2Fo5K2VuwJWRj1bRxNfzrz3
scaVfFS+L9jyjHTgrWcGxewz3fDEZGHXLZtrldx3mb2d8bRzYOu6F1rv7L3WjeriWYzUXSWqi931
3amkbWYzR9G3olL5CsRyt1UxcXQbrWiLDuZTjdjixwCA86Bmt9uMvSFOcZe5nD9dZz/1Dgw3h+1t
LuPgu+kjcx1wATwkk1/funGaXqAIpnvH7jmQ25U41oBD2TXsYEvij8GRmd7lmqJvOOZk7oMQwetj
MLkxwdibc3tb6gnlJ6NDAMbr4YvNOfJhYwYHQOTW2VFt/hsvVGyigApqgJOIbkVfR8Sap9+caP7Z
l/m08nVcKo3yY6xMIyyxwFgye1C1yqKKTlESX4Y85+QIZcNspnyNN3Og+9dJX1Mtm9ZqLt5rfwBJ
F2fezUKkKYm5bysMJmFtduq0XPIT2ry+haIJzS9BpPXBtImggKybSWQvSWJSjOJRI7tOeObWxcAs
GnIZzAzZGmebI1goTLN6jjnAR9zlhpdYd1wiLvpjNsXR1o62vop2Ri7yY1QO95ly115Ml0o0cSTX
dSgPxkSp6yy2fWyOTBbH28zuPvl60v1CRPUia8g8kAG7teiFx53btXftjAi7yvUKAKPFF7WI4By2
mXsri+R9TvRLzPq5KXRTX84GKQAaTdsMjWZuuOdFe5+Axzq30/Z+aIp0jSdT7IcumDeas2AAnS47
GgOjVDGU/q2cJ3vXYU0jwRTfDJ5FSwin0Zj2OmlQQYB6toZKYdLIUC8o4zkwX+FFhuPigxIFCKWi
ph2nbjQmfLmzT+pz7vu0XcWDOqPl+UzktHF47Jysei8jOtWxORkR9fTVrK2ixBsx6iRi1EHtZPdl
a2gPsKTKnvo7ewAPCai155jpDJe6zKtL1mfGD3bA9kKWkmsu9dEhNWfCX8102eFs04I3CbPgBdKJ
vRED95ZVn07cT8uKEuqKiiQY80G/85rYxSg65sepd+XBmWrnwRpteychzfx0W1oXsLfI9L3GFoN5
oJzBtjU8jAOLJ29NcIpILBwAK/n7wFQ4n1w7p5+y61GsW5uuQV29DFTKPfZC2Rf65ClINqp6Xrl6
e2vxmd4DDeUfA0r+JTbVd1Nk5oabEPWm+mDcAj0FfD9GWI8sa0A3cBYvFkPsW3ZbY1PaQ86VIwFa
P2lnLQN2mxcE5Og7TVaBIbTFlRoQzEsdNJ4547HVm8B79IpRw5psKg7cdXmjl/oGEyPO3thhxRpi
eOETYPegtagK6uun0c0/2obK5inVVplKv3JY2wdPtKB6AClA4aWYwhpfOy4/Ps8wTOLpRgbTD1i3
2jEli3H/v6J7/l9yzBPp/1tF8+Ej++j65KP6i6j5+9/6Q9SEEOC5HsmexeBuLaGr3zVNN/iHTQ5+
CZYs6XF/Icf9t6ap/2NhCvyPUDnrH8jj2Okdy4ILrhMW+g/ay0DR/SJqGqSrmHH7TLc9y8PY/1dR
s9abUcMx2231kn6HnRaNXXRjFg7p6S5gXIDk7tYrTGOduwuyDKCpYMJQrUsuD5euDUBllGbsn8yB
jnBljdbZFUEOG39qWqyeqsW5NXMrhmIvS1PSlDBupZdZdDwIT/W7qbVQ4oahmTe4yzQVSupObmSr
2haTUeUegBxR2ydlCT/fhcbzPqfjqDgckvTe+JzYWgTCEjKbXkXxefQH99PCV7WJvUDhUQ+oKc6N
+UZovrYpqRKDogUkrREyfxhIa/4cTF37mCq49M9wzdzPMu+rN3jYcYtWKhfbuEPRzza2uxgt08te
CyJiNFroJtMtGqBzfwdqYHzsdEiR4IVa86xjZ36fpiZaN/M0vtNaMioahfXmkiLU6uuyMrKBqGE/
Mwc0oXati57E79rFhV6shpIq5NXQGmBCqcJsbll4KQiYDBm8N7VhxR965TPHonhNyzeKOSoeQ4ID
REcN593vDeL3vUpI6NgBz3nXWQWcpJIehrXmBYN18uk+ZvCFf804wBBuQ3s5V0rZIzqYfd/xAliv
IM6NbbkV5AM+rV5ieoSdfYc+Z38lhjE+B9CN8D+xf1Yrhcfm2FAXUUP+VSPkWNW8MNeC8EdQih5Q
R0JBgaaMr0efpfOS0HH0IkSTx2sxB1AMxWzXD4YbZ4LG9W58GVRf3IHXS+6XtgRCqFMf7Gl+6XaW
PsZvWTwuZmiT/h5/nVZytODbkuhEdhrao2soQwvx8GjGFoPWZO5pzsw+nI6BIcmNPLZOBn4lXFno
8HxmBjkuBGH9qRMDTrHId6dmxeFQDFwSlw6UfvIQMAO2qhdJcnAOZaHGd6a+/jlLgyDneNRGNGZg
W2n4wsKp4SjkKkQm0pLWDs5vy21Mcefe9KKEX0zbz7Czs0CeuY+Zi4LjP+cZEC6Kp/itWtWVJXVw
5XwXZRjWIR8LKoyCztqnwrXuKKrsT+OgJ+2u6EiBrwxAgu9Q3POT52mRxnkASFLT697aqLjwbtHf
+mMa0Zkd6iNowtapaLqravc9iDMm4qWRGkhwUoubNdeDQIVWYxawjc2W6lJywltEB7nVax1UODFl
ygK558cP9mwGciWSLHjTVSpeQXz4n+7g2yBUB3rfdY0fTpI0hwvlv8oh9YuwtrhRTL1hf3g0pem3
sc1YEo1KwSYLxkLewpdS0zqHx3psBxu03Fxwb9tyRZFvTp10nzDuuFMW3BGKXcs6kG3NfJbWPp/M
yVnFrr40zmOylysMchiXoYUrJ6xTj4hNgu0B+JQbLDBth3amTZpbXYlaz046zaNtrM3GbBfYFJYk
6vL8ZYit9xO9HXqQE7HnC/tR21r6kWuNRltDkBRfaD7GNgti61zxhHOH1rvkZ+sSXvW8xtmNAB5e
kkDSVUontf2zlWV260+ea5/G2U3bS8xR84c2V/ACKtJ0hl4HZx8D6DPfqKX8JeBbWbVzvWUzmd5z
ORUXEfu6CjFSUqUo8tjc4W+uGBN7w8+sxRQPTVuEE/e/TZWMOKRkZkiuL70xuOe4cOdHFhunfCKK
Q6Qw0/yLGfOF4Joo2iN8q/wtnSzGSxSWeN5KL0rtFZiovOSUDaHBo++v/IwayxVH44KiZC8+67pZ
f/UWREbW9pS2Ch8fhv9iA+cG36aXlrZlcDZ5O7tqecyU7eiAShYC/E3rTf3ei2rnyY+MwlgbSqIV
LKRvG8xktemyOjlZTvoj7o1ybxUpFxyzkR/FKJtHqQYbFOmE8jE62qPNclbirhPYxsHpkVGIg8Lc
yGkePrA2W+4+Ha3qjokAuZ4BOxkTj945eIWY3/rCY6Zh1MrfGFRwVfs26u2ULqhydPizUfqC2gBr
UiZ+sSVOYx3y0aReJrdnzp+m0o0vdEzvFou79UPThvLOhGEO5H2UL0U8+inlhgyR+MdzpltZjqp+
ZEU57okijFS4qyb9cnGZ0/nV1v5Gm0mohANNXN5TrMnhN7ikJtmdshQ/nNb2WmCAXUsUOAMEhI2U
Crh0jBxmBDVA0AI8Js3Bw0RexJmjO9kOs76BeBYPa6KnrFq2ZpAOo1WCjTuP9vrMpcgsAzoFg0g9
UkIwnkzNNPexHJInQsgJJAp/2DREtPAL9PK9m5BcVnEJ+oJoRMm1f3kONUIhXsW9v7Vue+E+yMIb
15YrXusY308UI/fQpO7TTu1EJ0o8JfTwzv4a6W05xEngh2RIaZ8ammltTyk0dK6vYHW+nTH97GNb
2xlpUa+XUgnEaCRrGqVBhL/2OReuTQ3pn34Epwtwm9S2sg60YKD1InllzUHZEdoe1n4y7ZYGrnwN
lRTwWIzbfd6ORDNGEKD+V12LGmKn0RsvSeNrNHuDyHP2Kqc/7YKzuPqKyMVhWh446thJUfbLVa4+
233GCCnQl/RFpm3MgcYMmSA944z017RLoLQVVpodIGfomwQQ+0PuABd0hui/2DuTHsmNLUv/lUbv
+WCcyUXXwkmfPeYxY0NETqRxNM7Dr++PT+p6maGUhLcpVAG9EZCSIj2cg9m1e8/5Th5Gg599QRNt
fPdk1H3KPbMNp2VuP2u1WQW0FiyJtRf7xMayI+faZbIC6WEsdaYIOQw50ZQZ4Im00rQnK5F5vYnG
QVaBh/q8DI1aDst1vfrdtgUPDI5jRTQm7LbO1LfA/Kejkpp5XeureD6fTKCNld6biHY5Yx79xWy/
easaqXCIU17xG/mxKADdBqwIg7szJ+HdLAukys1SNv7VuCj/QnAi0tFO75PPhWrNk900WraJcCB8
VkbnUKj41fyG7qVLwxmDjR8w/YUn3GM3cPccpsjI6gSK72OMlHRfzIArOT536ZVO/Ia56TPTJZ9+
ck5ZgSkN3SvH28ox2meKKFyBwGGML209N6991SWnHMhCEpaGZ8gNm9J0HaMIYidhHk9wkG5H+qY1
9fSmd3U4mKZjd6FytGQJ9axrnAtHsOJoA9rD7MFitxvHZt39OKDnbKuCz8NSulzZOa9pMCFmCAs7
p9kHEv6Z7CPXRbwrq6OnuTSFx7pPDyVTprshVXFFcocBjZLQXYoC5kOzvGn0KL6a0rZhnm+01C+O
X98ZkJTuo7Zx8acaTscEZFho5Re9wXMyrFGXmZn3AshlGjb0P8KhS3DFaRSmd3Zsj+c+4vIEwNxB
+LKM28/ZSFXMkpHMiol2mdVb8M5e8RLbafUNdZghgQESiYpka62O0kQtRLP3Xf5OoUCC1zDhD/SU
asWmqrt54bXxGaMAxXcJna1TWiss0HPHhCLpnrPIIuYJHkp305NieC77YdjyCjTfit7W78dsSNpQ
V35+lyyT9mTUwn82oHzujcH3v/XmIJ5moNBnz7a1T7OINEYydbrcjVXaf2L9pVyw6o7QqMJr0z2G
BTw5YyG8oyjj+aWSM8agnj3mBfkJ6WxWZuUFi4BIsz28QeZ0lm/mbRCbGAWolAVzH8Hczdu0KMYh
X1P9nxx3QHJUDYl5lK3h5Lta0PiiJcHutrGSpJ6Jrk9ieVo6cqvs3kLh1lvkQm8kkZ9aSHyn/31g
pvClbWhMoofsycloOUs9w6ZKkgCf0dToe8IyCbTi6SVGAUcx9khTS1W6s5dxHLC8l5WvvZN34B5m
ou08IG5AqtJjUqYLnoxl4LgTIrKpvFfGBLp3b1fUJXufJw1GTDbptrtJo/7dLgFkzjEE6rHTGG1M
ubuNDavS9lNpOdCDHfwV/YJf6ZJgRsKpZFqDuWZeULCalYtG3LMfBfvNcsqiObrLfGqC27yHzx+z
I/gAUHOLWfs+Yaqfbwu4dVtDAOkzA7MYhpXpjbOaMViZ1HV9lSwktt2oSvZIY3RVWNfwQMroZIP2
T2680e1xsUJCGA/wcLuQfJLyDhNqrWF3piZ5nOm+kbJbz7a5a6clkUdGijJ9pbvdFAecr4z5VebN
7VuxzOLdl2nmrPNfO3rLnLiMaDrGukuR1JkRsbxyxL8KS6ilzGymWga6MROGEMazId5MZ0BE33TN
2Ac10JowkvbsX9i+6/EA7RT4N/TaZmsQr3EAopHtO/wyaCciZ3pIyq5Yae5OKnYJDXhvU1p9nF5V
0DEBjxR61W27DB51rSWDFnbx6OxnDH5k9DRoYnYKF3Qd+GXkRqey7ufa2MjOEMiEKjiiW00jrfPT
lFFuq3qai6t81f3ixcZOjc8Fcb86laKc/UPk+au+3i7c5JlNymmP1tSVlDliJDJiNHH8g85th+Ip
cWYr/azzDld3cd/NQO8UDnBGCPjoROsMRJ/6/qeU4s7aNDMqgLDl65AG2siZjMGYycw50ZgQbMk1
dC3mBC4xE0ZTO3QSG+2MseiTnzIo2dSw+iDlKvZEK1JvmjnRMMYhepu28X061KCyGplB/EKvji1h
MYd0n02OwpwEsuhs4BwjMRwr6ncEN5px1HH/augwR+z2XZ7MX+a4MU1E7fAzqO2H9lTXQ//QY8AN
CKEEX2rYaJIGs9aszWjl930MWS8kJzc7xxNvLFULisMw8uB1k7scD59b1wOuiiJNOOxC5LTTBuRc
c5Btg5GjHSANtUTscj+8dSaS4zK7mR0zN64QiA1xyE+TIYpcSWhhDcq1ZGxILF5A03d1uZbu15ql
X26n2mifWgQkvF6pat4LzSmPGimAgAbd6OKqvO0DEnZ0Z5PHdpOHS2GbNzZZu/fMiq29JE31mDJZ
XT6bOpfDGZ0GH8bUPXLl/YPlx+R0dGTqVttxaY9KlNN73Ir4eZ5l9zKDL0j3eqobp8HU3WMP/AB1
m4cXI84GVwUZzi4RuBW0kXAcbEWQUp1qoLb7HrHOYtLt32l8sWdiOfyzx3Cy2EwZk2OkwaQm0f/v
/LBtIqcmkl0S9bzIVAzh2HsRK3btO79poP/L9JrrB32pFBFBcdL998jEAJKyhrv9uRTz8b2Q+f+6
fv/a/9i5/P3HfvcXiH8AW6MpaED/80Fn/ctf4PwDXSVJdHhkvd+bmv/PX2D+w/KJyUH65iPeBab0
n3pM7x8oKFGYI5LHOcnQyvl3Wpcf/QVAsgyAWaZh82kYyVYYyA+0taY2vR6kb7NlWQf4W9BQ1Oq3
wiLkt6GCBEx1slj9cfVnyeaHK/ULf8HqH/hZocyXEODofBt5phAf/AVZ1BpFNmrdtolaMEaLKi85
aMTzX3+K8wEG61qegNSFU4wrT1Igl/Pnr0j7SqQjL/NWX/M9ow6NvdYlc9BMLWFSSODojKTGhYU5
2fdKSGziuvjCgh5vfTVBOEk6C6gQWdDT9WAzZ5mWyT7TR8CrZgNBrhtWGNm0JBrIlnlrM0NuiHBa
zodIKHRCyr2juLezK7VaNQETPJr0TwIwd/yF7lIR00NhcWNVTG7D3iFgm+Ubq0KGHsyGw5Lj+uoY
8LbmtWst2iNKBiokVZjLHdQ144J9QHt0sfCjNq38m9HEDu/idMH5vjbmNG1+SiXOhNqN8o2eToSX
5U6/Z+Gyzz6diL0NqOC4rFAtJJyaRgHuJlp2sNzauLh4Ltuw0WSP6rS2K/NcUy1CWoXpuI8llTKC
MCcjjXn23pDt4fXMDGXc0yCKVdAyiGKf0LhqrTkf5gGoe4eEjDNgnRR36FuHb0U0i0/0a1rOXrZW
zoGg4FEBI6fxdQ2mzTZUqsVDabYvfa3ZMPGRq/pGd/ZK6+yTd3uI06Y9DER57oFbvDm98K9Eb02E
NfXYTPO+7XF/ZGkvz05KGw6zwDRd97SguFlZBjx+goCB7XBveLHXB2ntVZeS6fgRuSx9kiEZH2Oz
SgHVkyIiAZ7u2pY++NJzu1s9E+956YgtQsI2Cny3mPaZ5t8UpERc6OHHu0w16sqEBlXhFyqxvVIl
uFrrHfQOcYrP+2mTidbrl1mOiaLNW0DGSMdIIWRE/pE3xbLze8AAsQuEHV2pvxss2LZO17cvTqx7
L6tR50qlimc6ts+eDsmpXZ9zEC55QO1vXZlz4z8OkGGwkvRdOLZVuzUFJDBEWIpuXw32hTvYPrpI
TX0itprsAdyrr4fDiqol88LXUBNlVa33CIrl+JZ6vanvlIOokkssyjrM2gEuYqKPNgyxZSlozYyG
NexgtJBIXbrm55J8rnthltQ6LrSc/bx6CkYzcr8tnNse3LH1n9bWOZrB1ZSQrvYE2RfWo4lCkliX
aqpdjHyZTztuGqAJRoMdjTtd0+o98FXQYKOQpG5NGWSFI57j8bOaJ2SnA+PdS9rojf6GIZbURdIc
A9Ylr+a9dtLP7dTkt6SSMYuP+/yxlYZ9gAhybEv6FV4+fl/Wmr5opnGXlab5ndYQZhBwNIc5tuVV
nfXJcWlgIuiRopMf1+aAiDZRZ2FLNu5+0rsnZzT8L2lkRketcpgi2BQaJWbABHQPKbuZqNM6lEgw
rxYdzhL+3+YFgB9j8H7UkQgt9nu0DOWuHyv53QCnvUU8Ud6X2uAhz/D19yJenFu9X2BaJxGXcPLa
J06L1T4fWnHpsLe/JqldP1epaT7hYrSOSUt3XVEoRAQdDaRs9n027lXbQnyiGzIR1AMgpPlCp5DM
lMRsyBYs0tyzngxkM6TN8ZOvzRLtIw5c36PIdNyDhWFt2eoJQtQDDtOF5HWZQlJ1KgivCX0Nn7rZ
C0mNYCIei5rDjT3N0CYYbEMXTgf5zpM2zZsySmYWJNeXItQkqzF8INQUCfLRdOfC2ixDc4WM9G7t
+pdOzcVpMWedOp9g+ZiZvOEdI5Qeb7Zm+/TtluFYCzd6aU2jARGpDaMWwmqT2hZZJa8NHu3oncqc
PmyEKPWMb3t87tOyc48RZ5eIWjJb7nTUMLSWzQSffSyn9zKd1HWHANQ4JYXnbweNkBggFUY4x1yY
csi1h7I31TfUwQPaWiItR9cgz0D0PZIjtMxEBDhzUb7y8CNBRqzJkJ+2im/us6hjQtXbNU3Zehwc
pJVu3bVBjxWM3tGo9E+TGsy1OZHpq6e8tDZOX3eftBJp8tbNlPVSWEq81jKWgagX44vsOyMwrQVK
Yrc0O0Ei4M1IH/9rS5DgNTJcP0U/2gnY04jpSbRZVvxKzOkw4H+TZ/rUNOwIPTcfUQNDUxktXvpN
ZXU1x+eGXwBiVrZKNhd6mqMOlWYTZ2mhEQKdKYTuYGDEBp6qzPfgi0owD7HdFwFOz2XaeXRRtD3y
cA/X+7rv4Basntl6ojgkWsHtg2oa1BPxPgsJ4am/45YhBU+9bmdlAPkQN7Lh0YH3N6J2u9NQDVjA
8sTUuqCoivKWwh+GksXrgJrDRQI727dtRLMAxYBr3qRIH645ECCzB5Z7ITqHFgktnnPh1+M+yegr
bZj+pqRJQqEkmRCC+D1RQrpDS3FpV3LXKNYXHa0kIAljGwvf+5rCcCatdZY+HKrMb783BPrR5EOj
iNKW6FvOBNRbwNCSV1QPVkgOVnenZaAOOme6TYCT3S/ZGD/rnU0cLglIQdQIhnAqMei0lIUdJK7f
XNokTm5aqKJEijma9QS+bfgykM3IOyMbF45APE8bFJ5iAUphio1p2c2VtyTwz8stjRE25L5u95ao
FBWEkTwOUzpeD4vihxOrzq4NAlAZXubmtTXpDhEOiMjvp64TG9qO4gwkHTlWUWwGmDeMDIeNttI1
qMl2UsQlqDbzizUQVclB6SabY7EpSMxCU6v4PH7Q2Q1R4Z5QMld7GDVGUCiV7LDHj+uYpPRuxwTP
4MZpdbMIM0y5FedDVZ0r9Div7HIobyoeKuogCqHvhKcv1xhHicv0pLaQgps69DpNAC600viFsC4W
qLYMqC8b2fbNN4YbXre3PNl96b0E3EzRDZzrhkapA1JIQrHycgAL4uVSBWnhzjZLq42U1scgMB5X
GxN/NdYdcB9FXzJDmetzO3dLHwy51XqUfDb7oepl/9Ih03zB6ZQT4OTRSFhLFWfTOT1zSOF5ltym
tXC+LCpz7yxIS886KeVxQGZytsJBiMboDKqvbdOK6qmOixY2HYbgjkvq+7d1q5brTDTDoSld67fz
qDCM9AYmhfc6ISwWwaT3DAAyz5nUMZqkhb6mcPhNhtVxHKzTHrmpbSTIfoYAkUg3owAcQSLQA04x
m1FFO9EgJGZN2AcxVc2l1/yk3c5xVV2StFDfOzfmY5iMTsN6X5iwRW2CnAHPGosYSle7vTT1mI83
ZWGRatcwnSmDnF4WkfWxNkc3sZi8MkwBD8EimxcuUJr5EukXBbG9s0GWPAxkWmunPnKZQaaDYQwn
36kHb6djrLj2qtw/9YObe5Q9YqICdkgVI0o2OymU3i3VmuFhzR+NFzcRDt1MPx1OuoXysNATrJEs
OhlLeuY+oUMYyjNiIQwNBALUI60/1CUhysGGklVN6ryUOUgf4DtTGGkLbVtXUEZtCT5tCWPj5DDA
hnAYgXNP/OaUzFH0kudD+gzhdJD4MKGjHm0SfI55BSwA4Zf2TehpRDtQRz0i2FWO80QrIKi8JH1l
AAygkKZM98LdVleWvqQ5/S6zO9os5oeozY0zSHFG7nbUXYCY55h1orVBwFffzvwSPSNca7pWg50n
oZvEUQsSsJ37UPm1/QjIjpnv35z69I/+P86yvtAdHNCch0mV4Hz944mT8XrX59LqtpEuciY48edS
lg+0qV5Nv3gAB8bG6iJfpMh8a5G5/6au+lMM/x+yDdbPJ4GSs6Dg3EmW2M+fT9DiYIyLhc4gZpjU
Dz2hhq5mat7BSnBTBNlAYODG8Mvka8nGYeArrHO0AcwPX/Vpto+zVvYXRxXdfYYL52r9MoFjCQOq
G4YKhCgKNi0d0KBnx+puadBW0e6fh9r/slbLj52W//gfJCRb+yTcrz/vxzzILJPFT72Y337k916M
R8woyZ8WVGrbQq7Fw/ebjMyjraILxxCYYEko4N//3okxPJJu+Bc++iLdXgkR/9mJMVxaMT6eMbAm
a2YpnZ1/Q0Sm/9yK4XhiwVy1GetQO9AVsT+0Yph1COp5BsXWkJDF24xZEFfyyooMdXKnkS24Xogi
ZEC6HVU8Pckxi0+lTq1Tiy4JdXQtiMgGD3NEi1WIpvF9WfTTsdJUd1W409/1b1aj7r/6N3/8fVci
wg+tI1ubnU56s35gRR4Ps4V3VDGPQJEVYT9A1YSxUBBpKaL9D7f0F40j858whb/66A+tI6yzBWdq
GgoyJstvQVlzDcmPaNN6qrZpr1UhqDmE7Dps18ywb6aBiTSKuiL0XR/EAu6Yw7yUNin2I8WrX+MC
bpIbPMvwDBRXzzGnm5y5xVXU9XMg3Qo2XFOKQ0uMvBrSbZNLlEaCvbqrNbz/CkPUaya1eQk59te3
VVIghu2KHry0iCGNMt6hQJXbXBnFqfBFdQVzT141iHQ+Jf2ITUNT1UWSpbidC7TUjeq2ovwyD4k4
4t/fQ+MkS89PGLWPuniyxmo6ugOk6dxkc4umWO4oj9Gs+C3Y68roX5W0xT4ptXSH858RVVxTLHAq
owuRPtlOdNPP4x3T/IbefTjm2qvVlv65y9PiNKf+S7uQVmj76tzMlgjnxOH8vMRXVHeo4PEEhh7l
/sbu5d4cFXI7z33vCoTe7Oolq2d6QvBPET/MNwCb7F1bZ922J2Ek0BJEVGqYyOroEe1HJJBX0WIi
GxCgwqpHEIGnaJmxtjZElmLEMTTE12mNHi2iUWGKegcghLhHap6dXIxhjxvP2hojpC8E0FkIB77a
8sXIVpWKvbBxxNsYN/HWiUeaUQh8ZlyG8m7sffPEW7ORWn8mWA1+iGdQnSXT4zRow91UTIzFCopD
5fQoF0eFh5buWzmBvWygNzZMWPDWVsmN3xMOMphmfsEABAEEBHLrORFYXEfsO5lER8tSXuAZnP5q
StYA/ryNhJIo+WEyl0ecNaR2A6ojiDMYkuK4mI0Z5qgPQH/zNE82qh+ORqjXPOhNJtKl8xgn1HCy
k3sxFJ8tt3zsaBg2vmHv69rb+In3KATbKBGUDNS5ljbTpA3Y34NjdmOQ1aYblC6A3dzwwGr2CmV+
tOkH0ixt7uaGcdHesZ/LssWUbSLcSmyFeSbv0xBtnBdEeQrso8Y55HrpvsbuopdCnLWY+G9nRFs6
MZDdVKoDa0WU8gPMUC2cXXc/jdbDajel9JygO84J6TN9eu14E9EsCZ6UrkIe16VEes6asdfGZm8b
yP8tJ74nndfb0LLC8Zsd68K7lx4S23qeHrtJwoiVQdcl1wPVBF4vMkABl07t85LXN24NGdUV/X2C
FIWBeCZ3uutvS9G/ZxKloRM3V03Gqb0oH1uNUePk72hRfiFQfNsx+gpzF8UbE6MkwJl77c9OstdJ
sZNpfSexQ5CVdTO58SmNSgODc60ZGyak7i6OnJJjilm1nxER21z3UjxMLShLACn3Gke/XSRH4nH9
YfoyAEcB8Nw4RCJOpv+ekMlJU1TJ47S0JKznvjUDGe4BfNYKYeHcEYqVMCybIPEeGiXBXmccPlUP
zr8pMvvOizgi5kO2XKUEdxxyILgnk3UR+Yd4ojFnBKx+43kWY//Y+B6LRYel0ow1AcVKxyOLCoPR
f+mKi+5O4ujXfXNfR0V/O9LUOEhamuhjyJjO0ZYBT8A71YEiRb4c3ah5PjUGIdu2kz3OZdpRyEJ/
dTLrmZMWJHHlZkE+x/qmoUTeagaZa0ZNA1Z4DIY7K89I3YF0Q9tl2fjUgzRA8VKkWiP2Gg6frSsw
+PlVa78WSHTdaGG9g0BXLB6akJHgVSTly6EZ3WWj6dV3okAPCJC6ve2Avddw3hxaX34ysXhvLRnd
udLEn51E2o7JAPX9QI9n1FL9iMSnvMbsc//X+9ha6X7YxcBxGLaOZcCliPggGtc1K9G1bJ1o+9Ud
sdnOoSBNu5eJ/TczkA819z+36p8+6UNpQTpWmUClNg9D3NsHK/K/6Us7MAY2qgC102fHoBU12Rb0
4nXlVS7Usr/+riYDqz98WUenxrFhJ8Fk+4D98KpyTMt2wYA2AAiGh2ygLe4Z/KByw4XdkIslaz17
6Dg9H7JSw1q5riQJkxMM8VF9BqcGY6etwD2kzR3gIj8EvsAqH+tleW27S3TIdCHDdMjjA8qv8mBM
E0Gf2EjDthSnphbeAU/Md6ychCzACgqKprjj99BA0Ofvf/19f3Vvf/y6H3BQqZXnwJts/aDZbXTf
NugSZ9rrITLiJfjrj/qZ0/XbzXVcgssF/yBUYP3vP9Rh+siYv0OHcpC9y5kbwdpsW28mnLCwsdXr
X3/Yh2naHz/tw/FJk8wIpyo1DrYcbhGhmy9mkZA+O8ZfdYlVqXay7haxXnLyOmM5dBqiciNjxOA5
cXflp/0h5U6GSE72hKpOu7TtO47vLG6oAYpQSm5hZo+CMOnUDo25Km/B50FZzhps55PO34Ylk2mS
dpnWoqReyxOLOuWvv+f6NT68m1T84D9pAHhc1/Vx/uGiEpftCI195ODUNj592gZBYRoZpZuj3UKY
hy3b13n2N7fyVy/qTx/7oaY2uorFrcICrFn2SnC3v7qZzs7cRKjjkdedynm6jsBb3OZrlYP1I/ub
F/WXvwKLkg87aB1X+x9e1FzoU6sKqR9MSR+0ZUuUdntFnCdI5M7GdaWcG9sT1Jum88aqX/92tv3T
A/ovHmf/x8//8Ob0ow+upiSvusv7N7OV03VXRuapqB0ebC3+G07WelL4eJ8dT9jcY50ZuP3h2ya0
/5uu8sTBNtv0QnD4SCsw6rZ//TT9YjXgev7rUz58p9YU5pDblXUoOhxkDN9QSAIB7rA2/83t+9Un
rV9FoBngtPqHxUCRbr8sjjgs0YhbxtNfcsc/ss/8zTf65WPy4wd9WAc4f/QdkDmL3QRGiRy7m9Rw
rb2PuoQki958yOIOoT7NwOSmXgtlQ3XqbzLtfnFkthjuG7yigqYOZ/ef39IomcYaKbZ5wAulDgt2
/kdlWPqRebZ5UOb0VCk/C+MBeIkcZsq3OKkDt86JkSu0d82VGThrjRWT6qI8Z3Hx4jQmpAVpPMOy
qf6m9WX+8WEDMIye3aOPwW9MUMtPiwoA3CwqloZfjfBBCFYVzXgh99WSA4rSlqvJd6at6gVqC8ax
8Uj+BodQbSehYoe2XebboWA5bQb6gEUZbVOc64XiTNNqIE04RHxXiu6hqBm3mKBFdHeoNxIkAz1d
D/OjJrutYgIVdor54JB/IxZL38xjXZClOliXtm1/K3H+f6PqcVbf/s//fv9ayDKULRFhX7ofu06E
OXJYpI3zwzrxBzgpo+z35j3D9vj1T372966VjlmRZ5y/ceWv6TZL5u9AN5dUIEQtf+hamToZQ7wY
q95IR0L0Q9QyDa31jYFaitP5tx7Yv9G1cv4Q6qXjoNQRuQrye5kZi3VF+mGnZOajGtt0jH2c2lgf
3dwZyWqw0b36kWu/t3Nk3OlsVht8akwDsqWcApHNjrEzQQHsRttFJtHCkcoGLIxR2tdBop56zJEl
g4DAJdItTJw6P7q40j4nDDCPIpUmo4AuBmHkY/fBou3Zy1GbCy8LPFeK+yjXzV3JrPLGMDEA5rXV
HdKy57eAO5JsUqeftiIbD1qpmm9xM6Cud7Oew0Qh/TAH9HktSL69xISXbGcDbhx5AfWuMMxkC1BA
btsu9c6caP0ARlcT1HqqEdhr+l/TArX9Zp3Y7vQ2svbV3IsHd5HyJlNOvefOuGFhTpm7sbpxOWks
NaFg9dkZDAyYzOa0/DaJ0bznbM9MV2NYM4VXWzBWhpkBfWIxgCL02bsb8zQOnVpVtxjF1GdR5PU1
8LKLRWwcmLarhVgfHDX5gezKyzC4Z0JB7hKtJyLX6m/dMoMPoxi4WyhHzUbuYY825KukE3wjJK85
WsxCXSlvolpLssh57GzX+WeQTiRC3ZJ31GHnJlvBWx40lKi08XN60LR3CSMoGmPYAQZysI3qne76
fDU3TfQG8dMm5MJTt0urQwejyeTQ8aG706RzeyD+TFxNSZLXDEZNZr5el9EA8vXs6BQTIWVEkRxy
jDRPgwm0l0aUnSF6XAboMZqOY9TTjpVRa19as4uCPrNpbfCkkQZSju7LmDvGmfnDuCnihKxfhyuy
jUAEfgVm1xAfnM0HP6kY3FR2Uu4F4XNvA3ssaC54Vjkyss+Nqj51WM4++T7OChKqs/sis4Zb/Fhk
BMkx36DjFZdS1u4lzXGH1LoDwLudLlE1xZdBTOUOzZ128MUIeD62jDtXW9WqgMLQgVkZT7RNLhHB
LD2SmSS7yif6cpCNjCkAKohGaGmqmSZW6j53jGiNoPXH5FjVcn6YJO4TIlD0W4N+jrWNbTW8k5c5
YjPCsmguSPnpBHRvEEjHS4QE97ASrR9b4eE8IppgvEEZ37zlTlQ3QZYuWN+GSbPra9hn0BwiErpX
NisRIgiOtG1mjpiiotFTB3SC0x7cAR9T2s54OzhO8Yz2vSHbQ+NW1NnkJts2pkQgBciszgtZC4GJ
Fvrkpka01SQTcZYLAl/oxshryHv+xlssRDnd0l0Gxxe3k45Qa4OEan7ACqKfrKyj12nBKPgifCO+
wV1ILLahp8ZuaOp2KydXNBuO3tq5iPD3rti2SudDy/TGWMzyKhqW7JZEkX7bRRNdnlzPQx2X8cFF
OF7vO+Y5d54isQpgubqg7qDBobop2tDNNXeejUdx4zu5vBhpZOzcanYuetJOZ9F0yV6YRnfBrDxe
JUVevNE7G5dNF1WDGRjzk4qsyg9sZUaP9KgNWkNLhbW19knBqpsHu1RTKMHOhjKHJeZKnXdrHouM
Q3E+3nm9Pt3Ntj12vHCYLMEeuCFL6lZ3uwPkjubgYqu4ZHYkDn5mD6fO1epb3fGLW2m79jO52OMz
8urq22gqxILLVBmHaPG0B3fujZuhNexn4DfEFunkOp07+jtI4t30jIiUR3oVQJVZ5IWVjkHZrlBm
EQ7VPEtgEjwUWQ9i0M2XLaAEZ5eSWrc30izZiTYZ6RDFLczOBue21hrxg+UW0Q7SIzEHnFjnY4W8
6hIXcNhmgBB7z+/wEBI/FcYopY9p0/uvJc2CXd0a/X2NX/iWP0ZH1Y3uqxz1Yl/ETbIDtFdfG07b
XxPUWn6e3W7YWbpRvBm99N98D8Bi7wxyb0waEeVLZvC0O912BT44xKeg/Guyod7qdVFYgZ1nySmb
856utVWv+unmCD+nuMUOUAVpJr9gaPCgaLYnBEqs8exqRVS9KZNxRDD37j2t9yAugHN4iRs/IiAa
vpWtGEOKzWnfNWOZb9zeqPWtA3NrtYmuCa2NNY47bTZXGV9jqotyEbEslkg3TV/R9vMYaUTguw52
KrEeS3tjma/N3JzoyWtXejUcithjBi3jq0lrmgNL9RY6aBkUaVEffEWueIcgLtCnnASFpoEhsmFe
auanjIgqNDpeV+AwRKQUGAmQ8Qxj+zHp0/W76HG5bQg22CRN8yZgIhyGvgKw4oEuQM0q7PGhAVEZ
IvZZtkY92iC9iuGeThtZ231c+YdJVzMWFpoC6NQI20rv3UXjuSn69la07GeqN7ND5Bvqc00w+GlS
XB5KZvuxwALLE6usq6RVBFNUkQr1tpzP+mjsCeheDs4Ar7ocjZx5bfQ1Y9MiovA9mdz2QEDVlqui
Hbqq3XQWegq7io7E51bgXjTzvrUzvCZpJR6seWghQpG1dJO4JaHPHLjou9oJpFmnnJBb9VBd0dRo
36eocU66UTXPvB/1xfVUfzAXFFoFhuSvgF6Gg2codC2GWt4ZwWTgYMrbKNMhBuUEx8RDET1wAwqu
qYElu84a790z5m5rtXVyrccTvGgMlmHcTvpeiaW6zc1SXFopi9dxEMN2SGIFXkYDALEbDbqxeNom
weIk/O8FoaSEGWn+boRsAkHTbJyNjL1RbrG7w+JxkGMeS6vU7l0gQHKbTNZwKKepF5DcSgeaBY7m
e+oLWV7lBGQloVbkGPtYBoLkKFp9AQYGtXW88aepOY1+k9/R55XfClacGeEQujWSIfF+mY58MouC
JCDKXQyVuv7YukO+m4xy6fizax6K6P9Sd2Y7ciNpln6VwtwzQdJoRiMwM8D47h6Lx6ZYdENEKCTu
+86nn4+eWdWZ6q6syZtGDZBAXkgKudzpZv9yznfCaCdoJZEOReYW+TuKaYyGBzPDcdm5Q/mAZPJs
4DfMS7CxY90ccfEUSCzBxWgir1YtpcWafRMK9mYYP4doHH8Mpf3ZRLL+6qb9uyoxpK0khvkzZjF1
QDGJJtiNojVU3eHaJeOGYtXsEU/Y9abw0Vu5TYgZOuV6asxOnESln+x5yK4aQGFbG7clMu+82YSN
SypRyfBdpjLfhQ2S4zjPB1IGfWPvF4Px2CYZEb/SUmvHzhXstsn/xH8kdnxHg30ezoKPocueIlmo
m0jo4I5IKIh9c9/ujDizcLWl6jFAWnMtcq7OdWzP5NY5LS5lzH3BaTLcfte47cJMdqsPGBnjVhul
f4eXE9XhQLYxEZ4to9RYwmZCHWakvtgGlRGwjCNiZT1odsohPbTcYkTF9pz0RgEva3C3oW+Gu7h1
ffRsaPePRDoDKdB1v7XqkfHGqKxHxJPLbN+UN51h+weJ2mafTIP13LLeY0XcgBhQ/XCMUr+4c8Fl
WatOEU0DRdCIXmVUt4dqSEp0woL9mx0FZydigalRuD9z0YFtVoASN6it7K0z6OQUWRmTXTa1HC1l
/kPnib5RjUy/9EkOwhAL1hbhp32YSQtigTE5OzxM5jHvSwvnou9x1Ux5jjE9ERusm+N1Y7b30mx2
1Klovtw53uq0fjH8YgPoiPXSZLzl/YC1NSjkF4HrfKX0AlopaFpK5TY4aE2CpyUJYUCg4GuOTjRs
uwZnueoytng8GOidspalGZ5H9QQwUKIXbX3+BaNLFHjjn37XWd79OtH6fSCK7fxxokkswU992k9j
Yqioc4w6mlAZ3IMrQ8hkY/See8JhG+1sXKqLGNb4Unn2+KRhLr9Oui/PdjgHVxrA8BtbqngLL0wT
CiDtYB92U/nEkmreodpH/O0m0Eoh2dzlfU2wNtQuG40qn4C5htIp1wY0wldHeQaDfmR0a99ucyB6
LruXPLnSSPS+wcgJNsIYi7OByPaQ1UtmYmMdjbaUW7/yrFe769yr1pItIn3SxF1eOwsMKW9ZFiWA
GEVNHlSl52Mduu5XKvWA3WFPWkE8vBe9vEN79OhQocCkzZMNOqFpI+dwuu+7/NqPkvk66pGFykTD
mMIFi1aALVCodulY4+41AwaydouadskcxBw6ZRSF6MOs4gV1XGpvykiTL0uEUX/tu+50DCuq3RVg
NHVfFE1/bnCYs17iOLiZwsT+Ljsz+iyRdW9Kx3C37Kfth2ImYXBloDObfSXMbTH16sppO+MgbVIW
G4CxhMOx95y3xDqM3/tmfG1CNAN5J6OdU2cY4ccq3fXYP1aqlIj2MHHf+IPUcFKzuoUzIdmoActo
tojGovMMA3eXh7l9gpCq7iKz9gG5jX30wBfdO47eOByhAPTH2aTCBnjc/ICfSCmYDcP4hB1VGmtY
DmyVdZVDR9eWUVzbS53dX0ru9FJ+20slzi1MUR6XQ7PljbR3Jr38JccwPIulkheXol4v9b11qfTN
GNVst9T/g6Hba2/pCYB6e9j+6BO6tLdxSML8PTfxgB2h8JqnbGkw6kuvoajMOIyWFkRcupFuaUyy
pUXJLt2KvzQuQ43JJFODvdYhOoCtwGeyDUIDYeel5dGX9sdya7wmIOzGta6VdRpr6W0nB4Iu2e08
uF5SxuuAbd97mZv2imUqQgh423fOWMf7CafszCFGvzVX82NZO9hTjPLBsKMIyjRvmEAB8pB1lgNj
hUoZeusI3JZSGPVPXl0hCkJzCUlDrboYgWaoKcNWms9hHQam9WJXUq47An3vPMy9zxWfwbQyl5Yx
WZrH5NJHkqWc3IRJy6SAJtPJF8fEpfNUly7UWxrS0hLJvlqa1G5pVzt4QtcVHWy5tLLR0tRmS3vL
i1waXVreeml+06UNVktDrJfWWBqBxtRTveGRSD7U0kB3Sys9L011vrTX+tJpz0vTHS7tt7c04gTU
0ZOnS3sO5gqi1dKyt0vzPi5tfHvp6Ouluc+XNn9eGn5grWD4Wn4VVEeGwHeZDCTLkID1onuQy+DA
bjvvX0zaLyug/1gdcKCiVPccSy2iMZI29E/T3AZXHU3CQgxttXPKk+jY2gRzycnwtrZNnW57ZOeZ
zpJUaHls2mXUyT0pd9Zbo8MQwHThBp9T3w2nLHWmK0NbzZ1mmvdKYVA8C0DCXcReHDvTXFI8DQ91
1uJlgRKf8JnGAhiwOyWstGk6sSzElrtRgeGeGh3kxRbWjnMSnk2wi4Yu9V7PHYPurFUhKKDlIEsu
Z1p8Od9wnHDWOZdzL1yOQG85DP/8CrKW5dUf3rDLDUQxjXXKxru4jMd/Nyn06iaYnHHS+2zlPs6v
4rV6N16rh+G2uWehl5/xtv753/iTTuxy5y1R6i4yU4+j0v3pb8Q24GSI1Px9r7T/kRZsHdc1cIDb
ZEQ5hNGsWPRNVQsMO0jCD0vODMgdH7KnJQlOwKfr7/J4mPgsXSpqiKWCO9wuiP/ez9I3Xpq2VE9g
67jqkHkM1hqVs06wm5P4MlZFdS1IDj2pfB6PVDKcT4xTVsrVD8Qx631P+cmwIYt3qWNVhBwN1ZVG
t/KV8D3/CBQmPfaV1Pt2Sg3EGgMS6zZP7sOsD67sBQxw1VMQP4aemt+dAQP+BqDWsInHqH52ArGc
X4Rgvlze1P+2kf6/oc3XQvrJ9/hPh/X/B4DO+7fwPf3bXf3++b0J/zCy/8cP+HVi77m/ONaic9YC
eQcycBZTv07sPYs0FdKh8Jb9LDQFZMjWld/N4UBkq00B16B0Cv/X/7DVL0qiY2VxxHOGieovRbCw
H/jjFxFvBy25xEAMqQBB7c9rM9wCcPDtsD/WEWBZ+p8mObuNxBcIq4oYW3q/ND6AqC27lVsSzL2K
dN5VG/Lc7SNhqvFWWSDN5pBZ341FKAoGuxGaKodUE0EWRD1OnAsx8FsD58uJ7HlvB5qCtIJ6MAkW
KaTMIlbcU/mmUnphBkkRHLk5twLFyZ01esu6z31uhsDZWa2LPEqX/ZYQYrqESDsf5TwlCRWhQ96E
Ab09hUaDiwJEojfce1YXRwcMCWwP7NGEW1eNMWmtOKsEib9kytwJAjNwzpQlfLhJWsFNbgrnviUH
2ge6RU26FIylXFdGhb4Up735I4xw4G3BhXmY5x3DechhG6fsOLLgtXJSu9tr7U/fhDLauzJOqdPG
LO/WkDRQwYna6d/DuBmPUktQ51mpojdCasi/8YHErIfCNO9HXDGbIbMVWHDQayIn32mxvdj4KK3B
f2oBiLxaRP62q3y2fSYSZhEd0C4z0hczGRIku8aZ3JaNK27szBpuhnE2iDYh7RAwIB5MEVFePNp1
IZBc4U0JdggnhPcCY646ThWy4W3qIRNbY8C1q/00UkOksA9Yfx2rppHmGZraUCbbCoyRt4tTF5Fh
E4JnX7V1HcOjKctX+rtk20x4ONi2Hnm+CcPMy4FLvXWuhOdUB53obDpb45gTeeKGoGAxtgIThmEx
rOMBF6TlL2lulB8PbWT+iKeKHFWqmPXQ2D565g62XwlDqa4sGxVpM617AIq3NIchEcxMwqbZIbYk
sSasmHKUrKFJq9kIr3Mfe48U+dKwSkT/ZIkZKQ5CJ/Yfm1gHtyLtX+xSxAg+8uua54P8CflJHgvN
IssR2BF76qRsDxcLNFEeR1vmPPlNYIv8pHhsHgidNI6KUcQ6Fg5vHUrMfeZk6KqKJZi8ug4DA7eA
xmwz+xrLhom0AuM3Q3GiOiHmLy4tJ/x0CJbea6xdL1Er89tewB0G20t9Celphc8GIHrfBOdEl+4W
TWbx4NYOMSM53i8nkYQRM9knLS40/S9BOj4mLerYCUPsceqYQ1euW59KBb898gp/QxoB1rUi/iis
WDxWhZXsgiWVHYc6ySN+urRoUEBA41urHl4v4+jupoJ+BxsrNKttPMnuiaHlXV/W+x6EE3BkaSEb
BVV09kP8knKeWkJXI4HfGAubtPc9K4Zg6h8c06L+dzFJ5uX3rgPKPViY3X0r2aZt24I+btxz2/It
C7TRbcKFLkVmQv7qWF7JYSSegFKuxcTKW2b+Z2ohywSlcWfMs/m9jkmAIJToiq6cHPoB9rXp0X8z
C/3hEjHS4ZlcV4PBJ18SCW3gXYTYTFk9pwyxA1/WIIgQkgum37t5KprrODTcFVzJlPq0GNeD6xI7
Mcn51eB17+LYn7dh6lR7IeLhRtPiEWFiQIGTxaNq/ZjgH8zdHpSfnT3U7pZtg8PIfMzv6yZqmN/D
IilVNt8yPoTbMwHMO8CShqyCIrkDbYq2bu0sMQcTCCT42z4ZS1HcFiswg8MtEM1yC6wx2XqhlN/a
qv5RVkJszE5Xp1H5Yhdag7dtWd+tUQJndxId6yrAcX0aU5F8FGWe086TZY76QOZ3TmsGIMMRzvEk
cBKS6dFQ4Fb6ZWDj8lkmpFX8C5GEkj+VichkTFOhE0TOxhTDu6goflcmFlA+wzg0w6O2mx7elTVk
atNGxXRuoMF/GYrW4YxjcLUZRIVfLUcP8ZRXxrStwxRyYIDc5HqiGIPo1sr5YNiL6atePn2MUxbX
1GAOSBBD12d9xUYAIH+urfCID1UP5xH7J0LDZB6eGyWSh8k1cwGSz1O9vCqjWd/Mc5fcEU7FEYXh
lFwo/NQIlu0WdphgocmQWL0kzURUcp5M0NddyP8YUvnpK99Vww0pX81xGNxp33G+swsjyCUl9H2h
74wHObreyZt6gnJtyJAiZdofeH77jIqm3CgUqWwAPJyoRY9Ai2EIC2G45zt35N5q2cCuCmcuge2j
5TxoVS+zUvrwnt28ZSPJGbWJLdCcZHbtOhFBmjVDeLMjWUEzsjg1je0cWUNXM6WyaTwkiSq3Y9FK
iAaNuGtAcj1WA0ZPUSdEQ6Hss/IZMn0fW8U58zCjauahZ5Kb5EtuMKHvBXCuNq3KXdjilQxMBtul
GbJ1DvRjKHW+buTXPJ6ueq99L1pr34XYKO3GdG7L+KPv6wcP/ul1YYXWWhpzvdFx3DyEJkEMYcEb
R72xZrVfca4MjnFA0R29W5W0gaEiIO1c1l9G/mAPHZFixImsiNJTd4RXHFwSOI9cKwnLZpU+124J
vh+ZdXWcgWORnV02YBoDbAxeVuev8QQuwWQhMQ4hoW21AyZh9nIoDmRNVujLH6NAfnMLZ3woQr55
Yui62wafZ7AzdNgYa03LMB9Z3jn4dnpcyp8p44NXoF7ACJl+e8innJ4gkrnsbQ5lKccXb8amucFE
U76TuJC8QTJ15kdaDxsqXOlW01p5QfUGzzi81WUrbqMwVx+0D+4qKfuOuS7WgY8+TLAgZkxd17nV
yr1noLJ0Q9CeYDfVo8Af/U2ktrdK7MWDR5pSiC2VZCqJr2WdVp28wT9U33RF5zG5i4iQkPDHHmhu
nZs05rypqoF7voOPoRxsLkoZ+qlKHAJzkGq8U9XSU7oBRLDDYFbpCQOlQUNsoH9aAVxKHggzHxgf
6VJEW7NOInOdgIOM1w4FB15Fnp5ql4xjuQk4scoVrSs6EZzbwW3WBh5vpx1z7bsz5AG0ww9TEWcv
XC3Od6iH3YHSq8VcIBZeZQkSCt6TjW5Ad/mhnLyZ00+TMr4dOit/VjJObpIpEbeFw84qiD3vtYNn
+BRljrGraj94mA1iMFcCUuQjLyN5suaZT7eKuJoYT5knpQfwXJUjC1CFjXsdJmlPu4+ncqt8wBt2
bb9NZQ4H37XQt5tTEr+lYPNeJ3/40ZedYa4tko8OlpnvoKRxdQ0ylvsEa/PXGpJHiOGnq5B95Tp7
b8ywf7TK1Hn1RxdriZ31eKqDhoTCVeT286HXmfg6J2SzcikZb/TD8UNk+d572VTjk+WM+TXGaJGs
xtwm45cqHIk4pKh065hkuK6sIiG5WszqW6ecmFkV+IGtGGd73MoOvjC/IQqGNawzGJTAxwhThU0D
vgE9DAMwP7kyEHjcOCxvNiZ+nU8zYx7Jd67RL1hG6hY7qm0IXNx2QKeBS50x7zBhWyhRRaBaq1lY
tVwWbwzZs0fJyP84wJpYO0EVrHXTOcamcZAzrKVHJYa322tOHHpNtzGnfkzZ4FQZkolxsL+2Likb
h9EZwg8In2xPMj/tIaeAOqrId2chl7jNzDSaQsGCq301jRwvOzG07ifUKoshsepOYWzXyd4V9sxO
I7RB3bZYJcCnEljTyPAOJKf+KGB+PPYWLdS4PJI0T8mY8hAEfAnx4jLI0WTGOOs6yNX1zC7iGKEn
ov9hr0qiQxtk6QrafXDXSm9+as3IOE+oZ4iUNUOHU3xOjR9txwhv1WQ2LIKmMeUtFHBFu5CK/qaa
844oDSE+AgPC7I5HvvqOYSQ5gmbzAfZEVfCaoxnxdglrafhjjvPDjvp+E2YB1BFmTURDVZELiByv
RE/0XlI9W1gUlmSFETKuYepixSUKAxsO4IL5acYEUT5U7QY4wznWvvfA+5PfDq1F1ama+i2rBgtm
ncgRp1O8lDiYqvItawsEDpluMUf7RiS3VjCMx5qg373IOAGIUELxso7dgucxLlkQ4KeKzmxgg0Nl
CBa1A/MOvO5IlddoD3rG13EC6SKMHLfY5HXrPac5e6IV8MYvFmrJD/oYURBQEjnOivAwRciXD0K6
nkYobFHrjXfAH15t03zsjbZiplzhn+vGvDhDlzMRXSVjeMATL98V8D1+aUrb2yiwx2Ml2QmWo928
dpVofoyBqbONMRRQWswxe5ydGALckHITJb0bHjEhhOTsujok7cbKkx2FsHHDjtyWu67E8h3CwF1b
kQi/1L2yT1Mu2vpEKKgJkKhDo05ipx5u8QbWZ/hAuDrwiT6oKBtXkAGbo6t6/UZA6vhYU26NG4v8
pCOtkgp21ijSY069We/aaso2c8fTubYR3bvnykrxgZsMPta4oqe9WQ3ineDF+thVJqQQKwFI6rkw
5xyUCpjhnJIKLGwY8hGlZox3aH+yVZTK4ZsrgvYzKFNjYnKtMxZlXb9UrJwT77SzPZsIICtrW0Kq
I4mPfKtRDujVgnh6DoY4tVa8xYCmPK+M6aXLcMBH0RNFuar4Yk/rhd2KQE9XKMu69smRacxizx9Z
8ZssyoN9YJBeYllOdaMNZ9ynwN8x0nXja1kIPzlnBrN/yqDl3Cwjk0U75zmcK0h+iDySmiqgpxOO
9mPlTNQXLhEnqUdVBJDGLrYC5jkPc+rBN67a4Ntcz+Kq0UvUqK5ghVE9sFdnN6brqyZOK7gbA9aw
05D2RnDUoABCVGgAfEvmvGuTsIQvY+VV32UyaKipXv4iZRI+e3kPzbu3zWE/mMaSOeC0e6XG7jjl
ITkxuNJ/JBa5TDvY6Mz1owyAz7pqWPpMlt/sWqjee66kJdSTlWtv0oxlNjqnKWCYglbBld8ccOfd
Cqq7fJo9K93myxg78NTJjXpnN6Wp2OZQah77cTJvU6YzGxtMycrzG0LyojEuyNzz/G/FXMLQlHX1
mJrjxJ3dNN0OdLBBv4gw4IGwGxemaJi+OJ7R37I6GJ+YqeZHWkcoYLzX5jlyB73x8tK/aVJTnnq+
8E9TS+lfG+l0wAgWradozH8U2s3P0q7lE489lXDsnKyoEcfR8tvXoO2dKxSZ85U7k4IWStEduwA3
SdaKfG+zqmtc+UhNXt8P7lhdxUHgXIedKNhQR+rN5JP78EWM2qY35a6PSCPzZyu5Lrs8umvcCbSJ
57DNzTKyAm3mDI1vBz+0E37xRyM9OJI43DoF5EOKxprtPwwjIevrtmzfvH7O91XSDHsvhEsfFlWy
QbRLeTrrF48D6yYPy+Eom+ib5br+Mq1ItqKOl9A8ST1gdyc7JE0cV0165esY22QeLtKcMf0aiyG/
mckuWkHhrXmRLFPhb7SHFiLBxmix+fHvaXZu5IhN4e29gsvzz0fvP/kDXLo4B5k7AmP2JJZlqZ+c
LAbHbz5wkBzJiSOLJ1+qNE1k32055M6wljxC05rEF0ScGAl3CTqp45AJf/xXL0T80VCyvBIXNbZc
Zqv8D8rqH9cOdedXI1Fr43EiBzbum/Yj9MQw36Pm8pqz1rml7hIT8ck2nbPhoZ8K+j+l4xbpb8/3
G8ntM+lnkjnZZNfBLos95mcilFn1ruTsOtD1DfkCLjm98zyfdx4W6auuMHqJy0AuG3rrw83HnHAx
usYXxh/LDrgVj3Y/GN/q0Kfw7nTwheVgt9j8g+i1jQRSSKN3YJpGDAVgKL9oouRINg3HezzEJPAx
iWUByQbtygnbeiOmQlBIiOA8FHWxbnXdPrBcYLE0jgJMRcB1mMt0J8b01RaFeQ8+/+RCNF5oQS35
eIwvy8sksx9bTkjDSGxgVXy1HsrL2DO4jEBdaZs/ystg1HYq9xMekr4b4cQ8kBtrvbCGqch1gWbG
+Gsp2MdWdgRtBjrCoJaSeBIKntP0Ut1bl0rfu1T97DjpANi/T99kXnN2mr0+w/emT7DaQhz8kRut
bdAn7MWlnWCapN5JkyLxkPiFI/qCL4GcuiNSxACLMpPQZCbIwoi9AjXR0rP0l/ZFL51MtvQ0aulu
9NLn4CRpw62euZ/jgu17bA10REtvhGSvX4fhQDh3mcHPrmpmlMtEdM1pYnyklyZrXPotXGrqw1t6
MHvpxibk1W8VwV9oy5OOdq30Qnt+VLJJ3qSdlu9YFoHvIi0jXAorHG+SLFJ52wKDDPcDbmdwyl5V
vtZ+qfJPI1SoK0PZBT9a0RXV3Z9/X+3L0P932znNuMVlK2ETys5WU9s/OaG6XMW9CLlOImqtm9JA
rlwQRgJBViRHVBz6WGkSTtc+Gd5bkr7POi3863AEBLdCTzqeVBtUTNNmdERMAIhyzsF7PtD1FPnG
YU76Wmd9SapCJKpHZ6jIc7Yx6wZAD7fKHc9Z6p9hAS0Qi8Hqry3ygVoWCqP/jWAlsVNRqY4qrJJ7
OKsjI30FYgC1EQSuc277dx7ewOvAD9iPkiBomcEj33Fxa0KSpzEj09NwzJ4TD7EK/si548qutCIM
p5L9qlUUqNwd5qEv3fROgZK+E4XVO9vCkcGT5ap8H/Sxt8WjSFQTbu6B2duUNLccLtWdRuC9a6hk
Wkz2pYGFzBEePPYxTU5zZaJ07qxaMTJUZf7pspVeCuaOQlK2d7bXY1APQMwXIu7XjpzTjVeNPRLw
1PXfQrYKbyMEZTBn5N/s0CuE+yir4P97vuOys4hbyA9TcMj1kp+G2E7x76sRPU5Z3H9mvsdiFz6j
v6cTzlG7Nt4Ub3AYZGhDu947ENbm3xOaQLaAheUfaFMEEA814MhkhEkB4tIxQkOcxnpY22Zk3TJa
nHkqKTpTxBlXiRcaX72cGGZ+XLu2DJ1Dxom1zZy3rL6YxEYDogTL3SNvwSJQ9iHprx1X2iz73eTC
q+ttK3oyYOg9V3GWg01FaLIu+oqjaRzi+7lpFzu7I64kp9TacYkth6KwZIuG7p0bWvGX3GwSTtHQ
A1qleWcgvZsOkPRW+ddTMpt7BeCJ77UXi+syKx49byh3QLmoLS830Rw2zr0y6oDEhTHNGO+Y2EEA
prf6Dq0zys9yWSJZl32S1Y7dvPYveyZzWTkhayXOCPEZmyiwS2ylvIiQLZCgSLsvWyuP/ZV92WQ1
AqB6ZyPRICaZTVeOARkQSTTQfUac3vmG0618C5juRQfhKCuAEV9a5na5xz6dDqY93betKwoBtm1x
0Q/dqoRM2aHIbAWiwaGrjzVCo+2AzvBIvjuEwb5CsLTqEM53q9aLk/gQawVFdmKAITd1ZBVXohPU
E9Vlpjsu413sy6+EukqNgOkJ7tYrDlS+IDZiFiJUTpU/z0eiwdxdaRXd8qqbHcQl62oMWRE1RiEP
ZTI1f8lYzW3OMh/qn+04gO0tcVFl/G46bDKZJ5qBusIL5G3gnRHLXpf9/V/fcd9E32rs5D/a//mH
jfXFK/UPTPX/JrCF/37+LX/4E/8eKGveeEQXDovof05P2rxn7/nfsKP9jRbsp/32b3/41/22a/9C
5Ac/0v2NpIT25TdHmvkLvjK8rtRaroO+GMnF30lK5i/8Cn5qNu02TCWP1/L3BTeMbEZMbMVNxDkS
ltJfISl5P+23Hak1DwY7aOo+S0uTv+j3QpOyNtBp5paDcyD60bnq1q3J61XeU+yXqPigs6STO656
w3+iY78vZ/XmIr7tvK/hoo20jIBo1vk56dQeis6Cl93G13Ncn1oCsEYy3YMlh30wnyub2r4NduUs
9/FcH8wSDrK/ddLyCmW96vSOcT0gP8jWcX2gID8mStyrWt6CoNgPlXPv+NatU6xsFXyMQbibSg+t
afWIYPdxHv0tAkCCcYitYUeRth9z+jgF7NsyJrOj2rnOcOOWmpYmu7ZK5zZ3xudSOOuyze8QFJB2
P+1TMLxxTSK47T/hBNMbGM1PjQrAYsTnzHe4BULcWg1EJCzDBNQH6X0buAdRNvSQsv/aAg5mrPca
O7xlgUnutq/Ick62XNDfuJk3VZldO3H6rwzGy4f0u3rk1w9xqUmo2C2emp+0O1NWw1oxScpmibph
RrbK3Ow6GKqznKazWyNuCcOEPB93a3RyDXboXzQO/0kwKz1TQQ43lVTwvVCN/fEpiipPM4SJMCfl
K07g6Fp39Y4gdnpnfAjbJLTPSIXUvvMJU6jm5z6PyAW2JKpoRTicu/o+ManZzapWa2Ido50LX33r
F/P1mNYH5sbJWunAOJqLU4DEb+5+QlQwLlB/JrUF8nJIt4NAQj+iMC4KX+KHYCyBmnDF7ooLobG/
TYwSVuz57xGS7ucmsoAMWS+isq98d7zRMT5jpoynApDfr4SEv6QD+n87I//p7/r3PSbpVv/5Mble
HLtRgFXjvzgj+ZO/nZHql4stnRWmpxejLQX1b2ek+gXGHKNDxUX2a5bpb0ek4Ij0LAwzS/MsPMa7
/zgi+SV4dRZwOMHJiQv4L2H/raWa//23CyskhnmXZ5yH3HEulMTfXaNdqFyMNPG0R3pZfcmqwn2t
XIQw2vaR+8RePb6x7P1YTCrfdS3yr8Mis1CIBTtcKQPoCfDbW1cSRlyTYnLqs5KMax2ln+RjdP/N
krP/X3GHuMgXAZn406fx6Xv6ngfv+fsfHsb/+JO/Po3a+gWxl0Jfw8JdgOHjuP2Hh9wWTILJp+BC
l8rGwP33FAqPax71Io+jXBgLmiPwtxvbkr8sDy/jLc1ly639lx5HfuJPz6OSiOQUYiVEJMvl/ZOY
Nko0QzsgMrCQ2wfFvX0AlQGcCjj0zjOy4XusEfMYyvMOXZExORrTZteHShxA1oqdV8S4PHrAijFG
3UHeN2pod9bs58e2Zv8dpsSUIWZXNzhqXGYFXrFric75rG2/2M3pGLOeHMv2o4l8JDnxQttZ1WOk
XoHfh89tmTc3FVOVetPZ6ElZwJv6ykXDeYyGoSXtLpBeeohhbKFfG2o46g7jaeJBv/nRXMNa1Vew
rftXxXZuLYvSZq9vqWjmKnGdQ62wYDAvKhOQRA5Co6ago8lwna7zCjs9/LbRq/EcaCNf58SCnVFz
Y1mLHavMN6HhYbXxdZTvR77xXxie9G9IE2cuDjdqj6UX+09wr0Bn2SY7xBXhp4wnknoAJ2eMLP/b
UETnFhTtc51LmBhJHZlXzGLxxAzTrTVZ/QEu/fCtMLPsq0GwF3PTtGnOaOdxg2Ff7NdTasln3xzE
dcs2+SlMXPMVZR6hIUq4PeKyfrjv/cU2KILgU08sjdeBGpcXngpypHjtHXNZWej6UOAZvzbTCLAF
H3P+obpSHqkFHIImI9PmRWoPl6SAbJ9QzJ0JW4QCnrjTtPEL6hfQ7+gxAqkweAKCZlFu4dgMMaz2
zXAq3IZE8M5GRhEMIUJcYr+HOOit1cjK7DpDSuGvo24e3oGFxKdhchHSyfsu9hkKQidXGWOBYIFW
hbUHvq+BoWxaPalhtTq4RhY9I05pN8SuVVeLfu7BMNyMHLURBh2hYfsiK6a10Q7iHHqsCFIdBwfV
ZeYVn6h/tI0GzsCcmF+reZ5PoRP4dwVGr5sp5kGti8H9aJN83JlibI5JYYeHLGfTXg1rfHcFGZZd
eJckI526V5dfWHH5u6DTzntkgQzE2MHARdTkkyJvEG7dvJgm27dwsX66rI74mJ4br4cYmKM0hiDv
yegxG4dDPcZ3pU08UShPqtwFLhIvAgLQeY2LYbHD8SjzFr2caduwDcomiJ74Hrg3jUXQHh5ktaDX
RvRPJEm9Nq6pn4gfLBKGHpbQe35TBFZyFMzRozqdHu3KrA4Jz9StydtH5EpLfjAtRYTjDIndKiuU
85zH2rlFhyAOVr2kp04Z+g3fHaIfLK/LHfsncNjT6DcfBK+CQe6AJz65OdK/GFkhHz+jjwGBoJru
2KiG9xDO1WaxhpFBOmO8K8cqAAhIiMbDqPVUQuUnDQbaRv9WRjEx1JEznCYzl7dkIaPHGUQ/85PS
CslUZz14Nu4DPVdswf1S9k/aG+0vXeYOBzWM04eXRhkbDWyjB1vFzgfPd/QD45AQKy0t7JL5ZIfv
Fuo7IjwI5CbzM3Tdc+xU+XYyM5vQuDgTqCJgY+6HoEIyumRs78suyc9kTYqnnkjxk19L+zHJGnFN
V2TzIkkDv4OiYWUbW+GpZf8eOPvO7ILzPMTWPRGWTMmHqL1uwzL7FvMI86n6wn5uiqa9TpNGQG6e
UXHi5ryyCIO4zfOMFMS0nnKE/cI3r5RfQoWthuBKWj1UJZ0kVLOMFf8vdefVJDeSZem/UrYP+zSg
QToAG9s1W4SOVJFavMAiFbRyaPz6/ZAku0k2q3pq2Dtbkw9tXcViZAQCcPd77znfGTHUatqNYglE
HbZIlRXPr31uJ012SXdbvTL1QWcIxzgh3JdTbyNezFQiXUmNeumnArBIRtqtrWK6WUirmkusfVyN
Fs88JCrIp0NHxq9SJPTIehgASeTAO8RQve3d/FylEFJmsZSyLI2BU7TbaNvB0bJLESM9tXhwVzVG
043kfzxG1vl13ZFY0aDNYwLrXnQxbmoG9M5LYrjRWR/4yVrTi2lfyaY7CUSmb+3GUp+TqUrOus4a
FnHuNwT2WfYJYhW+Qz0Qp77LrAeOJmkGNtihfBzjiaSftl/ZWfas1WmxSjVF0vzJxT0+sLVw2vtY
pOWGRz/caYlYhZWODTdOuleziN7iGhWoqJVxgQAuWnQFET4YN/eRghLRai1zl2vRha6Y9pLIU+VS
U3LCDqcg3wWKv59dbXPQ2qCCQFDGh1mZgsJEC+Sl7puoB4NAwSBu6ksA5zcY1Id1BiF0XYRol5BX
79KygZgro+c5UyPdw+W3aZcREL9kQshomDyQYd34ZndFRzU+A65akvRQNudS1zGPWk/tUG7RutIx
rnHZkV/QggUdNPDt+ilTzglFW+ioCAiki1Grx3OKmqKNT5DdOtiKUYOHjIz9dIMlif/bItzZVEa8
lzTu4oWPYHFcTiHDKk6oDRPrqIDl2sn0mI0pOZSEIT0auHZd8jzH6Cwemw4jrkYzOzfQElUALTdT
1Ts4nUyHc0I3tCdZGCTZWkfevqzHCUN6qxhvSJG6aMUWbyUrEy4ThxklSBcowKNZsVyzD0R6XdCa
xRxXL6Y0Fi95UbcXtmj6iygJa6/MKdFtsC9MuyEPkzV4VhTOBR9LEB1qjfGNUasVhm636YuF5vfD
ne+Hry63++NkCeSBzZkVAmFJ6io+siBWV/hkIw/9XmZ8RF7xoYqKJgiND7JWpkeFrv2K5N5hHxsS
uKyaTtBX+mZcGK6kv+Ak1nON8fCJ6Dq0BvQ+V44LfifLFHstjVLeFoCItyTLrtLarvdCAgctYz+4
S6ys3GRTb71jzUkf+s4s1zpN3xzmY44BICUJatvnrlV6CIdLQDJE9uHLNvMDe0C/adOkOyeMctrr
HMjuIkKo90OtDPuKnKalUVXqjpFMw4ZkWwy+8gL/nh45u1ByrSzyTV7wxKlbB33r0iC7eV1nFfGA
mYaUKrQ2SGxvR5FA5SB11Lb6alEacqnX1tJWe3/hMJBCo5PhKu7lm2HSGyHSBozzIFY6THePhXiZ
NX22JJRziTb/UsHGvS8QIe6ScrS2ERCIo8V6tqgRmC+sOiNz0MnVdYlgkB1Gp86SjnOJuGGeXFT9
mnBf/ywnNAWCGkSREgPGsvM/dNP6edC1J0gz3jWtDgnSZJsaIPkI67VNsXFim4OWylHr3E0Kc53T
KDlppiDcKBPJAXXPruJSqN00vmxuR3NGxkZDt+614VwNyAa0YRAt1VDERCoNuYfzwlglPlpWFIru
2mApCxeGMTzyl7pTkGLTs2RatvJjNV6bYZCfqmVizB5EB4qNaPNkQceEznCYwEMOVGSZkRmCaLVt
5q7s5X5bkhdSob7QLTs9R77vX9JTdE4zsnNP8Tomukcb2TrwhGIAJQdEnlKHZJc4E6y3SSUjx2z8
/IJOuHbOgFHsW5laby6z1DPRuo5HlFZ0bciqAloiTCIPqjx6VLSsOWPZTHcVgSpL7IEvwTwDsfM4
XQZm3J43NBQfTbNpVjnGfVJw2Og5FxkxKKSxInNcRka0KzIkDTMQeWT1IFc7mDBKppROW1faYqdY
9njlo1Kdlols9wWBuMscIcce8NN410OguRiy8KEgZfKg0pJ87FWn2ho2OGh0hxtoTAkxGnHFuEpo
KAgG5N6hhrzfjtnpSj+AWkfaNKYVgxRceKiE7lj3KqUMl9nJLqqWBY/zY/EQooiaZzPJHmQHN7Cs
zVNHa0obC2Db4ioki/Ey0EmiylrRrgBUDC/+CNdSROx7vqPzm0dyK2qbfXyw7eAEzMetaLrg3lF8
TpmZmCPrukfgBbspSDbkvZU7LUuPxHN1B3bUAbkLR96larU1+aAKkiIUIZRZsGvK/iViWsFsocz2
sUSk08VdtwMhq+F5JeMWPaIKgptU9R6Ji6uC8iqrNCZl/hXuhfsaMDnexQUvxRFW9dQ+lS+jEo4n
aSeCGu1pmqCzB0XmZz0TZTi7a4DrXD6zNy8UyyEILEzkgeDgfBGKonxWuWHO20TryPVsmOPpMeRA
reY4UblAQ+yxOQPeHi7grY/Xvo9kv1bj9Jho7sRHIWMwy6fwhWJM33WW1JZkpZoeU7HqVlGm/irp
JhKnAehoj7ldKE8ZERzrKlJLRN9zNnTkpqW7YApN0dM42kHSY134Xb2snaTIFmQ3J2uHri4Wgp4M
MSq5LlqUNd+XRRL9wwianDurF5uCBCgUmO2ZoZCDXLGlIDrwRCvQpEfOO9Mpr2vc0yFnYOeXzWLo
8mk5e1Q5nqr7RDB/p936VvXDtg/cGwdo2kJoXXSI2BIh2efjtnbsYD2asiLbtWh25Ag2jLuL7jh1
JPW6ti/u4AS4pwWElheFMxOC6hZHVIdtGj9mYK5AwthnxpSWp6Ixs0dGey1nI8vaFSpH2tZQFHbB
cVAIbgRUuHUna5BerinDaZXnLPFVlLkbkGyWF/YAsDjqF87al7EDD2oUJmkzFgOu1LefXKEINACq
k9yVHJFWpTu65/DX0gcmrdFm/BDS6MZwFHmYsXckuUbw8kiGgZlPlzBPuj2mmuFSqeu+9tD3dQv8
afrKBw6xm+hUXLmZK4/B6EcbIfvyoWR/Y4lHh2SPZoYloydoqdFVcs5xjK7aRlOXul8Vl43VCIIK
ik6+qVPQ3Si5wANUd2Z9JiCAIElGtewlo+48prUxw4X09yjJ3T0B2cQq41A1DhjBVeAkRnTHwoHB
Va3bcFkqVns22Gibpa/rgITG7KEFbPBCxzw9EAwhvLBJi3NfojjH8TCl3jQje4owR7dnZnp9SCDu
XXC4RnME6WLcylhnqanYRK+wB0jXg1Sd7pAPOptEm+R1XHKG9TjCZVsUqebSpYo51QMNyk6a17dC
xXlTzPntY50EZHST1+hLn8GwO3Xxrs+F7lk1ULyM49m+qqb+AWFfd+NyCr2cB6aMWWLjLtOHaO92
WvwcML8+jfx+OrcmCxhMUhK1gL1XO8trZJGhxtDAilNrpxI3AE0BfVhBkoCwjp2phKXnJoZ6RB2W
VDQPpuHeRI9Jr4VwHBoPjYmxCbdVe6LAk1kZBSmAHtGXExPrpDxjHy8fw8Ev7zobWfdUmhQGDib0
Ecj/BVkizq2wE3vvSIvIrbYj80rRs3PAgByx4qZGembHUfcAsUssLQjHF7456BsJTQcLWJ+Ixwlk
DIcGVfWa0klPlMTi1BkhgfWU1qxWduXHZDij4lRG5wiljBUMCOFE02qNMoEXiV2it4hM6mD8C6b1
owexJamRYtF70DK+Ja0h3xE9XXZrpCpDgqRuuxUoHvGsmNQXwxRzXHITgWkEgFjW0LMqASFHZNvw
qTneKsRvR36cnkUmCAhLH/KFNZgMP/78OPbng9bvOrv/neYMTGINVWc+qjP4pCliGNh9f3/kcHp8
BRT6bYf3py/wpdfLNJUpK+oX4VKfWfMM9kuvV/9Em1VlAOuihEPr87dWr2GTZUOtpRrw+2AV2/zR
l1avoX/i3Tl0PBlJkOzFoOxPAEM5n3/X6lX0eTDMXO9j3vbNyMFMmyLRkibcpr2dzVgJxO64YwN3
4ZSsKZ7h5ug0ldxh6Zf1Xm0se18gmMNcLJr4vC8nbGkEhlrZkrYgsC0FRmLtOuMdOdwu4EFMynR9
kixJOf1V7lVWxvWlnagE49oxWdp0vIBiVl5JQSsXZaf5q9pQ/cKr40oPnjuHwnTXFYV5VtOU3yMo
6o+dP+bPnGItSPLk1NG9y8mUmaxoVtV0NaDlfhTiSY4JbCOjcIdxM6oND61OO5X80IKsjEU1hma8
bEsNziWyi+hyoGIhhmaS1Y1lt9l16yDMFknb+Qtc0+JRH5PsMAzaqLAz6+w2Mp7SdK3j0UXdD4Ps
sYo5KSLvVBCiuUljXw151BUsd0b3ElvUSG6coYRtg+CK+Mt8NeN4rqH8tPcqHaFDpoTZlZ0xvVQa
k6jytJw2M5yS3skcfd4xnoasZuHzoElLo6hXnHXXUtl5gd6GL26PXG6rpHXorlJddIiukn46KRVh
vPcUENdqFUxAoTPypP2grB4nQvZISRkZvYd1TEmToYK/tc1Zqd+2WXMIS1c9J22N3AV3YJzutZhD
NwnZ7gMj6a6/tTWh3FVuBICGHVK9xUZFjK4rqjFZRZhyD44I9Wd0e9VGThjONB23qzeoQX2g4zXv
POzJ9iorffckhjJzGufA+rzKkPnWBmpX78wMnqCXaHnzlAHilEC12votyPzhxuoKaNo1FYfmgSok
yM9vnbOilKImoylP02XjmvomqeLavbBcQBurZowB3VpuZ4Zgy1OCnPoJ0TLxfFVhklSXK8YaK5f9
lseGby5Bnlr+gpyJclqJSk+1heJmGJUaS5ZPmIrCB5xn0GszNM8XGZ7mjuMzhjwuRpr1NF9tMlO4
sEO7iACpcP06XHgLJGU5JEmS8q4sDVMaV18ED3QD/XcKG9x+MtX9N+iuzdaJq1Z7KVE6My6RHPaw
XvgUj/yupljbknb7oUt17bR1w5wCLk2ptPu+xhUUDitFooleqlHGP9d6rZxqSlQQndciqjCLaYoP
TdiJ1jMHPHcQNbJbpPLmK0q86HEIgEl6ElxwCdULa60GenUdq0piLkwt73dlaIdAs2JSEAjrEQLZ
eV6lzkItkkbjVBy069GlrJhzRZ03t5NCJ4zYxWhipyRmIme1L5Fz1btOdHPsBalY10rq1s+utOr7
GLMpeZbTtKZEaYoluDVBL0K63aWimPV9Ly3Lk1YPtHSC0tGloJBXA8Z+MHqd360461ACKgXJPzrt
G65FVgSkUsVdeT9mdXKSa4kVrkQs0DbGKP13iKHJusHWO3kWd2VPEEdfhNSTnUUFZAt6eUX34jKW
qhAltra7aMapOUuTdLwS7hTSe/OL0l+l1jhsqkCxNvi/1J1dJj0dRr7GR+km0yt+nIBeRaOOZ2rW
KGctCX9nLohDsIWFaV/1WRldd51Ckij1krZTe9JSzNqXVxEGtgtorQLIQJ8ry6Bo8wdI7vaqm3r2
fd8HR4AZJlrQsZ/IY4LiRseljFZKo5LhOJlO/AQbqLiIU2mt6iqYpXfDsGt9Ob3OR1pnQehqoeFp
40SIBm/ku2+TEke62QflY0liEKaVQO/3iK3JScUUKzEIqc0t3w6TCpXYmAsD2O2iS/Gu7BXsXbXX
O7Xhbgp6wUufVCeMnWBzSu7VuHgGDiZuGpMy16vU1tWZ/lTxk1aY5YOF8pgUtUpCO9Bbk2hJEyAd
CsQkTnKvsbGrbfRSLe/qWIuTK90pKMua0WDRQRBTgSwD+HQSxqToILSDy7Ji7qYQg1TiP9vqaW+Y
O6ninr0oq1KeBROpyh6NL8KqsNi757Ky0+eB9Nb3UJHFsqxVpie6rCl/UoPtxk4TZxNz4AsXGHPt
lT9qjFqC3I5om9K5XypFNezNriLjzRj9dN/2nZjQ2KcZdqiiwa4T61SRWgCZsHP84UBYlkEE9Ugo
eYcHfqc1frvs7DY1F2jlrWGNazw+NSS9cnA3jYGyyQg33XAhAdcEhF7VRenJuptOxxgdZptlhKmp
lakmi0pk8bNdJfkK881JP1Dge3Ha8rcgiFWXJT3vezLLely5nDjQ/zZkiVLnQ2kr4NMtg8Yu9jw2
VnGfAcONAWXXW1tAwQGeRj9KSx9hn5JUJmZlU1LNBozcTfeh0WPchxVLc50IB0v1WHZy1iFsL1K7
MpzhUtcKqMJqN72m7AZs1FFzk9JwPQmmYoa5+c7CzOvmisK5eydQmGyzoIH26IqjLXsx+6PAafdG
sMXrXd8ag2UAs7CgToRpCgPDwW9aRa7fLYq0cw+tBoQ8IQVrmO1d5R5HCqXgGLXoeJigQBWIoAbC
7SFo1KigBQeFunQ7H+izxUK+ijHFlp42UHstTJhqKDfJQCPNF+Dcpo5HN/amqEp2U1QXV2ipU0z8
DGAxL8YnGAHNkzZskYlGZVs/4IwkBsfKnRdBazGHVmRWF2aWOmQEqvY2bppcW5ilz5RtUPRXlxsG
JauWkxBHX6LCZG2usoRUDtVqyls1R23Ut3z9pEcRWsy4N8MAk0xwgkVAwqod2+c5lvkXDX6FuqKv
XCyEbMpZTWYtpqZqbiq9rl8wBJcH0YjhLAcA7iz6JA7Oa6sGagFsZtNbagThJS2NhjOXbj9lkxGP
i2L2EQgTOw61eBa8+WEVomVTjFPAaDTZiZClddszlmADLdr2sTNHG8VK5VwrpkGPuVL94NFW5yzX
IOqGJ0UgYQa4ICNqsxgRnRuLTQhb4wKNmLGHf5e8837lAX8Uk7uppYE7lSOeblBLgDc76TQ37thn
lRfXeHWXRhChfxZI1S4d7HlrooL7uwmK2Nqu8uzo6oKjRlkT6sxwyYfjTFs2x6lTGcGGr6o/1YKA
aBeyLeRlJA1RcXwRSQzbNGWl0ouhSQmKCGUEPltpi00LfwUKspx5DcwZRboGhKGd12Vp3ut23xEB
V0NaW0ddNg+6pROA/tClcxIxys0WeNbrhug+rGi41NWJiRuVI/OQsZePfRPJGIlwqBaLaEr9MwYK
RrGkcRHuuENcZld61DAtt9nUejJfaXPZXP/aaem7BhmRP/qQpXemGVZXtO/wGEvqoat4NJmfa12w
UHTVPolqywEK06pvEX0D/KxWnesr9t15qqi3VN8JxfQ1HOYoXEUjRwKvl3WYr4JoonGqKZQwB+g6
nb8mItfc2gQwMZpPCN5je8sdnE5sFd2ZHtVQfvgWgmAxYA3ZCK1xrohrKitSI3tnIg8yNd+JLHet
ZQ564NYl6vIYOYr66jhp226LnsYOEj3ZtBxWaRMzAK+GcpHGcckMpAmh9KfBuw7K/6qZgAKObqkh
8IhqaBWkS68mu5CXrQMwVsIUPNVywgLXI6e2eEmutr5yUf2zTrWJ4wlR+0e3r/QrNeeIseLU6yoL
mblWuhpKAe4WIrjyDsVm4oyG8Bv43gyS6KpiTTb6sJK2wWNisi8vubNbjWREtTgaGEv0A+V9uvI7
vAL803Ao1LQcF3lZ9LqnltLH0SulvvCzKjz4mPR2RuKAnEEEIqHq17ZGBaRXkyeNHh+NzUsGt3Fk
8p405kJ3ZW8TeFW5fvpeAGu8kkbKjCJVGbKnftUyvlSmpd0OfMlyoLlqyAZ7PEDyBRN4khrGQKoI
P2nFt5PKvVhGieVZalASi6fIkwQHOgd8vPfQ5zX3fTRtf9z4CvPJM/RDyg3EFF4F8oJFbhxuTLZ2
FEgb3DP+vuCefhlTl0PzZGrBFTs3SccGidonjl/k8MTVBMrAUBgbVWEc2VU2gA32kFUg9Wol9BD7
ax7T/TPjMKazaLcrt0Dy0451e8abNvfAt9QHzgGz2cPN1wkOXoWHJsUy3TPt8FxohTiaAywZcdJe
FWaLpDVD2l4T7gepL6/U6NJG777ScA4FngWK6GSe+684wfkroCbPnFPdjcozuSrahiEQVo8njB3N
86gC8sbzpJGiOeoJo7vCvsSdBSeQ6gBRC6E3m0mZ6VdgTG+GwT+MuNsfSWQOLyHw8lzqAzkIvrCG
vYN2Z2uWaXAiRJlw3UW0d8LUpQtuR9amSFT9vpKTzRoVFWI+oSPIYtoKJdXGtUkSRBBzmoXp8Gyx
xGwjjqWrhAenPkM61HITGRTHssOQoiuwbJYBPeFdUbQcopnDFzdFwImXI5w4YHc1r82poK3KuPtQ
AOtY9aLAxxDEoruplDKgae/o+k4EjrNC0hLe8OhhoxH6xNLG1InlMcAyRqcLR3Gaq9l5jo13b/gh
UBBTF+RZovUA+iXU5MxSDOARUQhWQ59IuvABZl7ItArAxqqZsgxVXIsQwMZ6yaS5uR51cmHbtO0O
kP2sF55d7aAhE3qr6rBekxfqZ57Qx5D8ud7U7on74lSvJfHOqkR8ZqtIZDy1o5eRNaxXUYvYDKNy
FhMBS0u3zbNsA7OGTFtXGXZ6SXoU8pDhREn5sInNi3i+klccWQNaxxYw53vJVhfy2+DB4uWe+cZN
eu3rqXPThC0morEFyOxhqRbrKomB4hj6wMQZlQYAjh5htWmH+Y2GCX8tAC0dClN/tykG2ZUxr9ZL
/FDNKVRHG7W8KVdkKuL+IbOiv8OrFfJdThVN+bYrmldcvuPi3yjO09KHqLM1oEZ5zNaHYamKGF8K
Y3zrgmZr3hLBEqPz+H/SRfxvFIeN+4Lzh4OxY6YNGpj3UHX+fhNxeXyVxw97x/kR9fJv22P3lka/
/Z/Z7/F7zo+f/oovAmfjE6YQ3IKzuVa1eRt/azOqmEA0vBy2YWOz+pA+f2MCIZJId/kD3jYN0L/1
GXWVmCP8wjhL8Azzkn8uTtv4UVL62QXCTa0JkyHyj0F2lEvI+sRkklBy247FmXujrYM1ZFlOeRHz
/dnesFbrK+M2HzwX6F18W1fROsrufYJ/I/p2TmcSVZQ9caIHa7ENIfe1ytp2gJxxqPDrbBc6z+NA
96YMYoI779v+iaPQSqGH56nT9axU6/Xxwgjl2lD2pfM+ZxhuydLpmOe/huQ+5NYpWDYv788K2S58
8U6zapFIht8Kg0exs2JSGEg+O2d5XI69QtzruMnmoyDO/8VgxmvKGx4fuY41wmA5GZ8P4ROHMk74
/bPq5rd1o15m1QS6l13Qs4yxXNU2YJ38pUkvBJ5FWkVJQ+FEhg6rJ/QIgL5eb+sHLY6vg3TaGYZk
pKBvFTPbJyo+RpGdGgM8Do6XF3UrqQ8ChLG4ZGbfJCkq3lDGbIpG8WYBKEHDaj6qzCb4mlZdEawK
F4iH36/NOmGAOC5kMyxj2Idoy84grR0wH5/THHlJbHEYCt5rP+LjLTX9bojG24IRDIrPVWCaRMPS
tvZmLTstBF41CKNDkIFcqZAzzEet86rGrjv8s9y5f0DZzs8dhlnMaFigbPrp9Li/6WUnnVoPUQHo
d5iyW0lEM1C2+jB00Np6Vl5dRQNoiz16rU1aXoAg3liaedJkTrscVcC9WT3r+Xx3J6J0myjqOmr7
NYAVAph942B0xXoYrGvDtGBlxxyijOikyk/U1tzIMj/RRjxJOAfpeAEku7SQtzl2v5IaQ02+QuCe
7yaubSt5ZEYPINFaRDJbBzFYPy3E2tgsq57jcFyfIqRd6qQnBFLZlpN6kJZcd4Z5GFX3VDDSGsb5
iEuqStjcxCW6WE1sJoaP2pOgAwluY1+J6ZzESrTZRcBMa46Zd7krkzFflx2emfyMvL2N4lOqZc5z
RvZ2mqrboAcTwoEHzFM7nU5Ds8LnehxLa13kNJN5QQ9DC5uMNu5ZLu51PTiP8xtdyjOImdta62/y
4WmKreGkBFeCzE6zHyvfgE0fpg9KbKzCUtsgq4y9XsAQFe6WTu8rshFy74BPBiPuTk561tLlPHhS
9UwFxPT0zer6U+b+d5OOz0ungYFJdWa3h/vjxGMqGDjLnqA+USRvgdLe+1w+X2pPFXXW1Mm9ZkvC
lJPzqe0uglrSGB1mVamnod4CyWIT4ePGS+R9Ozm5F6GOLzVqrmrHRfXdJIc47N5LK/8ndzcjoh/e
t2Dl5v5mAWeD0VTnB2JCTZHGdCT2V5Ut8bXrBgFSvGFwVvheUcGlFi21kI4M62JJgIaSsUhVWgvn
az3QWKlC2oG2QhdfVoTBlbbNPRvoK+rELbo93dMFkp+ou2Zh3RjpcIji9hom5+1E5he+r9fAGq4z
k4Ow4TRMpEFEAefnF4umoPPqsDR2+rtKewN2YaOc0gdESzWV5MeU/VXYdYfeaU9KwYA8EvlZ2Pmc
XoT7VNmT5gHtvhFaeoH5Fwa+Vb7nShyuLKO86RvlHTpBunAi8Q4Q/boW8UNG709C41xb2ntJRyhE
eeTmvIOg2qGm8SaH7mxo3fWZtjEcinNbPvehshvxTRdZv6o1THP9Qu3CBfXLfQ4ZpYc9B55mhXbt
jMiLA+7m2CtVfRk77lYBAeSFLYJP2dxWKk2E3HyA3nUbRMMFGIFp2c1Fi9JsDTSwVUByaZVfW2G/
VYPJy5v4xVfL6zRs9q1uIEvjeSdHF1zEIcjVXVH2h94kryV1rjNNp16BrQhgfOUSZQe+bk2o/Jqv
/hQq56oHQSiG6J429Jbe4KoBmmjRSy5OGzCX9WitGzcFt4RUtn6Ip+vZrIjgdhm2J26Z7JC+3ksu
4WakyGE2oa0pujdOAiFzruml0bwnIUVEIw4t0sxKxo9VBojLrWOym3UyMSfDpKEi7OY+zuzLAuU6
p84KnBPDGAzVhFnFL1VqQo5FFOFkO19x7026pgiAX3HWrUtSBGfj3GnOY0jBVRyaKtnqE8OForxG
J3OVBPGJqY/9kqgFr0JERxiKxt9vlkz+1zXkKT+oc3amh1jvt8YwbLM2xJ7HmAKUDXPzMH8Iaut0
kMZdCnvRs8SDNVU3Q9Y2K+7qXeXb75NunPg4rlY9sR/YUwKoYshR2gbDggycdGWZ0ynAeq8SEBSh
LGxsqR7NmroOSOhVYYzHpMIcQbDWAz3VEOAiOp7IHQ/SbG67ydl3NoFRhkr7PdklhHeBVYHGpw0L
PYxvtFo8tHp7og7DczZMREvk5JylZAz3w3JQ1UMmgiVZYXeIGT1Hgm013SvRwqBKHtFMeCR+LFw/
PK+76NLICJ3gbmcU+j5FIPW4YsPgXg/jLP4jyrSZdlKrrnyYgwk6o0l9GpjgBfqw1lr3JUZEjHiw
w5xhXZFCnlE02u7KVM6lc14i5DMu8vYKWepBKtmyNUrcIwBZdI+4xdsMtm3CqaMgKyiHT9KRkabH
b0k04pmk/qkfbPemp5kcDSYINERO4VLTH9vg2g6IgXEkOLVLgNSw8forPCbcLgpOnyvA7PPk6FT1
ieEaQWiyR0WCjr29ttDuJBGohRgWh7jQ+hfEqmikjIempTcz8lwn+oPjHvBILOz0Ug3ayGOtvK98
qJJtZC2D6Lkn3TFr36EjLbLSfR4MI10DfXhWSrGNZLBNIu21A+OwYLBGaVe4y5HwIsYp/ZKBL279
wtnFdFhhV7v10gmyu2iEJDToo/mqSJ2JJPFDTFGcdV9MJ5bMb8KgspdTrN24ifJYjOM9NNObCQvH
5MPZQmvL3CZnJkGLEcZT6uRo8Sm6uj5/Kdpp40z2ltnRPGyUC9XhOBWEDMzMKvCkCnRBNb2MPJUG
zAFci53ofYwh2A8mYT9nXbcnkPDNGdsb6E3loiIqPI7HYFnUHE3AZcPtntHEuuIT1U7/nSFYqdEX
n8zTojTeISsuYm0TNGKPIWapFfIsAdXA8eksrKzzcWw2xCXp8L2MYC1N5N5mj56feX+0ZFiqILZ1
m1WaABv7t3Ci0rVbjmml5R4SVMSMkNqbSM0eJOp3XCTIyQPy2Y1Q23NtAF/AXfX0Ek9tAWRiYefg
DVXonQiixPW/qhz9BVvsF/fuHDW7ypuoGS/bNzlevdVt2sAh+BzCPf/poYjy5qb4z/1Hf/xCv719
/Oabf5aQa866lO+q1Y839fGO/+g10iMfrH0lfldTP5nYBW17DnZIizz48u9t8clUHV0QzqF+/FCZ
8ou+uTi/9/H/+JN9vo5//N/80Tv/fGF2r7xzoWs/Cn7+9Kc3sRETDIx79/OnpPj//iLM3k0Nuyc2
TX4+u0j/6y8Ca0bezDdhEBX5txImxl//sRvgh1f4+w2gI02ydMLSNGqx+eeHS+DOWAlhzifxjx/8
q3+t+8B2gQ3rnK9/7Tmw5s+pE+aCqfvj5/s7wfykWkyUhA6Obv6hU/LXugx8gfiPzbkZ9EsXQjcI
yoD7gYX48yelLv/mkXCsTxaLgqHTF//4+bwA/dc/Er+fG25Ys8n61y6C+wlMgIbC77sPz6JomCoX
2XQ+Pyt/uYeB+/fzQv3DNvUndgTd+sSahz/Sgj04/3y/IHAD0HFEIDQjY/5ij8BnPs+vLgWku8PO
JxaToPifXADb/kRWOxlElvb5CfjL3QTziqgbv3wf6J8EQ3Sacz/fG0nhcWlxcC3+opcBm5H+qwuB
NicK6WQQ0a382b0gPtHbcQ06+J9//nrbwsczYfzyrsCyb1is+/aXXYEX/GZXIJJJB3fscD98uRB/
tbUBypvJTvZru4L4hNaczVH7fC/8uDKqbI2Cw9TXnfP/12nxd7dG5Oza5zv0F7YH45PDjcC0isP3
N7eAY3/CrjOr5f/8o/AfOD38rfKCN56+ftRc0Vv9s9Ls9/6DrzXHP/75l3rjo6jgPP3dfziXYJ9/
999Lsv/93QX+qIm++cOvNdLH7/ny1798wH/81d/9rq+f6uu/3EZv8ihfQpKZ5jr0y9s8P2bUbUwc
QyaRPwtSswQP59/f0P/6H9+93W+egT98/bo+Zl9fZr4ys+fg6z//tC7926P1Ry+Ln+kov77M/LKf
Dyy/+m63Rzn+iO/5fAz85VeOst+PrANpxmHjV3/F/phl7W//85iV//7byZEU7Oi7K8Q5bK47f/W3
nBxlTtMiOX59qW9q6F9+be7T9IcX/mhN/OoLnx6TOjy+9m9v5Xdve7bXfP0X//mb8ez4Go4/f4Zm
+86v/4KL14i3//V1Pp4iyuh/wZd5aF/bl/BNyvG7F4fmyWH9Vy/6oc3j4/PX1/l412QD/wve9dUx
PiLdO37XwZjlD/+C176OkiT6bsFiZGj9C77Dm2MWpb+dH1/bb68I9a9gJ/3VS33bNIhIfrKIfzmu
/Orr37/Vzf9l7QpWEIZh6K/4C4ogXjyIIAr15A/UWbQyHHTzoF/v69aW1XVuLLmO7TVL0iZp02S2
Vahtlnti60W38QOo6EJiMceCVZlIx53fTUXfvx5Ar9p0h8CGjF1EFIctJCourHLIAjrprLhAuocS
xeWuZfwfKOfPofVjO6r27yaPstpCfwoTuwNz5I+uFmvEV1SenQ2y52MNcuAMszedr+WJrk2g/RGE
Nf7ZdHNiM8KsqD2SQ0eCl+2nQGWTkE/LJw/UAmdgk1A3tOWV72hWQAqWdgZncqfyu+5SvmRwnnqz
7hrqbbFmKucHa5USZxdaH8iq0mWnGqrb0WWQb21ncPv5VzvdCAy+1BGmoBefQYUGS3QShTD2djhx
mPR6NCV/9C8hqXgzHN51o1B/KJf6LA6x7RtZrqTZfAEAAP//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2.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1.xml"/><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microsoft.com/office/2014/relationships/chartEx" Target="../charts/chartEx1.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19.xml"/><Relationship Id="rId7" Type="http://schemas.openxmlformats.org/officeDocument/2006/relationships/image" Target="../media/image5.pn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20.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8</xdr:col>
      <xdr:colOff>175260</xdr:colOff>
      <xdr:row>6</xdr:row>
      <xdr:rowOff>110490</xdr:rowOff>
    </xdr:from>
    <xdr:to>
      <xdr:col>11</xdr:col>
      <xdr:colOff>640080</xdr:colOff>
      <xdr:row>17</xdr:row>
      <xdr:rowOff>83820</xdr:rowOff>
    </xdr:to>
    <xdr:graphicFrame macro="">
      <xdr:nvGraphicFramePr>
        <xdr:cNvPr id="2" name="Chart 1">
          <a:extLst>
            <a:ext uri="{FF2B5EF4-FFF2-40B4-BE49-F238E27FC236}">
              <a16:creationId xmlns:a16="http://schemas.microsoft.com/office/drawing/2014/main" id="{4EE61C41-D576-5A14-043E-78CCE2717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18</xdr:row>
      <xdr:rowOff>114300</xdr:rowOff>
    </xdr:from>
    <xdr:to>
      <xdr:col>13</xdr:col>
      <xdr:colOff>38100</xdr:colOff>
      <xdr:row>32</xdr:row>
      <xdr:rowOff>95250</xdr:rowOff>
    </xdr:to>
    <xdr:graphicFrame macro="">
      <xdr:nvGraphicFramePr>
        <xdr:cNvPr id="3" name="Chart 2">
          <a:extLst>
            <a:ext uri="{FF2B5EF4-FFF2-40B4-BE49-F238E27FC236}">
              <a16:creationId xmlns:a16="http://schemas.microsoft.com/office/drawing/2014/main" id="{C0B3A21D-FA4A-8161-D4D2-A0F6D5790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784860</xdr:colOff>
      <xdr:row>6</xdr:row>
      <xdr:rowOff>167640</xdr:rowOff>
    </xdr:from>
    <xdr:to>
      <xdr:col>15</xdr:col>
      <xdr:colOff>45720</xdr:colOff>
      <xdr:row>15</xdr:row>
      <xdr:rowOff>148590</xdr:rowOff>
    </xdr:to>
    <xdr:graphicFrame macro="">
      <xdr:nvGraphicFramePr>
        <xdr:cNvPr id="4" name="Chart 3">
          <a:extLst>
            <a:ext uri="{FF2B5EF4-FFF2-40B4-BE49-F238E27FC236}">
              <a16:creationId xmlns:a16="http://schemas.microsoft.com/office/drawing/2014/main" id="{D4B31C57-AB14-7162-F1EC-6C7D0005F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205740</xdr:colOff>
      <xdr:row>16</xdr:row>
      <xdr:rowOff>95250</xdr:rowOff>
    </xdr:from>
    <xdr:to>
      <xdr:col>15</xdr:col>
      <xdr:colOff>594360</xdr:colOff>
      <xdr:row>27</xdr:row>
      <xdr:rowOff>167640</xdr:rowOff>
    </xdr:to>
    <xdr:graphicFrame macro="">
      <xdr:nvGraphicFramePr>
        <xdr:cNvPr id="5" name="Chart 4">
          <a:extLst>
            <a:ext uri="{FF2B5EF4-FFF2-40B4-BE49-F238E27FC236}">
              <a16:creationId xmlns:a16="http://schemas.microsoft.com/office/drawing/2014/main" id="{F0327F8A-C5B3-37DA-DACA-23F847E4E7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419100</xdr:colOff>
      <xdr:row>29</xdr:row>
      <xdr:rowOff>133350</xdr:rowOff>
    </xdr:from>
    <xdr:to>
      <xdr:col>17</xdr:col>
      <xdr:colOff>754380</xdr:colOff>
      <xdr:row>44</xdr:row>
      <xdr:rowOff>133350</xdr:rowOff>
    </xdr:to>
    <xdr:graphicFrame macro="">
      <xdr:nvGraphicFramePr>
        <xdr:cNvPr id="7" name="Chart 6">
          <a:extLst>
            <a:ext uri="{FF2B5EF4-FFF2-40B4-BE49-F238E27FC236}">
              <a16:creationId xmlns:a16="http://schemas.microsoft.com/office/drawing/2014/main" id="{EDA93256-4EF4-CD20-17CD-A676628ED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236220</xdr:colOff>
      <xdr:row>2</xdr:row>
      <xdr:rowOff>41910</xdr:rowOff>
    </xdr:from>
    <xdr:to>
      <xdr:col>18</xdr:col>
      <xdr:colOff>502920</xdr:colOff>
      <xdr:row>15</xdr:row>
      <xdr:rowOff>7620</xdr:rowOff>
    </xdr:to>
    <xdr:graphicFrame macro="">
      <xdr:nvGraphicFramePr>
        <xdr:cNvPr id="8" name="Chart 7">
          <a:extLst>
            <a:ext uri="{FF2B5EF4-FFF2-40B4-BE49-F238E27FC236}">
              <a16:creationId xmlns:a16="http://schemas.microsoft.com/office/drawing/2014/main" id="{E07B3431-9D22-4C3C-0F05-103060970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190500</xdr:colOff>
      <xdr:row>16</xdr:row>
      <xdr:rowOff>57150</xdr:rowOff>
    </xdr:from>
    <xdr:to>
      <xdr:col>20</xdr:col>
      <xdr:colOff>403860</xdr:colOff>
      <xdr:row>28</xdr:row>
      <xdr:rowOff>83820</xdr:rowOff>
    </xdr:to>
    <xdr:graphicFrame macro="">
      <xdr:nvGraphicFramePr>
        <xdr:cNvPr id="12" name="Chart 11">
          <a:extLst>
            <a:ext uri="{FF2B5EF4-FFF2-40B4-BE49-F238E27FC236}">
              <a16:creationId xmlns:a16="http://schemas.microsoft.com/office/drawing/2014/main" id="{20D1BCF0-3D23-750C-2F77-EE3027305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xdr:col>
      <xdr:colOff>567673</xdr:colOff>
      <xdr:row>21</xdr:row>
      <xdr:rowOff>111646</xdr:rowOff>
    </xdr:from>
    <xdr:ext cx="976552" cy="803971"/>
    <xdr:sp macro="" textlink="">
      <xdr:nvSpPr>
        <xdr:cNvPr id="6" name="TextBox 5">
          <a:extLst>
            <a:ext uri="{FF2B5EF4-FFF2-40B4-BE49-F238E27FC236}">
              <a16:creationId xmlns:a16="http://schemas.microsoft.com/office/drawing/2014/main" id="{A11785F6-7EF7-40A1-6EE8-1912D487546D}"/>
            </a:ext>
          </a:extLst>
        </xdr:cNvPr>
        <xdr:cNvSpPr txBox="1"/>
      </xdr:nvSpPr>
      <xdr:spPr>
        <a:xfrm rot="1376931" flipV="1">
          <a:off x="1573513" y="3952126"/>
          <a:ext cx="976552" cy="803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editAs="oneCell">
    <xdr:from>
      <xdr:col>0</xdr:col>
      <xdr:colOff>45720</xdr:colOff>
      <xdr:row>26</xdr:row>
      <xdr:rowOff>45721</xdr:rowOff>
    </xdr:from>
    <xdr:to>
      <xdr:col>1</xdr:col>
      <xdr:colOff>868680</xdr:colOff>
      <xdr:row>36</xdr:row>
      <xdr:rowOff>38101</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E79997D7-6E15-AFDB-7A6D-14C91F3D020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5720" y="4800601"/>
              <a:ext cx="182880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26</xdr:row>
      <xdr:rowOff>175261</xdr:rowOff>
    </xdr:from>
    <xdr:to>
      <xdr:col>7</xdr:col>
      <xdr:colOff>990600</xdr:colOff>
      <xdr:row>33</xdr:row>
      <xdr:rowOff>53341</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DCA73C45-E303-5E70-8AC8-83469FB237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469380" y="49301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37</xdr:row>
      <xdr:rowOff>30480</xdr:rowOff>
    </xdr:from>
    <xdr:to>
      <xdr:col>1</xdr:col>
      <xdr:colOff>883920</xdr:colOff>
      <xdr:row>50</xdr:row>
      <xdr:rowOff>15239</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39FD4378-9181-8E4E-18D8-9A5FF356B43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960" y="6797040"/>
              <a:ext cx="1828800" cy="2362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198120</xdr:colOff>
      <xdr:row>13</xdr:row>
      <xdr:rowOff>99061</xdr:rowOff>
    </xdr:from>
    <xdr:to>
      <xdr:col>2</xdr:col>
      <xdr:colOff>487680</xdr:colOff>
      <xdr:row>18</xdr:row>
      <xdr:rowOff>167640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72360D93-2AE6-9969-1443-B9151A04DC2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03960" y="2476501"/>
              <a:ext cx="166878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198120</xdr:colOff>
      <xdr:row>18</xdr:row>
      <xdr:rowOff>144781</xdr:rowOff>
    </xdr:from>
    <xdr:to>
      <xdr:col>2</xdr:col>
      <xdr:colOff>320040</xdr:colOff>
      <xdr:row>25</xdr:row>
      <xdr:rowOff>152400</xdr:rowOff>
    </xdr:to>
    <mc:AlternateContent xmlns:mc="http://schemas.openxmlformats.org/markup-compatibility/2006" xmlns:a14="http://schemas.microsoft.com/office/drawing/2010/main">
      <mc:Choice Requires="a14">
        <xdr:graphicFrame macro="">
          <xdr:nvGraphicFramePr>
            <xdr:cNvPr id="17" name="Country 1">
              <a:extLst>
                <a:ext uri="{FF2B5EF4-FFF2-40B4-BE49-F238E27FC236}">
                  <a16:creationId xmlns:a16="http://schemas.microsoft.com/office/drawing/2014/main" id="{38923942-F8A9-76AE-75FC-9905D067061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3960" y="3436621"/>
              <a:ext cx="150114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17</xdr:row>
      <xdr:rowOff>7620</xdr:rowOff>
    </xdr:from>
    <xdr:to>
      <xdr:col>5</xdr:col>
      <xdr:colOff>22860</xdr:colOff>
      <xdr:row>29</xdr:row>
      <xdr:rowOff>83820</xdr:rowOff>
    </xdr:to>
    <xdr:graphicFrame macro="">
      <xdr:nvGraphicFramePr>
        <xdr:cNvPr id="2" name="Chart 1">
          <a:extLst>
            <a:ext uri="{FF2B5EF4-FFF2-40B4-BE49-F238E27FC236}">
              <a16:creationId xmlns:a16="http://schemas.microsoft.com/office/drawing/2014/main" id="{DCEB8159-6FDA-43C2-BCA6-00EA36E0F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182880</xdr:colOff>
      <xdr:row>2</xdr:row>
      <xdr:rowOff>137160</xdr:rowOff>
    </xdr:from>
    <xdr:to>
      <xdr:col>7</xdr:col>
      <xdr:colOff>30480</xdr:colOff>
      <xdr:row>16</xdr:row>
      <xdr:rowOff>137160</xdr:rowOff>
    </xdr:to>
    <xdr:graphicFrame macro="">
      <xdr:nvGraphicFramePr>
        <xdr:cNvPr id="4" name="Chart 3">
          <a:extLst>
            <a:ext uri="{FF2B5EF4-FFF2-40B4-BE49-F238E27FC236}">
              <a16:creationId xmlns:a16="http://schemas.microsoft.com/office/drawing/2014/main" id="{ADB46E90-2F04-4961-8426-453C42806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342900</xdr:colOff>
      <xdr:row>2</xdr:row>
      <xdr:rowOff>144780</xdr:rowOff>
    </xdr:from>
    <xdr:to>
      <xdr:col>21</xdr:col>
      <xdr:colOff>266700</xdr:colOff>
      <xdr:row>16</xdr:row>
      <xdr:rowOff>144780</xdr:rowOff>
    </xdr:to>
    <xdr:graphicFrame macro="">
      <xdr:nvGraphicFramePr>
        <xdr:cNvPr id="6" name="Chart 5">
          <a:extLst>
            <a:ext uri="{FF2B5EF4-FFF2-40B4-BE49-F238E27FC236}">
              <a16:creationId xmlns:a16="http://schemas.microsoft.com/office/drawing/2014/main" id="{EDDC7C53-74FB-44FC-9E2D-923BA56AC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441960</xdr:colOff>
      <xdr:row>0</xdr:row>
      <xdr:rowOff>15240</xdr:rowOff>
    </xdr:from>
    <xdr:to>
      <xdr:col>8</xdr:col>
      <xdr:colOff>137160</xdr:colOff>
      <xdr:row>1</xdr:row>
      <xdr:rowOff>137160</xdr:rowOff>
    </xdr:to>
    <xdr:pic>
      <xdr:nvPicPr>
        <xdr:cNvPr id="8" name="Graphic 7" descr="Business Growth with solid fill">
          <a:extLst>
            <a:ext uri="{FF2B5EF4-FFF2-40B4-BE49-F238E27FC236}">
              <a16:creationId xmlns:a16="http://schemas.microsoft.com/office/drawing/2014/main" id="{0CFB7A7E-B6FF-E9FA-EBBB-A845AFD5B21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99560" y="15240"/>
          <a:ext cx="914400" cy="708660"/>
        </a:xfrm>
        <a:prstGeom prst="rect">
          <a:avLst/>
        </a:prstGeom>
      </xdr:spPr>
    </xdr:pic>
    <xdr:clientData/>
  </xdr:twoCellAnchor>
  <xdr:twoCellAnchor>
    <xdr:from>
      <xdr:col>0</xdr:col>
      <xdr:colOff>175260</xdr:colOff>
      <xdr:row>0</xdr:row>
      <xdr:rowOff>76200</xdr:rowOff>
    </xdr:from>
    <xdr:to>
      <xdr:col>3</xdr:col>
      <xdr:colOff>297180</xdr:colOff>
      <xdr:row>2</xdr:row>
      <xdr:rowOff>30480</xdr:rowOff>
    </xdr:to>
    <xdr:sp macro="" textlink="">
      <xdr:nvSpPr>
        <xdr:cNvPr id="9" name="Rectangle: Rounded Corners 8">
          <a:extLst>
            <a:ext uri="{FF2B5EF4-FFF2-40B4-BE49-F238E27FC236}">
              <a16:creationId xmlns:a16="http://schemas.microsoft.com/office/drawing/2014/main" id="{92D0CF2B-2727-1A80-22D4-FFA7DA1C0D83}"/>
            </a:ext>
          </a:extLst>
        </xdr:cNvPr>
        <xdr:cNvSpPr/>
      </xdr:nvSpPr>
      <xdr:spPr>
        <a:xfrm>
          <a:off x="175260" y="76200"/>
          <a:ext cx="195072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EMPLOYEES </a:t>
          </a:r>
        </a:p>
        <a:p>
          <a:pPr algn="ctr"/>
          <a:r>
            <a:rPr lang="en-IN" sz="1600" b="1"/>
            <a:t>1000</a:t>
          </a:r>
        </a:p>
      </xdr:txBody>
    </xdr:sp>
    <xdr:clientData/>
  </xdr:twoCellAnchor>
  <xdr:twoCellAnchor>
    <xdr:from>
      <xdr:col>3</xdr:col>
      <xdr:colOff>396240</xdr:colOff>
      <xdr:row>0</xdr:row>
      <xdr:rowOff>83820</xdr:rowOff>
    </xdr:from>
    <xdr:to>
      <xdr:col>6</xdr:col>
      <xdr:colOff>213360</xdr:colOff>
      <xdr:row>2</xdr:row>
      <xdr:rowOff>22860</xdr:rowOff>
    </xdr:to>
    <xdr:sp macro="" textlink="">
      <xdr:nvSpPr>
        <xdr:cNvPr id="10" name="Rectangle: Rounded Corners 9">
          <a:extLst>
            <a:ext uri="{FF2B5EF4-FFF2-40B4-BE49-F238E27FC236}">
              <a16:creationId xmlns:a16="http://schemas.microsoft.com/office/drawing/2014/main" id="{A34DCE71-6DDF-B51A-3E2D-D3271414B287}"/>
            </a:ext>
          </a:extLst>
        </xdr:cNvPr>
        <xdr:cNvSpPr/>
      </xdr:nvSpPr>
      <xdr:spPr>
        <a:xfrm>
          <a:off x="2225040" y="83820"/>
          <a:ext cx="164592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SALARY</a:t>
          </a:r>
        </a:p>
        <a:p>
          <a:pPr algn="ctr"/>
          <a:r>
            <a:rPr lang="en-IN" sz="1400" b="1" i="0" u="none" strike="noStrike">
              <a:solidFill>
                <a:schemeClr val="lt1"/>
              </a:solidFill>
              <a:effectLst/>
              <a:latin typeface="+mn-lt"/>
              <a:ea typeface="+mn-ea"/>
              <a:cs typeface="+mn-cs"/>
            </a:rPr>
            <a:t>₹ 12,90,91,167.00</a:t>
          </a:r>
          <a:r>
            <a:rPr lang="en-IN" sz="1400" b="1">
              <a:effectLst/>
            </a:rPr>
            <a:t> </a:t>
          </a:r>
          <a:endParaRPr lang="en-IN" sz="1400" b="1"/>
        </a:p>
      </xdr:txBody>
    </xdr:sp>
    <xdr:clientData/>
  </xdr:twoCellAnchor>
  <xdr:twoCellAnchor>
    <xdr:from>
      <xdr:col>14</xdr:col>
      <xdr:colOff>518160</xdr:colOff>
      <xdr:row>0</xdr:row>
      <xdr:rowOff>91440</xdr:rowOff>
    </xdr:from>
    <xdr:to>
      <xdr:col>17</xdr:col>
      <xdr:colOff>556260</xdr:colOff>
      <xdr:row>2</xdr:row>
      <xdr:rowOff>45720</xdr:rowOff>
    </xdr:to>
    <xdr:sp macro="" textlink="">
      <xdr:nvSpPr>
        <xdr:cNvPr id="11" name="Rectangle: Rounded Corners 10">
          <a:extLst>
            <a:ext uri="{FF2B5EF4-FFF2-40B4-BE49-F238E27FC236}">
              <a16:creationId xmlns:a16="http://schemas.microsoft.com/office/drawing/2014/main" id="{3E89F360-8A24-359E-77F8-140BC31B674B}"/>
            </a:ext>
          </a:extLst>
        </xdr:cNvPr>
        <xdr:cNvSpPr/>
      </xdr:nvSpPr>
      <xdr:spPr>
        <a:xfrm>
          <a:off x="9052560" y="91440"/>
          <a:ext cx="186690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 </a:t>
          </a:r>
          <a:r>
            <a:rPr lang="en-IN" sz="1800" b="1"/>
            <a:t>LEFT STATUS</a:t>
          </a:r>
          <a:endParaRPr lang="en-IN" sz="1800" b="1" i="0" u="none" strike="noStrike">
            <a:solidFill>
              <a:schemeClr val="lt1"/>
            </a:solidFill>
            <a:effectLst/>
            <a:latin typeface="+mn-lt"/>
            <a:ea typeface="+mn-ea"/>
            <a:cs typeface="+mn-cs"/>
          </a:endParaRPr>
        </a:p>
        <a:p>
          <a:pPr algn="ctr"/>
          <a:r>
            <a:rPr lang="en-IN" sz="1800" b="1" i="0" u="none" strike="noStrike">
              <a:solidFill>
                <a:schemeClr val="lt1"/>
              </a:solidFill>
              <a:effectLst/>
              <a:latin typeface="+mn-lt"/>
              <a:ea typeface="+mn-ea"/>
              <a:cs typeface="+mn-cs"/>
            </a:rPr>
            <a:t>85</a:t>
          </a:r>
          <a:endParaRPr lang="en-IN" sz="1800" b="1"/>
        </a:p>
      </xdr:txBody>
    </xdr:sp>
    <xdr:clientData/>
  </xdr:twoCellAnchor>
  <xdr:twoCellAnchor>
    <xdr:from>
      <xdr:col>18</xdr:col>
      <xdr:colOff>106680</xdr:colOff>
      <xdr:row>0</xdr:row>
      <xdr:rowOff>60960</xdr:rowOff>
    </xdr:from>
    <xdr:to>
      <xdr:col>21</xdr:col>
      <xdr:colOff>167640</xdr:colOff>
      <xdr:row>2</xdr:row>
      <xdr:rowOff>22860</xdr:rowOff>
    </xdr:to>
    <xdr:sp macro="" textlink="">
      <xdr:nvSpPr>
        <xdr:cNvPr id="12" name="Rectangle: Rounded Corners 11">
          <a:extLst>
            <a:ext uri="{FF2B5EF4-FFF2-40B4-BE49-F238E27FC236}">
              <a16:creationId xmlns:a16="http://schemas.microsoft.com/office/drawing/2014/main" id="{74A528EB-1930-8106-D9FE-AC97B75EAE3C}"/>
            </a:ext>
          </a:extLst>
        </xdr:cNvPr>
        <xdr:cNvSpPr/>
      </xdr:nvSpPr>
      <xdr:spPr>
        <a:xfrm>
          <a:off x="11079480" y="60960"/>
          <a:ext cx="188976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BONUS %</a:t>
          </a:r>
        </a:p>
        <a:p>
          <a:pPr algn="ctr"/>
          <a:r>
            <a:rPr lang="en-IN" sz="1800" b="1"/>
            <a:t>88.66%</a:t>
          </a:r>
        </a:p>
      </xdr:txBody>
    </xdr:sp>
    <xdr:clientData/>
  </xdr:twoCellAnchor>
  <xdr:twoCellAnchor editAs="oneCell">
    <xdr:from>
      <xdr:col>5</xdr:col>
      <xdr:colOff>106680</xdr:colOff>
      <xdr:row>17</xdr:row>
      <xdr:rowOff>38100</xdr:rowOff>
    </xdr:from>
    <xdr:to>
      <xdr:col>8</xdr:col>
      <xdr:colOff>106680</xdr:colOff>
      <xdr:row>29</xdr:row>
      <xdr:rowOff>53340</xdr:rowOff>
    </xdr:to>
    <mc:AlternateContent xmlns:mc="http://schemas.openxmlformats.org/markup-compatibility/2006" xmlns:a14="http://schemas.microsoft.com/office/drawing/2010/main">
      <mc:Choice Requires="a14">
        <xdr:graphicFrame macro="">
          <xdr:nvGraphicFramePr>
            <xdr:cNvPr id="16" name="Age group 1">
              <a:extLst>
                <a:ext uri="{FF2B5EF4-FFF2-40B4-BE49-F238E27FC236}">
                  <a16:creationId xmlns:a16="http://schemas.microsoft.com/office/drawing/2014/main" id="{A5EE6A54-7F29-452A-8213-2F271F31722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3154680" y="3550920"/>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17</xdr:row>
      <xdr:rowOff>22861</xdr:rowOff>
    </xdr:from>
    <xdr:to>
      <xdr:col>11</xdr:col>
      <xdr:colOff>213360</xdr:colOff>
      <xdr:row>29</xdr:row>
      <xdr:rowOff>53341</xdr:rowOff>
    </xdr:to>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E110994A-73C6-4C0C-9A2A-D0EAE10E6A5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090160" y="3535681"/>
              <a:ext cx="1828800" cy="2225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175260</xdr:colOff>
      <xdr:row>2</xdr:row>
      <xdr:rowOff>129540</xdr:rowOff>
    </xdr:from>
    <xdr:to>
      <xdr:col>14</xdr:col>
      <xdr:colOff>205740</xdr:colOff>
      <xdr:row>16</xdr:row>
      <xdr:rowOff>110490</xdr:rowOff>
    </xdr:to>
    <xdr:graphicFrame macro="">
      <xdr:nvGraphicFramePr>
        <xdr:cNvPr id="20" name="Chart 19">
          <a:extLst>
            <a:ext uri="{FF2B5EF4-FFF2-40B4-BE49-F238E27FC236}">
              <a16:creationId xmlns:a16="http://schemas.microsoft.com/office/drawing/2014/main" id="{FD569685-D1B1-4E5A-AB83-5C313E14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350520</xdr:colOff>
      <xdr:row>17</xdr:row>
      <xdr:rowOff>30480</xdr:rowOff>
    </xdr:from>
    <xdr:to>
      <xdr:col>21</xdr:col>
      <xdr:colOff>274320</xdr:colOff>
      <xdr:row>29</xdr:row>
      <xdr:rowOff>57150</xdr:rowOff>
    </xdr:to>
    <xdr:graphicFrame macro="">
      <xdr:nvGraphicFramePr>
        <xdr:cNvPr id="22" name="Chart 21">
          <a:extLst>
            <a:ext uri="{FF2B5EF4-FFF2-40B4-BE49-F238E27FC236}">
              <a16:creationId xmlns:a16="http://schemas.microsoft.com/office/drawing/2014/main" id="{CCCCCFFF-3140-4793-A617-555CF9722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297180</xdr:colOff>
      <xdr:row>16</xdr:row>
      <xdr:rowOff>175260</xdr:rowOff>
    </xdr:from>
    <xdr:to>
      <xdr:col>14</xdr:col>
      <xdr:colOff>297180</xdr:colOff>
      <xdr:row>22</xdr:row>
      <xdr:rowOff>60959</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28535A37-4668-440E-A0DA-CAAFC6530C7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002780" y="3505200"/>
              <a:ext cx="182880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22</xdr:row>
      <xdr:rowOff>175260</xdr:rowOff>
    </xdr:from>
    <xdr:to>
      <xdr:col>14</xdr:col>
      <xdr:colOff>297180</xdr:colOff>
      <xdr:row>29</xdr:row>
      <xdr:rowOff>76199</xdr:rowOff>
    </xdr:to>
    <mc:AlternateContent xmlns:mc="http://schemas.openxmlformats.org/markup-compatibility/2006" xmlns:a14="http://schemas.microsoft.com/office/drawing/2010/main">
      <mc:Choice Requires="a14">
        <xdr:graphicFrame macro="">
          <xdr:nvGraphicFramePr>
            <xdr:cNvPr id="25" name="Country 2">
              <a:extLst>
                <a:ext uri="{FF2B5EF4-FFF2-40B4-BE49-F238E27FC236}">
                  <a16:creationId xmlns:a16="http://schemas.microsoft.com/office/drawing/2014/main" id="{45B5A306-404A-4D68-8EDF-87B90DF284A0}"/>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7002780" y="4602480"/>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327660</xdr:colOff>
      <xdr:row>0</xdr:row>
      <xdr:rowOff>0</xdr:rowOff>
    </xdr:from>
    <xdr:to>
      <xdr:col>10</xdr:col>
      <xdr:colOff>7620</xdr:colOff>
      <xdr:row>12</xdr:row>
      <xdr:rowOff>72390</xdr:rowOff>
    </xdr:to>
    <xdr:graphicFrame macro="">
      <xdr:nvGraphicFramePr>
        <xdr:cNvPr id="51" name="Chart 50">
          <a:extLst>
            <a:ext uri="{FF2B5EF4-FFF2-40B4-BE49-F238E27FC236}">
              <a16:creationId xmlns:a16="http://schemas.microsoft.com/office/drawing/2014/main" id="{9F3A5EFE-2099-FE6C-CCF9-DBEC87462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396240</xdr:colOff>
      <xdr:row>11</xdr:row>
      <xdr:rowOff>148590</xdr:rowOff>
    </xdr:from>
    <xdr:to>
      <xdr:col>19</xdr:col>
      <xdr:colOff>144780</xdr:colOff>
      <xdr:row>25</xdr:row>
      <xdr:rowOff>22860</xdr:rowOff>
    </xdr:to>
    <xdr:graphicFrame macro="">
      <xdr:nvGraphicFramePr>
        <xdr:cNvPr id="52" name="Chart 51">
          <a:extLst>
            <a:ext uri="{FF2B5EF4-FFF2-40B4-BE49-F238E27FC236}">
              <a16:creationId xmlns:a16="http://schemas.microsoft.com/office/drawing/2014/main" id="{A5F3FDB6-A667-013C-6CDA-29311B381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358140</xdr:colOff>
      <xdr:row>1</xdr:row>
      <xdr:rowOff>38100</xdr:rowOff>
    </xdr:from>
    <xdr:to>
      <xdr:col>20</xdr:col>
      <xdr:colOff>342900</xdr:colOff>
      <xdr:row>11</xdr:row>
      <xdr:rowOff>22860</xdr:rowOff>
    </xdr:to>
    <xdr:graphicFrame macro="">
      <xdr:nvGraphicFramePr>
        <xdr:cNvPr id="53" name="Chart 52">
          <a:extLst>
            <a:ext uri="{FF2B5EF4-FFF2-40B4-BE49-F238E27FC236}">
              <a16:creationId xmlns:a16="http://schemas.microsoft.com/office/drawing/2014/main" id="{37E87247-D720-E3E5-217B-A4B95FF00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579120</xdr:colOff>
      <xdr:row>36</xdr:row>
      <xdr:rowOff>102870</xdr:rowOff>
    </xdr:from>
    <xdr:to>
      <xdr:col>16</xdr:col>
      <xdr:colOff>320040</xdr:colOff>
      <xdr:row>49</xdr:row>
      <xdr:rowOff>68580</xdr:rowOff>
    </xdr:to>
    <xdr:graphicFrame macro="">
      <xdr:nvGraphicFramePr>
        <xdr:cNvPr id="54" name="Chart 53">
          <a:extLst>
            <a:ext uri="{FF2B5EF4-FFF2-40B4-BE49-F238E27FC236}">
              <a16:creationId xmlns:a16="http://schemas.microsoft.com/office/drawing/2014/main" id="{D5C718BE-9904-8125-5CB4-CB1F20150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350520</xdr:colOff>
      <xdr:row>24</xdr:row>
      <xdr:rowOff>99061</xdr:rowOff>
    </xdr:from>
    <xdr:to>
      <xdr:col>9</xdr:col>
      <xdr:colOff>1554480</xdr:colOff>
      <xdr:row>34</xdr:row>
      <xdr:rowOff>106681</xdr:rowOff>
    </xdr:to>
    <mc:AlternateContent xmlns:mc="http://schemas.openxmlformats.org/markup-compatibility/2006" xmlns:a14="http://schemas.microsoft.com/office/drawing/2010/main">
      <mc:Choice Requires="a14">
        <xdr:graphicFrame macro="">
          <xdr:nvGraphicFramePr>
            <xdr:cNvPr id="2" name="Sales Rep">
              <a:extLst>
                <a:ext uri="{FF2B5EF4-FFF2-40B4-BE49-F238E27FC236}">
                  <a16:creationId xmlns:a16="http://schemas.microsoft.com/office/drawing/2014/main" id="{8BB9BD05-0657-2399-9324-7B8E09F9BE4F}"/>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7825740" y="4488181"/>
              <a:ext cx="120396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815340</xdr:colOff>
      <xdr:row>24</xdr:row>
      <xdr:rowOff>38101</xdr:rowOff>
    </xdr:from>
    <xdr:to>
      <xdr:col>9</xdr:col>
      <xdr:colOff>60960</xdr:colOff>
      <xdr:row>33</xdr:row>
      <xdr:rowOff>91440</xdr:rowOff>
    </xdr:to>
    <mc:AlternateContent xmlns:mc="http://schemas.openxmlformats.org/markup-compatibility/2006" xmlns:a14="http://schemas.microsoft.com/office/drawing/2010/main">
      <mc:Choice Requires="a14">
        <xdr:graphicFrame macro="">
          <xdr:nvGraphicFramePr>
            <xdr:cNvPr id="60" name="Item">
              <a:extLst>
                <a:ext uri="{FF2B5EF4-FFF2-40B4-BE49-F238E27FC236}">
                  <a16:creationId xmlns:a16="http://schemas.microsoft.com/office/drawing/2014/main" id="{3B1FAC75-F76B-B835-E32C-E88F7413C13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707380" y="4427221"/>
              <a:ext cx="182880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472440</xdr:colOff>
      <xdr:row>34</xdr:row>
      <xdr:rowOff>91440</xdr:rowOff>
    </xdr:from>
    <xdr:to>
      <xdr:col>8</xdr:col>
      <xdr:colOff>655320</xdr:colOff>
      <xdr:row>48</xdr:row>
      <xdr:rowOff>129540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02316D1D-1BB0-4596-AF44-79C9820267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937760" y="6309360"/>
              <a:ext cx="2766060" cy="25984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320040</xdr:colOff>
      <xdr:row>37</xdr:row>
      <xdr:rowOff>60961</xdr:rowOff>
    </xdr:from>
    <xdr:to>
      <xdr:col>10</xdr:col>
      <xdr:colOff>579120</xdr:colOff>
      <xdr:row>49</xdr:row>
      <xdr:rowOff>83821</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D4EE4158-EB91-713B-AF44-14978BDF8DC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229600" y="6827521"/>
              <a:ext cx="182880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1</xdr:row>
      <xdr:rowOff>45720</xdr:rowOff>
    </xdr:from>
    <xdr:to>
      <xdr:col>0</xdr:col>
      <xdr:colOff>4122420</xdr:colOff>
      <xdr:row>13</xdr:row>
      <xdr:rowOff>118110</xdr:rowOff>
    </xdr:to>
    <xdr:graphicFrame macro="">
      <xdr:nvGraphicFramePr>
        <xdr:cNvPr id="2" name="Chart 1">
          <a:extLst>
            <a:ext uri="{FF2B5EF4-FFF2-40B4-BE49-F238E27FC236}">
              <a16:creationId xmlns:a16="http://schemas.microsoft.com/office/drawing/2014/main" id="{38673569-06C3-4752-AA6B-3B0F21C5D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5509260</xdr:colOff>
      <xdr:row>14</xdr:row>
      <xdr:rowOff>53340</xdr:rowOff>
    </xdr:from>
    <xdr:to>
      <xdr:col>0</xdr:col>
      <xdr:colOff>10530840</xdr:colOff>
      <xdr:row>27</xdr:row>
      <xdr:rowOff>0</xdr:rowOff>
    </xdr:to>
    <xdr:graphicFrame macro="">
      <xdr:nvGraphicFramePr>
        <xdr:cNvPr id="3" name="Chart 9">
          <a:extLst>
            <a:ext uri="{FF2B5EF4-FFF2-40B4-BE49-F238E27FC236}">
              <a16:creationId xmlns:a16="http://schemas.microsoft.com/office/drawing/2014/main" id="{274B43BA-D7F9-4477-AA95-2C119A51C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8343900</xdr:colOff>
      <xdr:row>1</xdr:row>
      <xdr:rowOff>45720</xdr:rowOff>
    </xdr:from>
    <xdr:to>
      <xdr:col>1</xdr:col>
      <xdr:colOff>38100</xdr:colOff>
      <xdr:row>13</xdr:row>
      <xdr:rowOff>95250</xdr:rowOff>
    </xdr:to>
    <xdr:graphicFrame macro="">
      <xdr:nvGraphicFramePr>
        <xdr:cNvPr id="4" name="Chart 3">
          <a:extLst>
            <a:ext uri="{FF2B5EF4-FFF2-40B4-BE49-F238E27FC236}">
              <a16:creationId xmlns:a16="http://schemas.microsoft.com/office/drawing/2014/main" id="{F3EFA825-9701-4699-95AF-2543A9EF0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13</xdr:row>
      <xdr:rowOff>167640</xdr:rowOff>
    </xdr:from>
    <xdr:to>
      <xdr:col>0</xdr:col>
      <xdr:colOff>4130040</xdr:colOff>
      <xdr:row>27</xdr:row>
      <xdr:rowOff>41910</xdr:rowOff>
    </xdr:to>
    <xdr:graphicFrame macro="">
      <xdr:nvGraphicFramePr>
        <xdr:cNvPr id="5" name="Chart 4">
          <a:extLst>
            <a:ext uri="{FF2B5EF4-FFF2-40B4-BE49-F238E27FC236}">
              <a16:creationId xmlns:a16="http://schemas.microsoft.com/office/drawing/2014/main" id="{E927FED4-C387-449A-B951-DBE170D49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4244340</xdr:colOff>
      <xdr:row>1</xdr:row>
      <xdr:rowOff>60960</xdr:rowOff>
    </xdr:from>
    <xdr:to>
      <xdr:col>0</xdr:col>
      <xdr:colOff>5501640</xdr:colOff>
      <xdr:row>10</xdr:row>
      <xdr:rowOff>137160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E00485FD-274E-47D9-99EA-E58BBC331DE5}"/>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4244340" y="1074420"/>
              <a:ext cx="12573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4191000</xdr:colOff>
      <xdr:row>10</xdr:row>
      <xdr:rowOff>160020</xdr:rowOff>
    </xdr:from>
    <xdr:to>
      <xdr:col>0</xdr:col>
      <xdr:colOff>5463540</xdr:colOff>
      <xdr:row>20</xdr:row>
      <xdr:rowOff>38100</xdr:rowOff>
    </xdr:to>
    <mc:AlternateContent xmlns:mc="http://schemas.openxmlformats.org/markup-compatibility/2006" xmlns:a14="http://schemas.microsoft.com/office/drawing/2010/main">
      <mc:Choice Requires="a14">
        <xdr:graphicFrame macro="">
          <xdr:nvGraphicFramePr>
            <xdr:cNvPr id="7" name="Sales Rep 2">
              <a:extLst>
                <a:ext uri="{FF2B5EF4-FFF2-40B4-BE49-F238E27FC236}">
                  <a16:creationId xmlns:a16="http://schemas.microsoft.com/office/drawing/2014/main" id="{4336B024-5909-4AB2-9A09-F634495BCEDD}"/>
                </a:ext>
              </a:extLst>
            </xdr:cNvPr>
            <xdr:cNvGraphicFramePr/>
          </xdr:nvGraphicFramePr>
          <xdr:xfrm>
            <a:off x="0" y="0"/>
            <a:ext cx="0" cy="0"/>
          </xdr:xfrm>
          <a:graphic>
            <a:graphicData uri="http://schemas.microsoft.com/office/drawing/2010/slicer">
              <sle:slicer xmlns:sle="http://schemas.microsoft.com/office/drawing/2010/slicer" name="Sales Rep 2"/>
            </a:graphicData>
          </a:graphic>
        </xdr:graphicFrame>
      </mc:Choice>
      <mc:Fallback xmlns="">
        <xdr:sp macro="" textlink="">
          <xdr:nvSpPr>
            <xdr:cNvPr id="0" name=""/>
            <xdr:cNvSpPr>
              <a:spLocks noTextEdit="1"/>
            </xdr:cNvSpPr>
          </xdr:nvSpPr>
          <xdr:spPr>
            <a:xfrm>
              <a:off x="4191000" y="2819400"/>
              <a:ext cx="127254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0</xdr:row>
      <xdr:rowOff>53340</xdr:rowOff>
    </xdr:from>
    <xdr:to>
      <xdr:col>0</xdr:col>
      <xdr:colOff>2758440</xdr:colOff>
      <xdr:row>0</xdr:row>
      <xdr:rowOff>982980</xdr:rowOff>
    </xdr:to>
    <xdr:sp macro="" textlink="">
      <xdr:nvSpPr>
        <xdr:cNvPr id="8" name="Rectangle: Rounded Corners 7">
          <a:extLst>
            <a:ext uri="{FF2B5EF4-FFF2-40B4-BE49-F238E27FC236}">
              <a16:creationId xmlns:a16="http://schemas.microsoft.com/office/drawing/2014/main" id="{B247D2C4-EF64-1139-700C-1B1F4F993FB4}"/>
            </a:ext>
          </a:extLst>
        </xdr:cNvPr>
        <xdr:cNvSpPr/>
      </xdr:nvSpPr>
      <xdr:spPr>
        <a:xfrm>
          <a:off x="259080" y="53340"/>
          <a:ext cx="2499360" cy="929640"/>
        </a:xfrm>
        <a:prstGeom prst="roundRect">
          <a:avLst/>
        </a:prstGeom>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TOTAL ORDERS</a:t>
          </a:r>
        </a:p>
        <a:p>
          <a:pPr algn="ctr"/>
          <a:r>
            <a:rPr lang="en-IN" sz="2400" b="1"/>
            <a:t>1300</a:t>
          </a:r>
        </a:p>
      </xdr:txBody>
    </xdr:sp>
    <xdr:clientData/>
  </xdr:twoCellAnchor>
  <xdr:twoCellAnchor editAs="oneCell">
    <xdr:from>
      <xdr:col>0</xdr:col>
      <xdr:colOff>2804160</xdr:colOff>
      <xdr:row>0</xdr:row>
      <xdr:rowOff>281940</xdr:rowOff>
    </xdr:from>
    <xdr:to>
      <xdr:col>0</xdr:col>
      <xdr:colOff>3467100</xdr:colOff>
      <xdr:row>0</xdr:row>
      <xdr:rowOff>944880</xdr:rowOff>
    </xdr:to>
    <xdr:pic>
      <xdr:nvPicPr>
        <xdr:cNvPr id="10" name="Graphic 9" descr="Upward trend with solid fill">
          <a:extLst>
            <a:ext uri="{FF2B5EF4-FFF2-40B4-BE49-F238E27FC236}">
              <a16:creationId xmlns:a16="http://schemas.microsoft.com/office/drawing/2014/main" id="{A0BCDF0B-DFA3-6099-5A2A-ACF5DD5E30C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04160" y="281940"/>
          <a:ext cx="662940" cy="662940"/>
        </a:xfrm>
        <a:prstGeom prst="rect">
          <a:avLst/>
        </a:prstGeom>
      </xdr:spPr>
    </xdr:pic>
    <xdr:clientData/>
  </xdr:twoCellAnchor>
  <xdr:twoCellAnchor>
    <xdr:from>
      <xdr:col>0</xdr:col>
      <xdr:colOff>11704320</xdr:colOff>
      <xdr:row>0</xdr:row>
      <xdr:rowOff>68580</xdr:rowOff>
    </xdr:from>
    <xdr:to>
      <xdr:col>0</xdr:col>
      <xdr:colOff>13807440</xdr:colOff>
      <xdr:row>0</xdr:row>
      <xdr:rowOff>967740</xdr:rowOff>
    </xdr:to>
    <xdr:sp macro="" textlink="">
      <xdr:nvSpPr>
        <xdr:cNvPr id="11" name="Rectangle: Rounded Corners 10">
          <a:extLst>
            <a:ext uri="{FF2B5EF4-FFF2-40B4-BE49-F238E27FC236}">
              <a16:creationId xmlns:a16="http://schemas.microsoft.com/office/drawing/2014/main" id="{B594ABE6-F1D5-63AC-BD8F-F244E750B409}"/>
            </a:ext>
          </a:extLst>
        </xdr:cNvPr>
        <xdr:cNvSpPr/>
      </xdr:nvSpPr>
      <xdr:spPr>
        <a:xfrm>
          <a:off x="11704320" y="68580"/>
          <a:ext cx="2103120" cy="899160"/>
        </a:xfrm>
        <a:prstGeom prst="roundRect">
          <a:avLst/>
        </a:prstGeom>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 SALES </a:t>
          </a:r>
        </a:p>
        <a:p>
          <a:pPr algn="ctr"/>
          <a:r>
            <a:rPr lang="en-IN" sz="1800" b="1" i="0" u="none" strike="noStrike">
              <a:solidFill>
                <a:schemeClr val="lt1"/>
              </a:solidFill>
              <a:effectLst/>
              <a:latin typeface="+mn-lt"/>
              <a:ea typeface="+mn-ea"/>
              <a:cs typeface="+mn-cs"/>
            </a:rPr>
            <a:t>₹ 15,84,826.00</a:t>
          </a:r>
          <a:r>
            <a:rPr lang="en-IN" sz="1800" b="1">
              <a:effectLst/>
            </a:rPr>
            <a:t> </a:t>
          </a:r>
          <a:endParaRPr lang="en-IN" sz="1800" b="1"/>
        </a:p>
      </xdr:txBody>
    </xdr:sp>
    <xdr:clientData/>
  </xdr:twoCellAnchor>
  <xdr:twoCellAnchor>
    <xdr:from>
      <xdr:col>0</xdr:col>
      <xdr:colOff>5844540</xdr:colOff>
      <xdr:row>5</xdr:row>
      <xdr:rowOff>45720</xdr:rowOff>
    </xdr:from>
    <xdr:to>
      <xdr:col>0</xdr:col>
      <xdr:colOff>8122920</xdr:colOff>
      <xdr:row>9</xdr:row>
      <xdr:rowOff>129540</xdr:rowOff>
    </xdr:to>
    <xdr:sp macro="" textlink="">
      <xdr:nvSpPr>
        <xdr:cNvPr id="9" name="Rectangle: Rounded Corners 8">
          <a:extLst>
            <a:ext uri="{FF2B5EF4-FFF2-40B4-BE49-F238E27FC236}">
              <a16:creationId xmlns:a16="http://schemas.microsoft.com/office/drawing/2014/main" id="{D827570F-B01F-701C-2864-B158514E63FF}"/>
            </a:ext>
          </a:extLst>
        </xdr:cNvPr>
        <xdr:cNvSpPr/>
      </xdr:nvSpPr>
      <xdr:spPr>
        <a:xfrm>
          <a:off x="5844540" y="1790700"/>
          <a:ext cx="227838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NET SALES</a:t>
          </a:r>
        </a:p>
        <a:p>
          <a:pPr algn="ctr"/>
          <a:r>
            <a:rPr lang="en-IN" sz="2000" b="1" i="0" u="none" strike="noStrike">
              <a:solidFill>
                <a:schemeClr val="lt1"/>
              </a:solidFill>
              <a:effectLst/>
              <a:latin typeface="+mn-lt"/>
              <a:ea typeface="+mn-ea"/>
              <a:cs typeface="+mn-cs"/>
            </a:rPr>
            <a:t>₹ 14,84,668.96</a:t>
          </a:r>
          <a:r>
            <a:rPr lang="en-IN" sz="2000" b="1">
              <a:effectLst/>
            </a:rPr>
            <a:t> </a:t>
          </a:r>
          <a:endParaRPr lang="en-IN" sz="2000" b="1"/>
        </a:p>
      </xdr:txBody>
    </xdr:sp>
    <xdr:clientData/>
  </xdr:twoCellAnchor>
  <xdr:twoCellAnchor>
    <xdr:from>
      <xdr:col>0</xdr:col>
      <xdr:colOff>5829300</xdr:colOff>
      <xdr:row>1</xdr:row>
      <xdr:rowOff>22860</xdr:rowOff>
    </xdr:from>
    <xdr:to>
      <xdr:col>0</xdr:col>
      <xdr:colOff>8138160</xdr:colOff>
      <xdr:row>5</xdr:row>
      <xdr:rowOff>15240</xdr:rowOff>
    </xdr:to>
    <xdr:sp macro="" textlink="">
      <xdr:nvSpPr>
        <xdr:cNvPr id="12" name="Rectangle: Rounded Corners 11">
          <a:extLst>
            <a:ext uri="{FF2B5EF4-FFF2-40B4-BE49-F238E27FC236}">
              <a16:creationId xmlns:a16="http://schemas.microsoft.com/office/drawing/2014/main" id="{4DCCFC9A-228F-F8CA-37B1-681584202A46}"/>
            </a:ext>
          </a:extLst>
        </xdr:cNvPr>
        <xdr:cNvSpPr/>
      </xdr:nvSpPr>
      <xdr:spPr>
        <a:xfrm>
          <a:off x="5829300" y="1036320"/>
          <a:ext cx="230886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COMMISSION</a:t>
          </a:r>
        </a:p>
        <a:p>
          <a:pPr algn="ctr"/>
          <a:r>
            <a:rPr lang="en-IN" sz="1800" b="1" i="0" u="none" strike="noStrike">
              <a:solidFill>
                <a:schemeClr val="lt1"/>
              </a:solidFill>
              <a:effectLst/>
              <a:latin typeface="+mn-lt"/>
              <a:ea typeface="+mn-ea"/>
              <a:cs typeface="+mn-cs"/>
            </a:rPr>
            <a:t>₹ 1,00,157.04</a:t>
          </a:r>
          <a:r>
            <a:rPr lang="en-IN" sz="1800" b="1">
              <a:effectLst/>
            </a:rPr>
            <a:t> </a:t>
          </a:r>
          <a:endParaRPr lang="en-IN" sz="1800" b="1"/>
        </a:p>
      </xdr:txBody>
    </xdr:sp>
    <xdr:clientData/>
  </xdr:twoCellAnchor>
  <xdr:twoCellAnchor>
    <xdr:from>
      <xdr:col>0</xdr:col>
      <xdr:colOff>5852160</xdr:colOff>
      <xdr:row>9</xdr:row>
      <xdr:rowOff>175260</xdr:rowOff>
    </xdr:from>
    <xdr:to>
      <xdr:col>0</xdr:col>
      <xdr:colOff>8115300</xdr:colOff>
      <xdr:row>14</xdr:row>
      <xdr:rowOff>0</xdr:rowOff>
    </xdr:to>
    <xdr:sp macro="" textlink="">
      <xdr:nvSpPr>
        <xdr:cNvPr id="13" name="Rectangle: Rounded Corners 12">
          <a:extLst>
            <a:ext uri="{FF2B5EF4-FFF2-40B4-BE49-F238E27FC236}">
              <a16:creationId xmlns:a16="http://schemas.microsoft.com/office/drawing/2014/main" id="{F43E6228-6543-9007-B2C8-B05C8F272697}"/>
            </a:ext>
          </a:extLst>
        </xdr:cNvPr>
        <xdr:cNvSpPr/>
      </xdr:nvSpPr>
      <xdr:spPr>
        <a:xfrm>
          <a:off x="5852160" y="2651760"/>
          <a:ext cx="226314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 QUANTITY</a:t>
          </a:r>
        </a:p>
        <a:p>
          <a:pPr algn="ctr"/>
          <a:r>
            <a:rPr lang="en-IN" sz="1800" b="1" i="0" u="none" strike="noStrike">
              <a:solidFill>
                <a:schemeClr val="lt1"/>
              </a:solidFill>
              <a:effectLst/>
              <a:latin typeface="+mn-lt"/>
              <a:ea typeface="+mn-ea"/>
              <a:cs typeface="+mn-cs"/>
            </a:rPr>
            <a:t>16632</a:t>
          </a:r>
          <a:r>
            <a:rPr lang="en-IN" sz="1800" b="1">
              <a:effectLst/>
            </a:rPr>
            <a:t> </a:t>
          </a:r>
          <a:endParaRPr lang="en-IN" sz="1800" b="1"/>
        </a:p>
      </xdr:txBody>
    </xdr:sp>
    <xdr:clientData/>
  </xdr:twoCellAnchor>
  <xdr:twoCellAnchor editAs="oneCell">
    <xdr:from>
      <xdr:col>0</xdr:col>
      <xdr:colOff>10683240</xdr:colOff>
      <xdr:row>0</xdr:row>
      <xdr:rowOff>106680</xdr:rowOff>
    </xdr:from>
    <xdr:to>
      <xdr:col>0</xdr:col>
      <xdr:colOff>11597640</xdr:colOff>
      <xdr:row>1</xdr:row>
      <xdr:rowOff>7620</xdr:rowOff>
    </xdr:to>
    <xdr:pic>
      <xdr:nvPicPr>
        <xdr:cNvPr id="15" name="Graphic 14" descr="Newspaper with solid fill">
          <a:extLst>
            <a:ext uri="{FF2B5EF4-FFF2-40B4-BE49-F238E27FC236}">
              <a16:creationId xmlns:a16="http://schemas.microsoft.com/office/drawing/2014/main" id="{369E6A2E-6DEC-BFB9-C26D-F5801AB37AE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83240" y="106680"/>
          <a:ext cx="914400" cy="914400"/>
        </a:xfrm>
        <a:prstGeom prst="rect">
          <a:avLst/>
        </a:prstGeom>
      </xdr:spPr>
    </xdr:pic>
    <xdr:clientData/>
  </xdr:twoCellAnchor>
  <xdr:twoCellAnchor>
    <xdr:from>
      <xdr:col>0</xdr:col>
      <xdr:colOff>10637520</xdr:colOff>
      <xdr:row>13</xdr:row>
      <xdr:rowOff>167640</xdr:rowOff>
    </xdr:from>
    <xdr:to>
      <xdr:col>1</xdr:col>
      <xdr:colOff>53340</xdr:colOff>
      <xdr:row>26</xdr:row>
      <xdr:rowOff>144780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3BB3A9E5-7BC4-4FEB-B92B-7094939923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0637520" y="3375660"/>
              <a:ext cx="344424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4191000</xdr:colOff>
      <xdr:row>20</xdr:row>
      <xdr:rowOff>83820</xdr:rowOff>
    </xdr:from>
    <xdr:to>
      <xdr:col>0</xdr:col>
      <xdr:colOff>5440680</xdr:colOff>
      <xdr:row>27</xdr:row>
      <xdr:rowOff>7620</xdr:rowOff>
    </xdr:to>
    <mc:AlternateContent xmlns:mc="http://schemas.openxmlformats.org/markup-compatibility/2006" xmlns:a14="http://schemas.microsoft.com/office/drawing/2010/main">
      <mc:Choice Requires="a14">
        <xdr:graphicFrame macro="">
          <xdr:nvGraphicFramePr>
            <xdr:cNvPr id="19" name="State 2">
              <a:extLst>
                <a:ext uri="{FF2B5EF4-FFF2-40B4-BE49-F238E27FC236}">
                  <a16:creationId xmlns:a16="http://schemas.microsoft.com/office/drawing/2014/main" id="{16E5C28B-2A5B-41E5-A05F-BC911C66AA75}"/>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4191000" y="4572000"/>
              <a:ext cx="124968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7.700834374999" createdVersion="8" refreshedVersion="8" minRefreshableVersion="3" recordCount="1300" xr:uid="{5FB70585-F4A0-4038-BBDE-A527B72FF10E}">
  <cacheSource type="worksheet">
    <worksheetSource name="Sales_ETL"/>
  </cacheSource>
  <cacheFields count="10">
    <cacheField name="Order ID" numFmtId="0">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sales" numFmtId="0">
      <sharedItems containsSemiMixedTypes="0" containsString="0" containsNumber="1" containsInteger="1" minValue="32" maxValue="5290" count="87">
        <n v="480"/>
        <n v="560"/>
        <n v="5060"/>
        <n v="1840"/>
        <n v="2760"/>
        <n v="1520"/>
        <n v="272"/>
        <n v="1050"/>
        <n v="3000"/>
        <n v="336"/>
        <n v="1610"/>
        <n v="720"/>
        <n v="640"/>
        <n v="3450"/>
        <n v="352"/>
        <n v="920"/>
        <n v="1600"/>
        <n v="880"/>
        <n v="360"/>
        <n v="1280"/>
        <n v="800"/>
        <n v="192"/>
        <n v="900"/>
        <n v="176"/>
        <n v="1760"/>
        <n v="112"/>
        <n v="520"/>
        <n v="224"/>
        <n v="2400"/>
        <n v="1360"/>
        <n v="4370"/>
        <n v="160"/>
        <n v="5290"/>
        <n v="690"/>
        <n v="1950"/>
        <n v="368"/>
        <n v="4600"/>
        <n v="2250"/>
        <n v="1380"/>
        <n v="600"/>
        <n v="1680"/>
        <n v="3300"/>
        <n v="1120"/>
        <n v="750"/>
        <n v="2700"/>
        <n v="1650"/>
        <n v="1350"/>
        <n v="1440"/>
        <n v="128"/>
        <n v="440"/>
        <n v="64"/>
        <n v="2300"/>
        <n v="760"/>
        <n v="288"/>
        <n v="840"/>
        <n v="2550"/>
        <n v="460"/>
        <n v="120"/>
        <n v="4830"/>
        <n v="3910"/>
        <n v="320"/>
        <n v="1150"/>
        <n v="256"/>
        <n v="300"/>
        <n v="80"/>
        <n v="400"/>
        <n v="304"/>
        <n v="96"/>
        <n v="2070"/>
        <n v="280"/>
        <n v="200"/>
        <n v="240"/>
        <n v="144"/>
        <n v="1040"/>
        <n v="1200"/>
        <n v="450"/>
        <n v="2530"/>
        <n v="1500"/>
        <n v="48"/>
        <n v="2990"/>
        <n v="3220"/>
        <n v="3680"/>
        <n v="4140"/>
        <n v="680"/>
        <n v="208"/>
        <n v="960"/>
        <n v="32"/>
      </sharedItems>
    </cacheField>
    <cacheField name="Commission" numFmtId="0">
      <sharedItems containsSemiMixedTypes="0" containsString="0" containsNumber="1" minValue="0.01" maxValue="0.12"/>
    </cacheField>
    <cacheField name="State" numFmtId="0">
      <sharedItems count="34">
        <s v="Meghalaya"/>
        <s v="Uttar Pradesh"/>
        <s v="Maharashtra"/>
        <s v="Delhi"/>
        <s v="West Bengal"/>
        <s v="Bihar"/>
        <s v="Goa"/>
        <s v="Karnataka"/>
        <s v="Gujarat"/>
        <s v="Jharkhand"/>
        <s v="Haryana"/>
        <s v="Kerala"/>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haredItems>
    </cacheField>
    <cacheField name="Total commission " numFmtId="0">
      <sharedItems containsSemiMixedTypes="0" containsString="0" containsNumber="1" minValue="0.96" maxValue="556.6"/>
    </cacheField>
  </cacheFields>
  <calculatedItems count="22">
    <calculatedItem>
      <pivotArea cacheIndex="1" outline="0" fieldPosition="0">
        <references count="1">
          <reference field="8" count="1">
            <x v="12"/>
          </reference>
        </references>
      </pivotArea>
    </calculatedItem>
    <calculatedItem>
      <pivotArea cacheIndex="1" outline="0" fieldPosition="0">
        <references count="1">
          <reference field="8" count="1">
            <x v="13"/>
          </reference>
        </references>
      </pivotArea>
    </calculatedItem>
    <calculatedItem>
      <pivotArea cacheIndex="1" outline="0" fieldPosition="0">
        <references count="1">
          <reference field="8" count="1">
            <x v="14"/>
          </reference>
        </references>
      </pivotArea>
    </calculatedItem>
    <calculatedItem>
      <pivotArea cacheIndex="1" outline="0" fieldPosition="0">
        <references count="1">
          <reference field="8" count="1">
            <x v="15"/>
          </reference>
        </references>
      </pivotArea>
    </calculatedItem>
    <calculatedItem>
      <pivotArea cacheIndex="1" outline="0" fieldPosition="0">
        <references count="1">
          <reference field="8" count="1">
            <x v="16"/>
          </reference>
        </references>
      </pivotArea>
    </calculatedItem>
    <calculatedItem>
      <pivotArea cacheIndex="1" outline="0" fieldPosition="0">
        <references count="1">
          <reference field="8" count="1">
            <x v="17"/>
          </reference>
        </references>
      </pivotArea>
    </calculatedItem>
    <calculatedItem>
      <pivotArea cacheIndex="1" outline="0" fieldPosition="0">
        <references count="1">
          <reference field="8" count="1">
            <x v="18"/>
          </reference>
        </references>
      </pivotArea>
    </calculatedItem>
    <calculatedItem>
      <pivotArea cacheIndex="1" outline="0" fieldPosition="0">
        <references count="1">
          <reference field="8" count="1">
            <x v="19"/>
          </reference>
        </references>
      </pivotArea>
    </calculatedItem>
    <calculatedItem>
      <pivotArea cacheIndex="1" outline="0" fieldPosition="0">
        <references count="1">
          <reference field="8" count="1">
            <x v="20"/>
          </reference>
        </references>
      </pivotArea>
    </calculatedItem>
    <calculatedItem>
      <pivotArea cacheIndex="1" outline="0" fieldPosition="0">
        <references count="1">
          <reference field="8" count="1">
            <x v="21"/>
          </reference>
        </references>
      </pivotArea>
    </calculatedItem>
    <calculatedItem>
      <pivotArea cacheIndex="1" outline="0" fieldPosition="0">
        <references count="1">
          <reference field="8" count="1">
            <x v="22"/>
          </reference>
        </references>
      </pivotArea>
    </calculatedItem>
    <calculatedItem>
      <pivotArea cacheIndex="1" outline="0" fieldPosition="0">
        <references count="1">
          <reference field="8" count="1">
            <x v="23"/>
          </reference>
        </references>
      </pivotArea>
    </calculatedItem>
    <calculatedItem>
      <pivotArea cacheIndex="1" outline="0" fieldPosition="0">
        <references count="1">
          <reference field="8" count="1">
            <x v="24"/>
          </reference>
        </references>
      </pivotArea>
    </calculatedItem>
    <calculatedItem>
      <pivotArea cacheIndex="1" outline="0" fieldPosition="0">
        <references count="1">
          <reference field="8" count="1">
            <x v="25"/>
          </reference>
        </references>
      </pivotArea>
    </calculatedItem>
    <calculatedItem>
      <pivotArea cacheIndex="1" outline="0" fieldPosition="0">
        <references count="1">
          <reference field="8" count="1">
            <x v="26"/>
          </reference>
        </references>
      </pivotArea>
    </calculatedItem>
    <calculatedItem>
      <pivotArea cacheIndex="1" outline="0" fieldPosition="0">
        <references count="1">
          <reference field="8" count="1">
            <x v="27"/>
          </reference>
        </references>
      </pivotArea>
    </calculatedItem>
    <calculatedItem>
      <pivotArea cacheIndex="1" outline="0" fieldPosition="0">
        <references count="1">
          <reference field="8" count="1">
            <x v="28"/>
          </reference>
        </references>
      </pivotArea>
    </calculatedItem>
    <calculatedItem>
      <pivotArea cacheIndex="1" outline="0" fieldPosition="0">
        <references count="1">
          <reference field="8" count="1">
            <x v="29"/>
          </reference>
        </references>
      </pivotArea>
    </calculatedItem>
    <calculatedItem>
      <pivotArea cacheIndex="1" outline="0" fieldPosition="0">
        <references count="1">
          <reference field="8" count="1">
            <x v="30"/>
          </reference>
        </references>
      </pivotArea>
    </calculatedItem>
    <calculatedItem>
      <pivotArea cacheIndex="1" outline="0" fieldPosition="0">
        <references count="1">
          <reference field="8" count="1">
            <x v="31"/>
          </reference>
        </references>
      </pivotArea>
    </calculatedItem>
    <calculatedItem>
      <pivotArea cacheIndex="1" outline="0" fieldPosition="0">
        <references count="1">
          <reference field="8" count="1">
            <x v="32"/>
          </reference>
        </references>
      </pivotArea>
    </calculatedItem>
    <calculatedItem>
      <pivotArea cacheIndex="1" outline="0" fieldPosition="0">
        <references count="1">
          <reference field="8" count="1">
            <x v="33"/>
          </reference>
        </references>
      </pivotArea>
    </calculatedItem>
  </calculatedItems>
  <extLst>
    <ext xmlns:x14="http://schemas.microsoft.com/office/spreadsheetml/2009/9/main" uri="{725AE2AE-9491-48be-B2B4-4EB974FC3084}">
      <x14:pivotCacheDefinition pivotCacheId="16651860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7.700848379631" createdVersion="8" refreshedVersion="8" minRefreshableVersion="3" recordCount="1000" xr:uid="{27658033-2EC5-477C-ABC2-6B9E4EA5B994}">
  <cacheSource type="worksheet">
    <worksheetSource name="ETL_EMP"/>
  </cacheSource>
  <cacheFields count="15">
    <cacheField name="Employee ID"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Sales"/>
        <s v="Finance"/>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Total salary" numFmtId="0">
      <sharedItems containsSemiMixedTypes="0" containsString="0" containsNumber="1" containsInteger="1" minValue="40063" maxValue="361796"/>
    </cacheField>
    <cacheField name="Bonus %" numFmtId="0">
      <sharedItems containsSemiMixedTypes="0" containsString="0" containsNumber="1" minValue="0" maxValue="0.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Left status"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814399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s v="Ord-ID-1"/>
    <x v="0"/>
    <x v="0"/>
    <x v="0"/>
    <n v="6"/>
    <n v="80"/>
    <x v="0"/>
    <n v="0.01"/>
    <x v="0"/>
    <n v="4.8"/>
  </r>
  <r>
    <s v="Ord-ID-2"/>
    <x v="0"/>
    <x v="1"/>
    <x v="1"/>
    <n v="14"/>
    <n v="40"/>
    <x v="1"/>
    <n v="0.06"/>
    <x v="1"/>
    <n v="33.6"/>
  </r>
  <r>
    <s v="Ord-ID-3"/>
    <x v="0"/>
    <x v="2"/>
    <x v="1"/>
    <n v="22"/>
    <n v="230"/>
    <x v="2"/>
    <n v="0.11"/>
    <x v="2"/>
    <n v="556.6"/>
  </r>
  <r>
    <s v="Ord-ID-4"/>
    <x v="0"/>
    <x v="2"/>
    <x v="0"/>
    <n v="8"/>
    <n v="230"/>
    <x v="3"/>
    <n v="0.03"/>
    <x v="3"/>
    <n v="55.199999999999996"/>
  </r>
  <r>
    <s v="Ord-ID-5"/>
    <x v="0"/>
    <x v="2"/>
    <x v="2"/>
    <n v="12"/>
    <n v="230"/>
    <x v="4"/>
    <n v="0.03"/>
    <x v="4"/>
    <n v="82.8"/>
  </r>
  <r>
    <s v="Ord-ID-6"/>
    <x v="0"/>
    <x v="0"/>
    <x v="3"/>
    <n v="19"/>
    <n v="80"/>
    <x v="5"/>
    <n v="0.02"/>
    <x v="5"/>
    <n v="30.400000000000002"/>
  </r>
  <r>
    <s v="Ord-ID-7"/>
    <x v="0"/>
    <x v="3"/>
    <x v="4"/>
    <n v="17"/>
    <n v="16"/>
    <x v="6"/>
    <n v="0.08"/>
    <x v="6"/>
    <n v="21.76"/>
  </r>
  <r>
    <s v="Ord-ID-8"/>
    <x v="0"/>
    <x v="4"/>
    <x v="3"/>
    <n v="7"/>
    <n v="150"/>
    <x v="7"/>
    <n v="0.05"/>
    <x v="7"/>
    <n v="52.5"/>
  </r>
  <r>
    <s v="Ord-ID-9"/>
    <x v="0"/>
    <x v="4"/>
    <x v="3"/>
    <n v="20"/>
    <n v="150"/>
    <x v="8"/>
    <n v="0.1"/>
    <x v="8"/>
    <n v="300"/>
  </r>
  <r>
    <s v="Ord-ID-10"/>
    <x v="0"/>
    <x v="3"/>
    <x v="0"/>
    <n v="21"/>
    <n v="16"/>
    <x v="9"/>
    <n v="0.09"/>
    <x v="9"/>
    <n v="30.24"/>
  </r>
  <r>
    <s v="Ord-ID-11"/>
    <x v="0"/>
    <x v="2"/>
    <x v="1"/>
    <n v="7"/>
    <n v="230"/>
    <x v="10"/>
    <n v="0.01"/>
    <x v="10"/>
    <n v="16.100000000000001"/>
  </r>
  <r>
    <s v="Ord-ID-12"/>
    <x v="1"/>
    <x v="0"/>
    <x v="3"/>
    <n v="7"/>
    <n v="80"/>
    <x v="1"/>
    <n v="7.0000000000000007E-2"/>
    <x v="11"/>
    <n v="39.200000000000003"/>
  </r>
  <r>
    <s v="Ord-ID-13"/>
    <x v="1"/>
    <x v="0"/>
    <x v="4"/>
    <n v="9"/>
    <n v="80"/>
    <x v="11"/>
    <n v="0.02"/>
    <x v="0"/>
    <n v="14.4"/>
  </r>
  <r>
    <s v="Ord-ID-14"/>
    <x v="1"/>
    <x v="1"/>
    <x v="4"/>
    <n v="16"/>
    <n v="40"/>
    <x v="12"/>
    <n v="0.09"/>
    <x v="1"/>
    <n v="57.599999999999994"/>
  </r>
  <r>
    <s v="Ord-ID-15"/>
    <x v="1"/>
    <x v="4"/>
    <x v="1"/>
    <n v="23"/>
    <n v="150"/>
    <x v="13"/>
    <n v="0.11"/>
    <x v="2"/>
    <n v="379.5"/>
  </r>
  <r>
    <s v="Ord-ID-16"/>
    <x v="1"/>
    <x v="3"/>
    <x v="3"/>
    <n v="22"/>
    <n v="16"/>
    <x v="14"/>
    <n v="0.03"/>
    <x v="3"/>
    <n v="10.559999999999999"/>
  </r>
  <r>
    <s v="Ord-ID-17"/>
    <x v="1"/>
    <x v="1"/>
    <x v="3"/>
    <n v="23"/>
    <n v="40"/>
    <x v="15"/>
    <n v="0.06"/>
    <x v="4"/>
    <n v="55.199999999999996"/>
  </r>
  <r>
    <s v="Ord-ID-18"/>
    <x v="1"/>
    <x v="0"/>
    <x v="0"/>
    <n v="20"/>
    <n v="80"/>
    <x v="16"/>
    <n v="0.01"/>
    <x v="5"/>
    <n v="16"/>
  </r>
  <r>
    <s v="Ord-ID-19"/>
    <x v="2"/>
    <x v="0"/>
    <x v="3"/>
    <n v="11"/>
    <n v="80"/>
    <x v="17"/>
    <n v="0.01"/>
    <x v="6"/>
    <n v="8.8000000000000007"/>
  </r>
  <r>
    <s v="Ord-ID-20"/>
    <x v="2"/>
    <x v="1"/>
    <x v="3"/>
    <n v="9"/>
    <n v="40"/>
    <x v="18"/>
    <n v="0.06"/>
    <x v="7"/>
    <n v="21.599999999999998"/>
  </r>
  <r>
    <s v="Ord-ID-21"/>
    <x v="2"/>
    <x v="0"/>
    <x v="4"/>
    <n v="16"/>
    <n v="80"/>
    <x v="19"/>
    <n v="0.09"/>
    <x v="8"/>
    <n v="115.19999999999999"/>
  </r>
  <r>
    <s v="Ord-ID-22"/>
    <x v="2"/>
    <x v="0"/>
    <x v="2"/>
    <n v="10"/>
    <n v="80"/>
    <x v="20"/>
    <n v="0.08"/>
    <x v="9"/>
    <n v="64"/>
  </r>
  <r>
    <s v="Ord-ID-23"/>
    <x v="2"/>
    <x v="3"/>
    <x v="2"/>
    <n v="12"/>
    <n v="16"/>
    <x v="21"/>
    <n v="0.11"/>
    <x v="10"/>
    <n v="21.12"/>
  </r>
  <r>
    <s v="Ord-ID-24"/>
    <x v="2"/>
    <x v="4"/>
    <x v="3"/>
    <n v="6"/>
    <n v="150"/>
    <x v="22"/>
    <n v="0.03"/>
    <x v="11"/>
    <n v="27"/>
  </r>
  <r>
    <s v="Ord-ID-25"/>
    <x v="2"/>
    <x v="3"/>
    <x v="2"/>
    <n v="11"/>
    <n v="16"/>
    <x v="23"/>
    <n v="0.04"/>
    <x v="0"/>
    <n v="7.04"/>
  </r>
  <r>
    <s v="Ord-ID-26"/>
    <x v="2"/>
    <x v="0"/>
    <x v="3"/>
    <n v="22"/>
    <n v="80"/>
    <x v="24"/>
    <n v="0.03"/>
    <x v="1"/>
    <n v="52.8"/>
  </r>
  <r>
    <s v="Ord-ID-27"/>
    <x v="2"/>
    <x v="3"/>
    <x v="1"/>
    <n v="7"/>
    <n v="16"/>
    <x v="25"/>
    <n v="0.08"/>
    <x v="2"/>
    <n v="8.9600000000000009"/>
  </r>
  <r>
    <s v="Ord-ID-28"/>
    <x v="2"/>
    <x v="1"/>
    <x v="3"/>
    <n v="13"/>
    <n v="40"/>
    <x v="26"/>
    <n v="0.09"/>
    <x v="3"/>
    <n v="46.8"/>
  </r>
  <r>
    <s v="Ord-ID-29"/>
    <x v="2"/>
    <x v="2"/>
    <x v="3"/>
    <n v="8"/>
    <n v="230"/>
    <x v="3"/>
    <n v="0.05"/>
    <x v="4"/>
    <n v="92"/>
  </r>
  <r>
    <s v="Ord-ID-30"/>
    <x v="2"/>
    <x v="3"/>
    <x v="3"/>
    <n v="14"/>
    <n v="16"/>
    <x v="27"/>
    <n v="0.12"/>
    <x v="5"/>
    <n v="26.88"/>
  </r>
  <r>
    <s v="Ord-ID-31"/>
    <x v="2"/>
    <x v="1"/>
    <x v="4"/>
    <n v="16"/>
    <n v="40"/>
    <x v="12"/>
    <n v="0.09"/>
    <x v="6"/>
    <n v="57.599999999999994"/>
  </r>
  <r>
    <s v="Ord-ID-32"/>
    <x v="3"/>
    <x v="4"/>
    <x v="1"/>
    <n v="16"/>
    <n v="150"/>
    <x v="28"/>
    <n v="0.05"/>
    <x v="7"/>
    <n v="120"/>
  </r>
  <r>
    <s v="Ord-ID-33"/>
    <x v="3"/>
    <x v="1"/>
    <x v="1"/>
    <n v="12"/>
    <n v="40"/>
    <x v="0"/>
    <n v="0.1"/>
    <x v="8"/>
    <n v="48"/>
  </r>
  <r>
    <s v="Ord-ID-34"/>
    <x v="3"/>
    <x v="0"/>
    <x v="4"/>
    <n v="17"/>
    <n v="80"/>
    <x v="29"/>
    <n v="7.0000000000000007E-2"/>
    <x v="9"/>
    <n v="95.2"/>
  </r>
  <r>
    <s v="Ord-ID-35"/>
    <x v="3"/>
    <x v="2"/>
    <x v="3"/>
    <n v="19"/>
    <n v="230"/>
    <x v="30"/>
    <n v="0.06"/>
    <x v="10"/>
    <n v="262.2"/>
  </r>
  <r>
    <s v="Ord-ID-36"/>
    <x v="3"/>
    <x v="2"/>
    <x v="4"/>
    <n v="22"/>
    <n v="230"/>
    <x v="2"/>
    <n v="0.1"/>
    <x v="11"/>
    <n v="506"/>
  </r>
  <r>
    <s v="Ord-ID-37"/>
    <x v="3"/>
    <x v="1"/>
    <x v="3"/>
    <n v="22"/>
    <n v="40"/>
    <x v="17"/>
    <n v="0.01"/>
    <x v="0"/>
    <n v="8.8000000000000007"/>
  </r>
  <r>
    <s v="Ord-ID-38"/>
    <x v="3"/>
    <x v="3"/>
    <x v="3"/>
    <n v="10"/>
    <n v="16"/>
    <x v="31"/>
    <n v="0.04"/>
    <x v="1"/>
    <n v="6.4"/>
  </r>
  <r>
    <s v="Ord-ID-39"/>
    <x v="3"/>
    <x v="1"/>
    <x v="1"/>
    <n v="4"/>
    <n v="40"/>
    <x v="31"/>
    <n v="0.12"/>
    <x v="2"/>
    <n v="19.2"/>
  </r>
  <r>
    <s v="Ord-ID-40"/>
    <x v="3"/>
    <x v="1"/>
    <x v="4"/>
    <n v="20"/>
    <n v="40"/>
    <x v="20"/>
    <n v="0.05"/>
    <x v="3"/>
    <n v="40"/>
  </r>
  <r>
    <s v="Ord-ID-41"/>
    <x v="4"/>
    <x v="2"/>
    <x v="3"/>
    <n v="23"/>
    <n v="230"/>
    <x v="32"/>
    <n v="0.06"/>
    <x v="4"/>
    <n v="317.39999999999998"/>
  </r>
  <r>
    <s v="Ord-ID-42"/>
    <x v="4"/>
    <x v="1"/>
    <x v="2"/>
    <n v="20"/>
    <n v="40"/>
    <x v="20"/>
    <n v="0.01"/>
    <x v="5"/>
    <n v="8"/>
  </r>
  <r>
    <s v="Ord-ID-43"/>
    <x v="4"/>
    <x v="4"/>
    <x v="2"/>
    <n v="20"/>
    <n v="150"/>
    <x v="8"/>
    <n v="0.04"/>
    <x v="6"/>
    <n v="120"/>
  </r>
  <r>
    <s v="Ord-ID-44"/>
    <x v="4"/>
    <x v="0"/>
    <x v="1"/>
    <n v="9"/>
    <n v="80"/>
    <x v="11"/>
    <n v="0.03"/>
    <x v="7"/>
    <n v="21.599999999999998"/>
  </r>
  <r>
    <s v="Ord-ID-45"/>
    <x v="4"/>
    <x v="2"/>
    <x v="0"/>
    <n v="7"/>
    <n v="230"/>
    <x v="10"/>
    <n v="0.02"/>
    <x v="8"/>
    <n v="32.200000000000003"/>
  </r>
  <r>
    <s v="Ord-ID-46"/>
    <x v="4"/>
    <x v="2"/>
    <x v="0"/>
    <n v="3"/>
    <n v="230"/>
    <x v="33"/>
    <n v="0.06"/>
    <x v="9"/>
    <n v="41.4"/>
  </r>
  <r>
    <s v="Ord-ID-47"/>
    <x v="4"/>
    <x v="4"/>
    <x v="0"/>
    <n v="13"/>
    <n v="150"/>
    <x v="34"/>
    <n v="0.05"/>
    <x v="10"/>
    <n v="97.5"/>
  </r>
  <r>
    <s v="Ord-ID-48"/>
    <x v="4"/>
    <x v="0"/>
    <x v="0"/>
    <n v="17"/>
    <n v="80"/>
    <x v="29"/>
    <n v="0.09"/>
    <x v="11"/>
    <n v="122.39999999999999"/>
  </r>
  <r>
    <s v="Ord-ID-49"/>
    <x v="5"/>
    <x v="1"/>
    <x v="3"/>
    <n v="18"/>
    <n v="40"/>
    <x v="11"/>
    <n v="0.06"/>
    <x v="0"/>
    <n v="43.199999999999996"/>
  </r>
  <r>
    <s v="Ord-ID-50"/>
    <x v="5"/>
    <x v="3"/>
    <x v="2"/>
    <n v="23"/>
    <n v="16"/>
    <x v="35"/>
    <n v="0.11"/>
    <x v="1"/>
    <n v="40.479999999999997"/>
  </r>
  <r>
    <s v="Ord-ID-51"/>
    <x v="5"/>
    <x v="2"/>
    <x v="2"/>
    <n v="20"/>
    <n v="230"/>
    <x v="36"/>
    <n v="0.06"/>
    <x v="2"/>
    <n v="276"/>
  </r>
  <r>
    <s v="Ord-ID-52"/>
    <x v="5"/>
    <x v="3"/>
    <x v="0"/>
    <n v="11"/>
    <n v="16"/>
    <x v="23"/>
    <n v="0.09"/>
    <x v="3"/>
    <n v="15.84"/>
  </r>
  <r>
    <s v="Ord-ID-53"/>
    <x v="5"/>
    <x v="4"/>
    <x v="4"/>
    <n v="15"/>
    <n v="150"/>
    <x v="37"/>
    <n v="7.0000000000000007E-2"/>
    <x v="4"/>
    <n v="157.50000000000003"/>
  </r>
  <r>
    <s v="Ord-ID-54"/>
    <x v="5"/>
    <x v="2"/>
    <x v="1"/>
    <n v="6"/>
    <n v="230"/>
    <x v="38"/>
    <n v="0.1"/>
    <x v="5"/>
    <n v="138"/>
  </r>
  <r>
    <s v="Ord-ID-55"/>
    <x v="5"/>
    <x v="1"/>
    <x v="0"/>
    <n v="22"/>
    <n v="40"/>
    <x v="17"/>
    <n v="0.02"/>
    <x v="6"/>
    <n v="17.600000000000001"/>
  </r>
  <r>
    <s v="Ord-ID-56"/>
    <x v="5"/>
    <x v="1"/>
    <x v="0"/>
    <n v="15"/>
    <n v="40"/>
    <x v="39"/>
    <n v="0.06"/>
    <x v="7"/>
    <n v="36"/>
  </r>
  <r>
    <s v="Ord-ID-57"/>
    <x v="5"/>
    <x v="3"/>
    <x v="2"/>
    <n v="12"/>
    <n v="16"/>
    <x v="21"/>
    <n v="0.03"/>
    <x v="8"/>
    <n v="5.76"/>
  </r>
  <r>
    <s v="Ord-ID-58"/>
    <x v="5"/>
    <x v="3"/>
    <x v="4"/>
    <n v="22"/>
    <n v="16"/>
    <x v="14"/>
    <n v="0.12"/>
    <x v="9"/>
    <n v="42.239999999999995"/>
  </r>
  <r>
    <s v="Ord-ID-59"/>
    <x v="5"/>
    <x v="0"/>
    <x v="0"/>
    <n v="21"/>
    <n v="80"/>
    <x v="40"/>
    <n v="0.04"/>
    <x v="10"/>
    <n v="67.2"/>
  </r>
  <r>
    <s v="Ord-ID-60"/>
    <x v="5"/>
    <x v="4"/>
    <x v="0"/>
    <n v="22"/>
    <n v="150"/>
    <x v="41"/>
    <n v="0.05"/>
    <x v="11"/>
    <n v="165"/>
  </r>
  <r>
    <s v="Ord-ID-61"/>
    <x v="5"/>
    <x v="0"/>
    <x v="4"/>
    <n v="21"/>
    <n v="80"/>
    <x v="40"/>
    <n v="0.09"/>
    <x v="0"/>
    <n v="151.19999999999999"/>
  </r>
  <r>
    <s v="Ord-ID-62"/>
    <x v="5"/>
    <x v="0"/>
    <x v="3"/>
    <n v="10"/>
    <n v="80"/>
    <x v="20"/>
    <n v="0.1"/>
    <x v="1"/>
    <n v="80"/>
  </r>
  <r>
    <s v="Ord-ID-63"/>
    <x v="5"/>
    <x v="2"/>
    <x v="1"/>
    <n v="15"/>
    <n v="230"/>
    <x v="13"/>
    <n v="0.09"/>
    <x v="2"/>
    <n v="310.5"/>
  </r>
  <r>
    <s v="Ord-ID-64"/>
    <x v="6"/>
    <x v="0"/>
    <x v="0"/>
    <n v="14"/>
    <n v="80"/>
    <x v="42"/>
    <n v="0.08"/>
    <x v="3"/>
    <n v="89.600000000000009"/>
  </r>
  <r>
    <s v="Ord-ID-65"/>
    <x v="6"/>
    <x v="0"/>
    <x v="4"/>
    <n v="10"/>
    <n v="80"/>
    <x v="20"/>
    <n v="0.06"/>
    <x v="4"/>
    <n v="48"/>
  </r>
  <r>
    <s v="Ord-ID-66"/>
    <x v="6"/>
    <x v="4"/>
    <x v="0"/>
    <n v="5"/>
    <n v="150"/>
    <x v="43"/>
    <n v="0.11"/>
    <x v="5"/>
    <n v="82.5"/>
  </r>
  <r>
    <s v="Ord-ID-67"/>
    <x v="6"/>
    <x v="2"/>
    <x v="3"/>
    <n v="3"/>
    <n v="230"/>
    <x v="33"/>
    <n v="0.01"/>
    <x v="6"/>
    <n v="6.9"/>
  </r>
  <r>
    <s v="Ord-ID-68"/>
    <x v="6"/>
    <x v="1"/>
    <x v="3"/>
    <n v="4"/>
    <n v="40"/>
    <x v="31"/>
    <n v="0.05"/>
    <x v="7"/>
    <n v="8"/>
  </r>
  <r>
    <s v="Ord-ID-69"/>
    <x v="6"/>
    <x v="4"/>
    <x v="2"/>
    <n v="18"/>
    <n v="150"/>
    <x v="44"/>
    <n v="0.06"/>
    <x v="8"/>
    <n v="162"/>
  </r>
  <r>
    <s v="Ord-ID-70"/>
    <x v="6"/>
    <x v="1"/>
    <x v="4"/>
    <n v="20"/>
    <n v="40"/>
    <x v="20"/>
    <n v="0.1"/>
    <x v="9"/>
    <n v="80"/>
  </r>
  <r>
    <s v="Ord-ID-71"/>
    <x v="6"/>
    <x v="0"/>
    <x v="3"/>
    <n v="16"/>
    <n v="80"/>
    <x v="19"/>
    <n v="0.05"/>
    <x v="0"/>
    <n v="64"/>
  </r>
  <r>
    <s v="Ord-ID-72"/>
    <x v="6"/>
    <x v="1"/>
    <x v="2"/>
    <n v="4"/>
    <n v="40"/>
    <x v="31"/>
    <n v="0.06"/>
    <x v="1"/>
    <n v="9.6"/>
  </r>
  <r>
    <s v="Ord-ID-73"/>
    <x v="6"/>
    <x v="1"/>
    <x v="1"/>
    <n v="4"/>
    <n v="40"/>
    <x v="31"/>
    <n v="0.03"/>
    <x v="2"/>
    <n v="4.8"/>
  </r>
  <r>
    <s v="Ord-ID-74"/>
    <x v="6"/>
    <x v="1"/>
    <x v="1"/>
    <n v="15"/>
    <n v="40"/>
    <x v="39"/>
    <n v="0.02"/>
    <x v="3"/>
    <n v="12"/>
  </r>
  <r>
    <s v="Ord-ID-75"/>
    <x v="6"/>
    <x v="1"/>
    <x v="2"/>
    <n v="20"/>
    <n v="40"/>
    <x v="20"/>
    <n v="0.01"/>
    <x v="4"/>
    <n v="8"/>
  </r>
  <r>
    <s v="Ord-ID-76"/>
    <x v="6"/>
    <x v="3"/>
    <x v="4"/>
    <n v="14"/>
    <n v="16"/>
    <x v="27"/>
    <n v="0.06"/>
    <x v="5"/>
    <n v="13.44"/>
  </r>
  <r>
    <s v="Ord-ID-77"/>
    <x v="7"/>
    <x v="4"/>
    <x v="2"/>
    <n v="11"/>
    <n v="150"/>
    <x v="45"/>
    <n v="0.11"/>
    <x v="6"/>
    <n v="181.5"/>
  </r>
  <r>
    <s v="Ord-ID-78"/>
    <x v="7"/>
    <x v="4"/>
    <x v="2"/>
    <n v="9"/>
    <n v="150"/>
    <x v="46"/>
    <n v="0.02"/>
    <x v="7"/>
    <n v="27"/>
  </r>
  <r>
    <s v="Ord-ID-79"/>
    <x v="7"/>
    <x v="3"/>
    <x v="4"/>
    <n v="11"/>
    <n v="16"/>
    <x v="23"/>
    <n v="0.12"/>
    <x v="8"/>
    <n v="21.119999999999997"/>
  </r>
  <r>
    <s v="Ord-ID-80"/>
    <x v="7"/>
    <x v="1"/>
    <x v="2"/>
    <n v="13"/>
    <n v="40"/>
    <x v="26"/>
    <n v="0.02"/>
    <x v="9"/>
    <n v="10.4"/>
  </r>
  <r>
    <s v="Ord-ID-81"/>
    <x v="7"/>
    <x v="1"/>
    <x v="2"/>
    <n v="4"/>
    <n v="40"/>
    <x v="31"/>
    <n v="0.1"/>
    <x v="10"/>
    <n v="16"/>
  </r>
  <r>
    <s v="Ord-ID-82"/>
    <x v="7"/>
    <x v="2"/>
    <x v="0"/>
    <n v="3"/>
    <n v="230"/>
    <x v="33"/>
    <n v="0.11"/>
    <x v="11"/>
    <n v="75.900000000000006"/>
  </r>
  <r>
    <s v="Ord-ID-83"/>
    <x v="7"/>
    <x v="0"/>
    <x v="2"/>
    <n v="6"/>
    <n v="80"/>
    <x v="0"/>
    <n v="0.09"/>
    <x v="0"/>
    <n v="43.199999999999996"/>
  </r>
  <r>
    <s v="Ord-ID-84"/>
    <x v="7"/>
    <x v="4"/>
    <x v="0"/>
    <n v="9"/>
    <n v="150"/>
    <x v="46"/>
    <n v="0.1"/>
    <x v="1"/>
    <n v="135"/>
  </r>
  <r>
    <s v="Ord-ID-85"/>
    <x v="7"/>
    <x v="0"/>
    <x v="1"/>
    <n v="14"/>
    <n v="80"/>
    <x v="42"/>
    <n v="0.11"/>
    <x v="2"/>
    <n v="123.2"/>
  </r>
  <r>
    <s v="Ord-ID-86"/>
    <x v="7"/>
    <x v="0"/>
    <x v="0"/>
    <n v="18"/>
    <n v="80"/>
    <x v="47"/>
    <n v="0.02"/>
    <x v="3"/>
    <n v="28.8"/>
  </r>
  <r>
    <s v="Ord-ID-87"/>
    <x v="7"/>
    <x v="1"/>
    <x v="0"/>
    <n v="20"/>
    <n v="40"/>
    <x v="20"/>
    <n v="0.04"/>
    <x v="4"/>
    <n v="32"/>
  </r>
  <r>
    <s v="Ord-ID-88"/>
    <x v="8"/>
    <x v="3"/>
    <x v="2"/>
    <n v="8"/>
    <n v="16"/>
    <x v="48"/>
    <n v="0.03"/>
    <x v="5"/>
    <n v="3.84"/>
  </r>
  <r>
    <s v="Ord-ID-89"/>
    <x v="8"/>
    <x v="0"/>
    <x v="1"/>
    <n v="14"/>
    <n v="80"/>
    <x v="42"/>
    <n v="0.06"/>
    <x v="6"/>
    <n v="67.2"/>
  </r>
  <r>
    <s v="Ord-ID-90"/>
    <x v="8"/>
    <x v="4"/>
    <x v="0"/>
    <n v="20"/>
    <n v="150"/>
    <x v="8"/>
    <n v="0.01"/>
    <x v="7"/>
    <n v="30"/>
  </r>
  <r>
    <s v="Ord-ID-91"/>
    <x v="8"/>
    <x v="1"/>
    <x v="3"/>
    <n v="15"/>
    <n v="40"/>
    <x v="39"/>
    <n v="0.03"/>
    <x v="8"/>
    <n v="18"/>
  </r>
  <r>
    <s v="Ord-ID-92"/>
    <x v="8"/>
    <x v="1"/>
    <x v="1"/>
    <n v="18"/>
    <n v="40"/>
    <x v="11"/>
    <n v="0.08"/>
    <x v="9"/>
    <n v="57.6"/>
  </r>
  <r>
    <s v="Ord-ID-93"/>
    <x v="8"/>
    <x v="1"/>
    <x v="4"/>
    <n v="11"/>
    <n v="40"/>
    <x v="49"/>
    <n v="0.05"/>
    <x v="10"/>
    <n v="22"/>
  </r>
  <r>
    <s v="Ord-ID-94"/>
    <x v="9"/>
    <x v="1"/>
    <x v="4"/>
    <n v="23"/>
    <n v="40"/>
    <x v="15"/>
    <n v="0.04"/>
    <x v="11"/>
    <n v="36.800000000000004"/>
  </r>
  <r>
    <s v="Ord-ID-95"/>
    <x v="9"/>
    <x v="3"/>
    <x v="4"/>
    <n v="17"/>
    <n v="16"/>
    <x v="6"/>
    <n v="0.1"/>
    <x v="0"/>
    <n v="27.200000000000003"/>
  </r>
  <r>
    <s v="Ord-ID-96"/>
    <x v="9"/>
    <x v="3"/>
    <x v="1"/>
    <n v="4"/>
    <n v="16"/>
    <x v="50"/>
    <n v="7.0000000000000007E-2"/>
    <x v="1"/>
    <n v="4.4800000000000004"/>
  </r>
  <r>
    <s v="Ord-ID-97"/>
    <x v="9"/>
    <x v="0"/>
    <x v="2"/>
    <n v="23"/>
    <n v="80"/>
    <x v="3"/>
    <n v="0.05"/>
    <x v="2"/>
    <n v="92"/>
  </r>
  <r>
    <s v="Ord-ID-98"/>
    <x v="9"/>
    <x v="2"/>
    <x v="2"/>
    <n v="10"/>
    <n v="230"/>
    <x v="51"/>
    <n v="0.02"/>
    <x v="3"/>
    <n v="46"/>
  </r>
  <r>
    <s v="Ord-ID-99"/>
    <x v="9"/>
    <x v="3"/>
    <x v="2"/>
    <n v="14"/>
    <n v="16"/>
    <x v="27"/>
    <n v="0.01"/>
    <x v="4"/>
    <n v="2.2400000000000002"/>
  </r>
  <r>
    <s v="Ord-ID-100"/>
    <x v="9"/>
    <x v="1"/>
    <x v="1"/>
    <n v="19"/>
    <n v="40"/>
    <x v="52"/>
    <n v="0.1"/>
    <x v="5"/>
    <n v="76"/>
  </r>
  <r>
    <s v="Ord-ID-101"/>
    <x v="9"/>
    <x v="0"/>
    <x v="4"/>
    <n v="22"/>
    <n v="80"/>
    <x v="24"/>
    <n v="0.09"/>
    <x v="6"/>
    <n v="158.4"/>
  </r>
  <r>
    <s v="Ord-ID-102"/>
    <x v="9"/>
    <x v="3"/>
    <x v="0"/>
    <n v="18"/>
    <n v="16"/>
    <x v="53"/>
    <n v="0.05"/>
    <x v="7"/>
    <n v="14.4"/>
  </r>
  <r>
    <s v="Ord-ID-103"/>
    <x v="9"/>
    <x v="1"/>
    <x v="0"/>
    <n v="18"/>
    <n v="40"/>
    <x v="11"/>
    <n v="0.11"/>
    <x v="8"/>
    <n v="79.2"/>
  </r>
  <r>
    <s v="Ord-ID-104"/>
    <x v="9"/>
    <x v="1"/>
    <x v="4"/>
    <n v="21"/>
    <n v="40"/>
    <x v="54"/>
    <n v="0.01"/>
    <x v="9"/>
    <n v="8.4"/>
  </r>
  <r>
    <s v="Ord-ID-105"/>
    <x v="9"/>
    <x v="0"/>
    <x v="0"/>
    <n v="6"/>
    <n v="80"/>
    <x v="0"/>
    <n v="7.0000000000000007E-2"/>
    <x v="10"/>
    <n v="33.6"/>
  </r>
  <r>
    <s v="Ord-ID-106"/>
    <x v="9"/>
    <x v="4"/>
    <x v="4"/>
    <n v="17"/>
    <n v="150"/>
    <x v="55"/>
    <n v="0.02"/>
    <x v="11"/>
    <n v="51"/>
  </r>
  <r>
    <s v="Ord-ID-107"/>
    <x v="9"/>
    <x v="0"/>
    <x v="2"/>
    <n v="16"/>
    <n v="80"/>
    <x v="19"/>
    <n v="0.02"/>
    <x v="0"/>
    <n v="25.6"/>
  </r>
  <r>
    <s v="Ord-ID-108"/>
    <x v="9"/>
    <x v="1"/>
    <x v="1"/>
    <n v="15"/>
    <n v="40"/>
    <x v="39"/>
    <n v="0.04"/>
    <x v="1"/>
    <n v="24"/>
  </r>
  <r>
    <s v="Ord-ID-109"/>
    <x v="9"/>
    <x v="2"/>
    <x v="3"/>
    <n v="2"/>
    <n v="230"/>
    <x v="56"/>
    <n v="0.08"/>
    <x v="2"/>
    <n v="36.800000000000004"/>
  </r>
  <r>
    <s v="Ord-ID-110"/>
    <x v="9"/>
    <x v="1"/>
    <x v="4"/>
    <n v="3"/>
    <n v="40"/>
    <x v="57"/>
    <n v="0.03"/>
    <x v="3"/>
    <n v="3.5999999999999996"/>
  </r>
  <r>
    <s v="Ord-ID-111"/>
    <x v="9"/>
    <x v="2"/>
    <x v="4"/>
    <n v="21"/>
    <n v="230"/>
    <x v="58"/>
    <n v="0.05"/>
    <x v="4"/>
    <n v="241.5"/>
  </r>
  <r>
    <s v="Ord-ID-112"/>
    <x v="9"/>
    <x v="4"/>
    <x v="0"/>
    <n v="11"/>
    <n v="150"/>
    <x v="45"/>
    <n v="0.05"/>
    <x v="5"/>
    <n v="82.5"/>
  </r>
  <r>
    <s v="Ord-ID-113"/>
    <x v="10"/>
    <x v="4"/>
    <x v="1"/>
    <n v="15"/>
    <n v="150"/>
    <x v="37"/>
    <n v="0.02"/>
    <x v="6"/>
    <n v="45"/>
  </r>
  <r>
    <s v="Ord-ID-114"/>
    <x v="10"/>
    <x v="0"/>
    <x v="3"/>
    <n v="16"/>
    <n v="80"/>
    <x v="19"/>
    <n v="0.1"/>
    <x v="7"/>
    <n v="128"/>
  </r>
  <r>
    <s v="Ord-ID-115"/>
    <x v="10"/>
    <x v="2"/>
    <x v="4"/>
    <n v="17"/>
    <n v="230"/>
    <x v="59"/>
    <n v="0.11"/>
    <x v="8"/>
    <n v="430.1"/>
  </r>
  <r>
    <s v="Ord-ID-116"/>
    <x v="10"/>
    <x v="1"/>
    <x v="4"/>
    <n v="16"/>
    <n v="40"/>
    <x v="12"/>
    <n v="0.11"/>
    <x v="9"/>
    <n v="70.400000000000006"/>
  </r>
  <r>
    <s v="Ord-ID-117"/>
    <x v="10"/>
    <x v="0"/>
    <x v="3"/>
    <n v="2"/>
    <n v="80"/>
    <x v="31"/>
    <n v="0.08"/>
    <x v="10"/>
    <n v="12.8"/>
  </r>
  <r>
    <s v="Ord-ID-118"/>
    <x v="10"/>
    <x v="4"/>
    <x v="1"/>
    <n v="22"/>
    <n v="150"/>
    <x v="41"/>
    <n v="0.02"/>
    <x v="11"/>
    <n v="66"/>
  </r>
  <r>
    <s v="Ord-ID-119"/>
    <x v="10"/>
    <x v="0"/>
    <x v="0"/>
    <n v="16"/>
    <n v="80"/>
    <x v="19"/>
    <n v="0.03"/>
    <x v="0"/>
    <n v="38.4"/>
  </r>
  <r>
    <s v="Ord-ID-120"/>
    <x v="11"/>
    <x v="3"/>
    <x v="0"/>
    <n v="20"/>
    <n v="16"/>
    <x v="60"/>
    <n v="0.11"/>
    <x v="1"/>
    <n v="35.200000000000003"/>
  </r>
  <r>
    <s v="Ord-ID-121"/>
    <x v="11"/>
    <x v="0"/>
    <x v="4"/>
    <n v="9"/>
    <n v="80"/>
    <x v="11"/>
    <n v="7.0000000000000007E-2"/>
    <x v="2"/>
    <n v="50.400000000000006"/>
  </r>
  <r>
    <s v="Ord-ID-122"/>
    <x v="11"/>
    <x v="2"/>
    <x v="4"/>
    <n v="5"/>
    <n v="230"/>
    <x v="61"/>
    <n v="0.12"/>
    <x v="3"/>
    <n v="138"/>
  </r>
  <r>
    <s v="Ord-ID-123"/>
    <x v="11"/>
    <x v="3"/>
    <x v="0"/>
    <n v="20"/>
    <n v="16"/>
    <x v="60"/>
    <n v="0.01"/>
    <x v="4"/>
    <n v="3.2"/>
  </r>
  <r>
    <s v="Ord-ID-124"/>
    <x v="11"/>
    <x v="3"/>
    <x v="0"/>
    <n v="16"/>
    <n v="16"/>
    <x v="62"/>
    <n v="0.03"/>
    <x v="5"/>
    <n v="7.68"/>
  </r>
  <r>
    <s v="Ord-ID-125"/>
    <x v="11"/>
    <x v="4"/>
    <x v="3"/>
    <n v="15"/>
    <n v="150"/>
    <x v="37"/>
    <n v="0.05"/>
    <x v="6"/>
    <n v="112.5"/>
  </r>
  <r>
    <s v="Ord-ID-126"/>
    <x v="11"/>
    <x v="2"/>
    <x v="1"/>
    <n v="19"/>
    <n v="230"/>
    <x v="30"/>
    <n v="0.11"/>
    <x v="7"/>
    <n v="480.7"/>
  </r>
  <r>
    <s v="Ord-ID-127"/>
    <x v="12"/>
    <x v="4"/>
    <x v="2"/>
    <n v="2"/>
    <n v="150"/>
    <x v="63"/>
    <n v="0.02"/>
    <x v="8"/>
    <n v="6"/>
  </r>
  <r>
    <s v="Ord-ID-128"/>
    <x v="12"/>
    <x v="0"/>
    <x v="4"/>
    <n v="16"/>
    <n v="80"/>
    <x v="19"/>
    <n v="0.05"/>
    <x v="9"/>
    <n v="64"/>
  </r>
  <r>
    <s v="Ord-ID-129"/>
    <x v="12"/>
    <x v="1"/>
    <x v="2"/>
    <n v="2"/>
    <n v="40"/>
    <x v="64"/>
    <n v="0.03"/>
    <x v="10"/>
    <n v="2.4"/>
  </r>
  <r>
    <s v="Ord-ID-130"/>
    <x v="12"/>
    <x v="0"/>
    <x v="1"/>
    <n v="5"/>
    <n v="80"/>
    <x v="65"/>
    <n v="0.04"/>
    <x v="11"/>
    <n v="16"/>
  </r>
  <r>
    <s v="Ord-ID-131"/>
    <x v="12"/>
    <x v="2"/>
    <x v="3"/>
    <n v="17"/>
    <n v="230"/>
    <x v="59"/>
    <n v="0.12"/>
    <x v="0"/>
    <n v="469.2"/>
  </r>
  <r>
    <s v="Ord-ID-132"/>
    <x v="12"/>
    <x v="0"/>
    <x v="0"/>
    <n v="8"/>
    <n v="80"/>
    <x v="12"/>
    <n v="0.08"/>
    <x v="1"/>
    <n v="51.2"/>
  </r>
  <r>
    <s v="Ord-ID-133"/>
    <x v="12"/>
    <x v="1"/>
    <x v="1"/>
    <n v="4"/>
    <n v="40"/>
    <x v="31"/>
    <n v="0.06"/>
    <x v="2"/>
    <n v="9.6"/>
  </r>
  <r>
    <s v="Ord-ID-134"/>
    <x v="12"/>
    <x v="3"/>
    <x v="2"/>
    <n v="17"/>
    <n v="16"/>
    <x v="6"/>
    <n v="0.05"/>
    <x v="3"/>
    <n v="13.600000000000001"/>
  </r>
  <r>
    <s v="Ord-ID-135"/>
    <x v="12"/>
    <x v="2"/>
    <x v="3"/>
    <n v="8"/>
    <n v="230"/>
    <x v="3"/>
    <n v="0.01"/>
    <x v="4"/>
    <n v="18.400000000000002"/>
  </r>
  <r>
    <s v="Ord-ID-136"/>
    <x v="12"/>
    <x v="3"/>
    <x v="4"/>
    <n v="19"/>
    <n v="16"/>
    <x v="66"/>
    <n v="0.02"/>
    <x v="5"/>
    <n v="6.08"/>
  </r>
  <r>
    <s v="Ord-ID-137"/>
    <x v="13"/>
    <x v="1"/>
    <x v="0"/>
    <n v="18"/>
    <n v="40"/>
    <x v="11"/>
    <n v="0.06"/>
    <x v="6"/>
    <n v="43.199999999999996"/>
  </r>
  <r>
    <s v="Ord-ID-138"/>
    <x v="13"/>
    <x v="4"/>
    <x v="4"/>
    <n v="23"/>
    <n v="150"/>
    <x v="13"/>
    <n v="0.08"/>
    <x v="7"/>
    <n v="276"/>
  </r>
  <r>
    <s v="Ord-ID-139"/>
    <x v="13"/>
    <x v="2"/>
    <x v="0"/>
    <n v="5"/>
    <n v="230"/>
    <x v="61"/>
    <n v="0.1"/>
    <x v="8"/>
    <n v="115"/>
  </r>
  <r>
    <s v="Ord-ID-140"/>
    <x v="13"/>
    <x v="0"/>
    <x v="3"/>
    <n v="21"/>
    <n v="80"/>
    <x v="40"/>
    <n v="0.02"/>
    <x v="9"/>
    <n v="33.6"/>
  </r>
  <r>
    <s v="Ord-ID-141"/>
    <x v="13"/>
    <x v="3"/>
    <x v="2"/>
    <n v="6"/>
    <n v="16"/>
    <x v="67"/>
    <n v="7.0000000000000007E-2"/>
    <x v="0"/>
    <n v="6.7200000000000006"/>
  </r>
  <r>
    <s v="Ord-ID-142"/>
    <x v="13"/>
    <x v="1"/>
    <x v="0"/>
    <n v="9"/>
    <n v="40"/>
    <x v="18"/>
    <n v="0.01"/>
    <x v="1"/>
    <n v="3.6"/>
  </r>
  <r>
    <s v="Ord-ID-143"/>
    <x v="13"/>
    <x v="2"/>
    <x v="1"/>
    <n v="9"/>
    <n v="230"/>
    <x v="68"/>
    <n v="0.03"/>
    <x v="2"/>
    <n v="62.099999999999994"/>
  </r>
  <r>
    <s v="Ord-ID-144"/>
    <x v="13"/>
    <x v="2"/>
    <x v="2"/>
    <n v="5"/>
    <n v="230"/>
    <x v="61"/>
    <n v="0.1"/>
    <x v="3"/>
    <n v="115"/>
  </r>
  <r>
    <s v="Ord-ID-145"/>
    <x v="13"/>
    <x v="1"/>
    <x v="3"/>
    <n v="7"/>
    <n v="40"/>
    <x v="69"/>
    <n v="0.11"/>
    <x v="4"/>
    <n v="30.8"/>
  </r>
  <r>
    <s v="Ord-ID-146"/>
    <x v="13"/>
    <x v="2"/>
    <x v="0"/>
    <n v="20"/>
    <n v="230"/>
    <x v="36"/>
    <n v="0.04"/>
    <x v="5"/>
    <n v="184"/>
  </r>
  <r>
    <s v="Ord-ID-147"/>
    <x v="13"/>
    <x v="4"/>
    <x v="0"/>
    <n v="22"/>
    <n v="150"/>
    <x v="41"/>
    <n v="7.0000000000000007E-2"/>
    <x v="6"/>
    <n v="231.00000000000003"/>
  </r>
  <r>
    <s v="Ord-ID-148"/>
    <x v="14"/>
    <x v="2"/>
    <x v="2"/>
    <n v="6"/>
    <n v="230"/>
    <x v="38"/>
    <n v="0.05"/>
    <x v="7"/>
    <n v="69"/>
  </r>
  <r>
    <s v="Ord-ID-149"/>
    <x v="14"/>
    <x v="2"/>
    <x v="2"/>
    <n v="15"/>
    <n v="230"/>
    <x v="13"/>
    <n v="0.11"/>
    <x v="8"/>
    <n v="379.5"/>
  </r>
  <r>
    <s v="Ord-ID-150"/>
    <x v="14"/>
    <x v="1"/>
    <x v="1"/>
    <n v="8"/>
    <n v="40"/>
    <x v="60"/>
    <n v="0.09"/>
    <x v="9"/>
    <n v="28.799999999999997"/>
  </r>
  <r>
    <s v="Ord-ID-151"/>
    <x v="14"/>
    <x v="1"/>
    <x v="0"/>
    <n v="5"/>
    <n v="40"/>
    <x v="70"/>
    <n v="0.06"/>
    <x v="10"/>
    <n v="12"/>
  </r>
  <r>
    <s v="Ord-ID-152"/>
    <x v="14"/>
    <x v="0"/>
    <x v="4"/>
    <n v="6"/>
    <n v="80"/>
    <x v="0"/>
    <n v="0.09"/>
    <x v="11"/>
    <n v="43.199999999999996"/>
  </r>
  <r>
    <s v="Ord-ID-153"/>
    <x v="14"/>
    <x v="1"/>
    <x v="3"/>
    <n v="22"/>
    <n v="40"/>
    <x v="17"/>
    <n v="0.01"/>
    <x v="0"/>
    <n v="8.8000000000000007"/>
  </r>
  <r>
    <s v="Ord-ID-154"/>
    <x v="14"/>
    <x v="3"/>
    <x v="0"/>
    <n v="7"/>
    <n v="16"/>
    <x v="25"/>
    <n v="0.08"/>
    <x v="1"/>
    <n v="8.9600000000000009"/>
  </r>
  <r>
    <s v="Ord-ID-155"/>
    <x v="14"/>
    <x v="4"/>
    <x v="2"/>
    <n v="22"/>
    <n v="150"/>
    <x v="41"/>
    <n v="0.04"/>
    <x v="2"/>
    <n v="132"/>
  </r>
  <r>
    <s v="Ord-ID-156"/>
    <x v="14"/>
    <x v="3"/>
    <x v="3"/>
    <n v="15"/>
    <n v="16"/>
    <x v="71"/>
    <n v="0.12"/>
    <x v="3"/>
    <n v="28.799999999999997"/>
  </r>
  <r>
    <s v="Ord-ID-157"/>
    <x v="14"/>
    <x v="0"/>
    <x v="2"/>
    <n v="20"/>
    <n v="80"/>
    <x v="16"/>
    <n v="7.0000000000000007E-2"/>
    <x v="4"/>
    <n v="112.00000000000001"/>
  </r>
  <r>
    <s v="Ord-ID-158"/>
    <x v="14"/>
    <x v="0"/>
    <x v="2"/>
    <n v="7"/>
    <n v="80"/>
    <x v="1"/>
    <n v="0.05"/>
    <x v="5"/>
    <n v="28"/>
  </r>
  <r>
    <s v="Ord-ID-159"/>
    <x v="14"/>
    <x v="0"/>
    <x v="1"/>
    <n v="10"/>
    <n v="80"/>
    <x v="20"/>
    <n v="0.11"/>
    <x v="6"/>
    <n v="88"/>
  </r>
  <r>
    <s v="Ord-ID-160"/>
    <x v="14"/>
    <x v="0"/>
    <x v="1"/>
    <n v="2"/>
    <n v="80"/>
    <x v="31"/>
    <n v="7.0000000000000007E-2"/>
    <x v="7"/>
    <n v="11.200000000000001"/>
  </r>
  <r>
    <s v="Ord-ID-161"/>
    <x v="14"/>
    <x v="3"/>
    <x v="4"/>
    <n v="23"/>
    <n v="16"/>
    <x v="35"/>
    <n v="0.01"/>
    <x v="8"/>
    <n v="3.68"/>
  </r>
  <r>
    <s v="Ord-ID-162"/>
    <x v="14"/>
    <x v="2"/>
    <x v="1"/>
    <n v="12"/>
    <n v="230"/>
    <x v="4"/>
    <n v="0.03"/>
    <x v="9"/>
    <n v="82.8"/>
  </r>
  <r>
    <s v="Ord-ID-163"/>
    <x v="15"/>
    <x v="2"/>
    <x v="0"/>
    <n v="7"/>
    <n v="230"/>
    <x v="10"/>
    <n v="0.08"/>
    <x v="10"/>
    <n v="128.80000000000001"/>
  </r>
  <r>
    <s v="Ord-ID-164"/>
    <x v="15"/>
    <x v="1"/>
    <x v="3"/>
    <n v="11"/>
    <n v="40"/>
    <x v="49"/>
    <n v="0.06"/>
    <x v="11"/>
    <n v="26.4"/>
  </r>
  <r>
    <s v="Ord-ID-165"/>
    <x v="15"/>
    <x v="2"/>
    <x v="1"/>
    <n v="7"/>
    <n v="230"/>
    <x v="10"/>
    <n v="0.08"/>
    <x v="0"/>
    <n v="128.80000000000001"/>
  </r>
  <r>
    <s v="Ord-ID-166"/>
    <x v="15"/>
    <x v="0"/>
    <x v="0"/>
    <n v="8"/>
    <n v="80"/>
    <x v="12"/>
    <n v="0.09"/>
    <x v="1"/>
    <n v="57.599999999999994"/>
  </r>
  <r>
    <s v="Ord-ID-167"/>
    <x v="15"/>
    <x v="0"/>
    <x v="3"/>
    <n v="16"/>
    <n v="80"/>
    <x v="19"/>
    <n v="7.0000000000000007E-2"/>
    <x v="2"/>
    <n v="89.600000000000009"/>
  </r>
  <r>
    <s v="Ord-ID-168"/>
    <x v="15"/>
    <x v="0"/>
    <x v="2"/>
    <n v="16"/>
    <n v="80"/>
    <x v="19"/>
    <n v="0.04"/>
    <x v="3"/>
    <n v="51.2"/>
  </r>
  <r>
    <s v="Ord-ID-169"/>
    <x v="15"/>
    <x v="3"/>
    <x v="2"/>
    <n v="9"/>
    <n v="16"/>
    <x v="72"/>
    <n v="0.05"/>
    <x v="4"/>
    <n v="7.2"/>
  </r>
  <r>
    <s v="Ord-ID-170"/>
    <x v="15"/>
    <x v="4"/>
    <x v="4"/>
    <n v="11"/>
    <n v="150"/>
    <x v="45"/>
    <n v="0.09"/>
    <x v="5"/>
    <n v="148.5"/>
  </r>
  <r>
    <s v="Ord-ID-171"/>
    <x v="15"/>
    <x v="3"/>
    <x v="0"/>
    <n v="4"/>
    <n v="16"/>
    <x v="50"/>
    <n v="0.12"/>
    <x v="6"/>
    <n v="7.68"/>
  </r>
  <r>
    <s v="Ord-ID-172"/>
    <x v="15"/>
    <x v="1"/>
    <x v="3"/>
    <n v="15"/>
    <n v="40"/>
    <x v="39"/>
    <n v="0.03"/>
    <x v="7"/>
    <n v="18"/>
  </r>
  <r>
    <s v="Ord-ID-173"/>
    <x v="15"/>
    <x v="1"/>
    <x v="4"/>
    <n v="20"/>
    <n v="40"/>
    <x v="20"/>
    <n v="0.03"/>
    <x v="8"/>
    <n v="24"/>
  </r>
  <r>
    <s v="Ord-ID-174"/>
    <x v="16"/>
    <x v="4"/>
    <x v="2"/>
    <n v="9"/>
    <n v="150"/>
    <x v="46"/>
    <n v="0.06"/>
    <x v="9"/>
    <n v="81"/>
  </r>
  <r>
    <s v="Ord-ID-175"/>
    <x v="16"/>
    <x v="1"/>
    <x v="1"/>
    <n v="23"/>
    <n v="40"/>
    <x v="15"/>
    <n v="0.06"/>
    <x v="10"/>
    <n v="55.199999999999996"/>
  </r>
  <r>
    <s v="Ord-ID-176"/>
    <x v="16"/>
    <x v="0"/>
    <x v="4"/>
    <n v="13"/>
    <n v="80"/>
    <x v="73"/>
    <n v="0.05"/>
    <x v="11"/>
    <n v="52"/>
  </r>
  <r>
    <s v="Ord-ID-177"/>
    <x v="16"/>
    <x v="3"/>
    <x v="0"/>
    <n v="22"/>
    <n v="16"/>
    <x v="14"/>
    <n v="0.01"/>
    <x v="0"/>
    <n v="3.52"/>
  </r>
  <r>
    <s v="Ord-ID-178"/>
    <x v="16"/>
    <x v="1"/>
    <x v="0"/>
    <n v="19"/>
    <n v="40"/>
    <x v="52"/>
    <n v="0.04"/>
    <x v="1"/>
    <n v="30.400000000000002"/>
  </r>
  <r>
    <s v="Ord-ID-179"/>
    <x v="16"/>
    <x v="0"/>
    <x v="3"/>
    <n v="4"/>
    <n v="80"/>
    <x v="60"/>
    <n v="0.11"/>
    <x v="2"/>
    <n v="35.200000000000003"/>
  </r>
  <r>
    <s v="Ord-ID-180"/>
    <x v="16"/>
    <x v="3"/>
    <x v="0"/>
    <n v="12"/>
    <n v="16"/>
    <x v="21"/>
    <n v="0.11"/>
    <x v="3"/>
    <n v="21.12"/>
  </r>
  <r>
    <s v="Ord-ID-181"/>
    <x v="16"/>
    <x v="4"/>
    <x v="1"/>
    <n v="16"/>
    <n v="150"/>
    <x v="28"/>
    <n v="0.08"/>
    <x v="4"/>
    <n v="192"/>
  </r>
  <r>
    <s v="Ord-ID-182"/>
    <x v="16"/>
    <x v="0"/>
    <x v="0"/>
    <n v="7"/>
    <n v="80"/>
    <x v="1"/>
    <n v="0.02"/>
    <x v="5"/>
    <n v="11.200000000000001"/>
  </r>
  <r>
    <s v="Ord-ID-183"/>
    <x v="16"/>
    <x v="1"/>
    <x v="4"/>
    <n v="20"/>
    <n v="40"/>
    <x v="20"/>
    <n v="7.0000000000000007E-2"/>
    <x v="6"/>
    <n v="56.000000000000007"/>
  </r>
  <r>
    <s v="Ord-ID-184"/>
    <x v="16"/>
    <x v="0"/>
    <x v="1"/>
    <n v="15"/>
    <n v="80"/>
    <x v="74"/>
    <n v="0.12"/>
    <x v="7"/>
    <n v="144"/>
  </r>
  <r>
    <s v="Ord-ID-185"/>
    <x v="16"/>
    <x v="1"/>
    <x v="0"/>
    <n v="5"/>
    <n v="40"/>
    <x v="70"/>
    <n v="0.09"/>
    <x v="8"/>
    <n v="18"/>
  </r>
  <r>
    <s v="Ord-ID-186"/>
    <x v="16"/>
    <x v="3"/>
    <x v="4"/>
    <n v="12"/>
    <n v="16"/>
    <x v="21"/>
    <n v="0.04"/>
    <x v="9"/>
    <n v="7.68"/>
  </r>
  <r>
    <s v="Ord-ID-187"/>
    <x v="17"/>
    <x v="4"/>
    <x v="3"/>
    <n v="3"/>
    <n v="150"/>
    <x v="75"/>
    <n v="0.01"/>
    <x v="10"/>
    <n v="4.5"/>
  </r>
  <r>
    <s v="Ord-ID-188"/>
    <x v="17"/>
    <x v="1"/>
    <x v="4"/>
    <n v="7"/>
    <n v="40"/>
    <x v="69"/>
    <n v="0.12"/>
    <x v="11"/>
    <n v="33.6"/>
  </r>
  <r>
    <s v="Ord-ID-189"/>
    <x v="17"/>
    <x v="0"/>
    <x v="1"/>
    <n v="2"/>
    <n v="80"/>
    <x v="31"/>
    <n v="0.04"/>
    <x v="0"/>
    <n v="6.4"/>
  </r>
  <r>
    <s v="Ord-ID-190"/>
    <x v="17"/>
    <x v="1"/>
    <x v="3"/>
    <n v="6"/>
    <n v="40"/>
    <x v="71"/>
    <n v="7.0000000000000007E-2"/>
    <x v="1"/>
    <n v="16.8"/>
  </r>
  <r>
    <s v="Ord-ID-191"/>
    <x v="17"/>
    <x v="3"/>
    <x v="2"/>
    <n v="6"/>
    <n v="16"/>
    <x v="67"/>
    <n v="0.06"/>
    <x v="2"/>
    <n v="5.76"/>
  </r>
  <r>
    <s v="Ord-ID-192"/>
    <x v="17"/>
    <x v="3"/>
    <x v="0"/>
    <n v="7"/>
    <n v="16"/>
    <x v="25"/>
    <n v="0.02"/>
    <x v="3"/>
    <n v="2.2400000000000002"/>
  </r>
  <r>
    <s v="Ord-ID-193"/>
    <x v="17"/>
    <x v="3"/>
    <x v="1"/>
    <n v="20"/>
    <n v="16"/>
    <x v="60"/>
    <n v="0.06"/>
    <x v="4"/>
    <n v="19.2"/>
  </r>
  <r>
    <s v="Ord-ID-194"/>
    <x v="17"/>
    <x v="3"/>
    <x v="1"/>
    <n v="21"/>
    <n v="16"/>
    <x v="9"/>
    <n v="0.02"/>
    <x v="5"/>
    <n v="6.72"/>
  </r>
  <r>
    <s v="Ord-ID-195"/>
    <x v="17"/>
    <x v="0"/>
    <x v="3"/>
    <n v="21"/>
    <n v="80"/>
    <x v="40"/>
    <n v="0.05"/>
    <x v="6"/>
    <n v="84"/>
  </r>
  <r>
    <s v="Ord-ID-196"/>
    <x v="17"/>
    <x v="3"/>
    <x v="3"/>
    <n v="10"/>
    <n v="16"/>
    <x v="31"/>
    <n v="0.01"/>
    <x v="7"/>
    <n v="1.6"/>
  </r>
  <r>
    <s v="Ord-ID-197"/>
    <x v="18"/>
    <x v="2"/>
    <x v="3"/>
    <n v="2"/>
    <n v="230"/>
    <x v="56"/>
    <n v="0.09"/>
    <x v="8"/>
    <n v="41.4"/>
  </r>
  <r>
    <s v="Ord-ID-198"/>
    <x v="18"/>
    <x v="4"/>
    <x v="0"/>
    <n v="20"/>
    <n v="150"/>
    <x v="8"/>
    <n v="0.03"/>
    <x v="9"/>
    <n v="90"/>
  </r>
  <r>
    <s v="Ord-ID-199"/>
    <x v="18"/>
    <x v="1"/>
    <x v="0"/>
    <n v="23"/>
    <n v="40"/>
    <x v="15"/>
    <n v="0.03"/>
    <x v="10"/>
    <n v="27.599999999999998"/>
  </r>
  <r>
    <s v="Ord-ID-200"/>
    <x v="18"/>
    <x v="0"/>
    <x v="3"/>
    <n v="17"/>
    <n v="80"/>
    <x v="29"/>
    <n v="0.05"/>
    <x v="11"/>
    <n v="68"/>
  </r>
  <r>
    <s v="Ord-ID-201"/>
    <x v="18"/>
    <x v="2"/>
    <x v="3"/>
    <n v="11"/>
    <n v="230"/>
    <x v="76"/>
    <n v="0.12"/>
    <x v="0"/>
    <n v="303.59999999999997"/>
  </r>
  <r>
    <s v="Ord-ID-202"/>
    <x v="18"/>
    <x v="4"/>
    <x v="1"/>
    <n v="10"/>
    <n v="150"/>
    <x v="77"/>
    <n v="0.01"/>
    <x v="1"/>
    <n v="15"/>
  </r>
  <r>
    <s v="Ord-ID-203"/>
    <x v="18"/>
    <x v="0"/>
    <x v="1"/>
    <n v="17"/>
    <n v="80"/>
    <x v="29"/>
    <n v="0.03"/>
    <x v="2"/>
    <n v="40.799999999999997"/>
  </r>
  <r>
    <s v="Ord-ID-204"/>
    <x v="19"/>
    <x v="2"/>
    <x v="0"/>
    <n v="9"/>
    <n v="230"/>
    <x v="68"/>
    <n v="7.0000000000000007E-2"/>
    <x v="3"/>
    <n v="144.9"/>
  </r>
  <r>
    <s v="Ord-ID-205"/>
    <x v="19"/>
    <x v="2"/>
    <x v="0"/>
    <n v="11"/>
    <n v="230"/>
    <x v="76"/>
    <n v="0.02"/>
    <x v="4"/>
    <n v="50.6"/>
  </r>
  <r>
    <s v="Ord-ID-206"/>
    <x v="19"/>
    <x v="1"/>
    <x v="2"/>
    <n v="2"/>
    <n v="40"/>
    <x v="64"/>
    <n v="0.02"/>
    <x v="5"/>
    <n v="1.6"/>
  </r>
  <r>
    <s v="Ord-ID-207"/>
    <x v="19"/>
    <x v="2"/>
    <x v="4"/>
    <n v="3"/>
    <n v="230"/>
    <x v="33"/>
    <n v="0.1"/>
    <x v="6"/>
    <n v="69"/>
  </r>
  <r>
    <s v="Ord-ID-208"/>
    <x v="19"/>
    <x v="1"/>
    <x v="4"/>
    <n v="7"/>
    <n v="40"/>
    <x v="69"/>
    <n v="0.05"/>
    <x v="7"/>
    <n v="14"/>
  </r>
  <r>
    <s v="Ord-ID-209"/>
    <x v="19"/>
    <x v="4"/>
    <x v="1"/>
    <n v="20"/>
    <n v="150"/>
    <x v="8"/>
    <n v="0.09"/>
    <x v="8"/>
    <n v="270"/>
  </r>
  <r>
    <s v="Ord-ID-210"/>
    <x v="19"/>
    <x v="1"/>
    <x v="2"/>
    <n v="4"/>
    <n v="40"/>
    <x v="31"/>
    <n v="0.11"/>
    <x v="9"/>
    <n v="17.600000000000001"/>
  </r>
  <r>
    <s v="Ord-ID-211"/>
    <x v="20"/>
    <x v="2"/>
    <x v="2"/>
    <n v="2"/>
    <n v="230"/>
    <x v="56"/>
    <n v="0.09"/>
    <x v="0"/>
    <n v="41.4"/>
  </r>
  <r>
    <s v="Ord-ID-212"/>
    <x v="20"/>
    <x v="1"/>
    <x v="1"/>
    <n v="7"/>
    <n v="40"/>
    <x v="69"/>
    <n v="0.01"/>
    <x v="1"/>
    <n v="2.8000000000000003"/>
  </r>
  <r>
    <s v="Ord-ID-213"/>
    <x v="20"/>
    <x v="1"/>
    <x v="0"/>
    <n v="2"/>
    <n v="40"/>
    <x v="64"/>
    <n v="0.12"/>
    <x v="2"/>
    <n v="9.6"/>
  </r>
  <r>
    <s v="Ord-ID-214"/>
    <x v="20"/>
    <x v="0"/>
    <x v="1"/>
    <n v="3"/>
    <n v="80"/>
    <x v="71"/>
    <n v="0.02"/>
    <x v="3"/>
    <n v="4.8"/>
  </r>
  <r>
    <s v="Ord-ID-215"/>
    <x v="20"/>
    <x v="3"/>
    <x v="0"/>
    <n v="18"/>
    <n v="16"/>
    <x v="53"/>
    <n v="0.11"/>
    <x v="4"/>
    <n v="31.68"/>
  </r>
  <r>
    <s v="Ord-ID-216"/>
    <x v="20"/>
    <x v="0"/>
    <x v="1"/>
    <n v="5"/>
    <n v="80"/>
    <x v="65"/>
    <n v="7.0000000000000007E-2"/>
    <x v="5"/>
    <n v="28.000000000000004"/>
  </r>
  <r>
    <s v="Ord-ID-217"/>
    <x v="20"/>
    <x v="3"/>
    <x v="2"/>
    <n v="3"/>
    <n v="16"/>
    <x v="78"/>
    <n v="0.05"/>
    <x v="6"/>
    <n v="2.4000000000000004"/>
  </r>
  <r>
    <s v="Ord-ID-218"/>
    <x v="20"/>
    <x v="0"/>
    <x v="3"/>
    <n v="7"/>
    <n v="80"/>
    <x v="1"/>
    <n v="0.02"/>
    <x v="7"/>
    <n v="11.200000000000001"/>
  </r>
  <r>
    <s v="Ord-ID-219"/>
    <x v="20"/>
    <x v="4"/>
    <x v="3"/>
    <n v="15"/>
    <n v="150"/>
    <x v="37"/>
    <n v="0.08"/>
    <x v="8"/>
    <n v="180"/>
  </r>
  <r>
    <s v="Ord-ID-220"/>
    <x v="20"/>
    <x v="0"/>
    <x v="2"/>
    <n v="10"/>
    <n v="80"/>
    <x v="20"/>
    <n v="0.11"/>
    <x v="9"/>
    <n v="88"/>
  </r>
  <r>
    <s v="Ord-ID-221"/>
    <x v="20"/>
    <x v="2"/>
    <x v="4"/>
    <n v="13"/>
    <n v="230"/>
    <x v="79"/>
    <n v="0.06"/>
    <x v="10"/>
    <n v="179.4"/>
  </r>
  <r>
    <s v="Ord-ID-222"/>
    <x v="20"/>
    <x v="1"/>
    <x v="0"/>
    <n v="7"/>
    <n v="40"/>
    <x v="69"/>
    <n v="0.1"/>
    <x v="11"/>
    <n v="28"/>
  </r>
  <r>
    <s v="Ord-ID-223"/>
    <x v="20"/>
    <x v="3"/>
    <x v="2"/>
    <n v="6"/>
    <n v="16"/>
    <x v="67"/>
    <n v="0.01"/>
    <x v="0"/>
    <n v="0.96"/>
  </r>
  <r>
    <s v="Ord-ID-224"/>
    <x v="21"/>
    <x v="1"/>
    <x v="2"/>
    <n v="11"/>
    <n v="40"/>
    <x v="49"/>
    <n v="0.05"/>
    <x v="1"/>
    <n v="22"/>
  </r>
  <r>
    <s v="Ord-ID-225"/>
    <x v="21"/>
    <x v="0"/>
    <x v="3"/>
    <n v="8"/>
    <n v="80"/>
    <x v="12"/>
    <n v="0.06"/>
    <x v="2"/>
    <n v="38.4"/>
  </r>
  <r>
    <s v="Ord-ID-226"/>
    <x v="21"/>
    <x v="0"/>
    <x v="0"/>
    <n v="9"/>
    <n v="80"/>
    <x v="11"/>
    <n v="0.04"/>
    <x v="3"/>
    <n v="28.8"/>
  </r>
  <r>
    <s v="Ord-ID-227"/>
    <x v="21"/>
    <x v="1"/>
    <x v="4"/>
    <n v="4"/>
    <n v="40"/>
    <x v="31"/>
    <n v="0.09"/>
    <x v="4"/>
    <n v="14.399999999999999"/>
  </r>
  <r>
    <s v="Ord-ID-228"/>
    <x v="21"/>
    <x v="0"/>
    <x v="1"/>
    <n v="13"/>
    <n v="80"/>
    <x v="73"/>
    <n v="0.06"/>
    <x v="5"/>
    <n v="62.4"/>
  </r>
  <r>
    <s v="Ord-ID-229"/>
    <x v="21"/>
    <x v="4"/>
    <x v="4"/>
    <n v="4"/>
    <n v="150"/>
    <x v="39"/>
    <n v="0.05"/>
    <x v="6"/>
    <n v="30"/>
  </r>
  <r>
    <s v="Ord-ID-230"/>
    <x v="21"/>
    <x v="2"/>
    <x v="2"/>
    <n v="14"/>
    <n v="230"/>
    <x v="80"/>
    <n v="0.12"/>
    <x v="7"/>
    <n v="386.4"/>
  </r>
  <r>
    <s v="Ord-ID-231"/>
    <x v="21"/>
    <x v="4"/>
    <x v="4"/>
    <n v="13"/>
    <n v="150"/>
    <x v="34"/>
    <n v="0.11"/>
    <x v="8"/>
    <n v="214.5"/>
  </r>
  <r>
    <s v="Ord-ID-232"/>
    <x v="21"/>
    <x v="4"/>
    <x v="1"/>
    <n v="16"/>
    <n v="150"/>
    <x v="28"/>
    <n v="0.03"/>
    <x v="9"/>
    <n v="72"/>
  </r>
  <r>
    <s v="Ord-ID-233"/>
    <x v="21"/>
    <x v="3"/>
    <x v="0"/>
    <n v="7"/>
    <n v="16"/>
    <x v="25"/>
    <n v="0.12"/>
    <x v="10"/>
    <n v="13.44"/>
  </r>
  <r>
    <s v="Ord-ID-234"/>
    <x v="21"/>
    <x v="4"/>
    <x v="3"/>
    <n v="9"/>
    <n v="150"/>
    <x v="46"/>
    <n v="0.02"/>
    <x v="11"/>
    <n v="27"/>
  </r>
  <r>
    <s v="Ord-ID-235"/>
    <x v="21"/>
    <x v="3"/>
    <x v="0"/>
    <n v="10"/>
    <n v="16"/>
    <x v="31"/>
    <n v="0.08"/>
    <x v="0"/>
    <n v="12.8"/>
  </r>
  <r>
    <s v="Ord-ID-236"/>
    <x v="21"/>
    <x v="0"/>
    <x v="3"/>
    <n v="15"/>
    <n v="80"/>
    <x v="74"/>
    <n v="0.08"/>
    <x v="1"/>
    <n v="96"/>
  </r>
  <r>
    <s v="Ord-ID-237"/>
    <x v="21"/>
    <x v="0"/>
    <x v="4"/>
    <n v="9"/>
    <n v="80"/>
    <x v="11"/>
    <n v="0.06"/>
    <x v="2"/>
    <n v="43.199999999999996"/>
  </r>
  <r>
    <s v="Ord-ID-238"/>
    <x v="22"/>
    <x v="3"/>
    <x v="3"/>
    <n v="7"/>
    <n v="16"/>
    <x v="25"/>
    <n v="0.08"/>
    <x v="3"/>
    <n v="8.9600000000000009"/>
  </r>
  <r>
    <s v="Ord-ID-239"/>
    <x v="22"/>
    <x v="4"/>
    <x v="4"/>
    <n v="7"/>
    <n v="150"/>
    <x v="7"/>
    <n v="0.03"/>
    <x v="4"/>
    <n v="31.5"/>
  </r>
  <r>
    <s v="Ord-ID-240"/>
    <x v="22"/>
    <x v="2"/>
    <x v="3"/>
    <n v="16"/>
    <n v="230"/>
    <x v="81"/>
    <n v="0.11"/>
    <x v="5"/>
    <n v="404.8"/>
  </r>
  <r>
    <s v="Ord-ID-241"/>
    <x v="22"/>
    <x v="3"/>
    <x v="3"/>
    <n v="18"/>
    <n v="16"/>
    <x v="53"/>
    <n v="0.04"/>
    <x v="6"/>
    <n v="11.52"/>
  </r>
  <r>
    <s v="Ord-ID-242"/>
    <x v="22"/>
    <x v="2"/>
    <x v="4"/>
    <n v="20"/>
    <n v="230"/>
    <x v="36"/>
    <n v="0.11"/>
    <x v="7"/>
    <n v="506"/>
  </r>
  <r>
    <s v="Ord-ID-243"/>
    <x v="22"/>
    <x v="4"/>
    <x v="0"/>
    <n v="7"/>
    <n v="150"/>
    <x v="7"/>
    <n v="0.02"/>
    <x v="8"/>
    <n v="21"/>
  </r>
  <r>
    <s v="Ord-ID-244"/>
    <x v="22"/>
    <x v="3"/>
    <x v="2"/>
    <n v="11"/>
    <n v="16"/>
    <x v="23"/>
    <n v="0.12"/>
    <x v="9"/>
    <n v="21.119999999999997"/>
  </r>
  <r>
    <s v="Ord-ID-245"/>
    <x v="22"/>
    <x v="1"/>
    <x v="2"/>
    <n v="12"/>
    <n v="40"/>
    <x v="0"/>
    <n v="0.02"/>
    <x v="10"/>
    <n v="9.6"/>
  </r>
  <r>
    <s v="Ord-ID-246"/>
    <x v="22"/>
    <x v="4"/>
    <x v="4"/>
    <n v="7"/>
    <n v="150"/>
    <x v="7"/>
    <n v="0.02"/>
    <x v="11"/>
    <n v="21"/>
  </r>
  <r>
    <s v="Ord-ID-247"/>
    <x v="22"/>
    <x v="0"/>
    <x v="2"/>
    <n v="14"/>
    <n v="80"/>
    <x v="42"/>
    <n v="0.1"/>
    <x v="0"/>
    <n v="112"/>
  </r>
  <r>
    <s v="Ord-ID-248"/>
    <x v="22"/>
    <x v="2"/>
    <x v="2"/>
    <n v="12"/>
    <n v="230"/>
    <x v="4"/>
    <n v="0.06"/>
    <x v="1"/>
    <n v="165.6"/>
  </r>
  <r>
    <s v="Ord-ID-249"/>
    <x v="23"/>
    <x v="0"/>
    <x v="1"/>
    <n v="21"/>
    <n v="80"/>
    <x v="40"/>
    <n v="0.04"/>
    <x v="2"/>
    <n v="67.2"/>
  </r>
  <r>
    <s v="Ord-ID-250"/>
    <x v="23"/>
    <x v="4"/>
    <x v="0"/>
    <n v="8"/>
    <n v="150"/>
    <x v="74"/>
    <n v="0.09"/>
    <x v="3"/>
    <n v="108"/>
  </r>
  <r>
    <s v="Ord-ID-251"/>
    <x v="23"/>
    <x v="0"/>
    <x v="1"/>
    <n v="16"/>
    <n v="80"/>
    <x v="19"/>
    <n v="0.04"/>
    <x v="4"/>
    <n v="51.2"/>
  </r>
  <r>
    <s v="Ord-ID-252"/>
    <x v="23"/>
    <x v="2"/>
    <x v="1"/>
    <n v="14"/>
    <n v="230"/>
    <x v="80"/>
    <n v="0.05"/>
    <x v="5"/>
    <n v="161"/>
  </r>
  <r>
    <s v="Ord-ID-253"/>
    <x v="23"/>
    <x v="1"/>
    <x v="2"/>
    <n v="2"/>
    <n v="40"/>
    <x v="64"/>
    <n v="0.03"/>
    <x v="6"/>
    <n v="2.4"/>
  </r>
  <r>
    <s v="Ord-ID-254"/>
    <x v="23"/>
    <x v="4"/>
    <x v="0"/>
    <n v="4"/>
    <n v="150"/>
    <x v="39"/>
    <n v="0.1"/>
    <x v="7"/>
    <n v="60"/>
  </r>
  <r>
    <s v="Ord-ID-255"/>
    <x v="23"/>
    <x v="0"/>
    <x v="2"/>
    <n v="6"/>
    <n v="80"/>
    <x v="0"/>
    <n v="0.01"/>
    <x v="8"/>
    <n v="4.8"/>
  </r>
  <r>
    <s v="Ord-ID-256"/>
    <x v="23"/>
    <x v="1"/>
    <x v="2"/>
    <n v="6"/>
    <n v="40"/>
    <x v="71"/>
    <n v="0.06"/>
    <x v="9"/>
    <n v="14.399999999999999"/>
  </r>
  <r>
    <s v="Ord-ID-257"/>
    <x v="23"/>
    <x v="4"/>
    <x v="0"/>
    <n v="20"/>
    <n v="150"/>
    <x v="8"/>
    <n v="0.04"/>
    <x v="10"/>
    <n v="120"/>
  </r>
  <r>
    <s v="Ord-ID-258"/>
    <x v="23"/>
    <x v="1"/>
    <x v="2"/>
    <n v="18"/>
    <n v="40"/>
    <x v="11"/>
    <n v="0.03"/>
    <x v="11"/>
    <n v="21.599999999999998"/>
  </r>
  <r>
    <s v="Ord-ID-259"/>
    <x v="23"/>
    <x v="2"/>
    <x v="3"/>
    <n v="18"/>
    <n v="230"/>
    <x v="82"/>
    <n v="0.01"/>
    <x v="0"/>
    <n v="41.4"/>
  </r>
  <r>
    <s v="Ord-ID-260"/>
    <x v="23"/>
    <x v="2"/>
    <x v="2"/>
    <n v="15"/>
    <n v="230"/>
    <x v="13"/>
    <n v="0.04"/>
    <x v="1"/>
    <n v="138"/>
  </r>
  <r>
    <s v="Ord-ID-261"/>
    <x v="23"/>
    <x v="3"/>
    <x v="1"/>
    <n v="22"/>
    <n v="16"/>
    <x v="14"/>
    <n v="0.01"/>
    <x v="2"/>
    <n v="3.52"/>
  </r>
  <r>
    <s v="Ord-ID-262"/>
    <x v="23"/>
    <x v="4"/>
    <x v="0"/>
    <n v="17"/>
    <n v="150"/>
    <x v="55"/>
    <n v="0.12"/>
    <x v="3"/>
    <n v="306"/>
  </r>
  <r>
    <s v="Ord-ID-263"/>
    <x v="24"/>
    <x v="3"/>
    <x v="1"/>
    <n v="5"/>
    <n v="16"/>
    <x v="64"/>
    <n v="0.11"/>
    <x v="4"/>
    <n v="8.8000000000000007"/>
  </r>
  <r>
    <s v="Ord-ID-264"/>
    <x v="24"/>
    <x v="4"/>
    <x v="0"/>
    <n v="23"/>
    <n v="150"/>
    <x v="13"/>
    <n v="0.1"/>
    <x v="5"/>
    <n v="345"/>
  </r>
  <r>
    <s v="Ord-ID-265"/>
    <x v="24"/>
    <x v="4"/>
    <x v="3"/>
    <n v="22"/>
    <n v="150"/>
    <x v="41"/>
    <n v="0.05"/>
    <x v="6"/>
    <n v="165"/>
  </r>
  <r>
    <s v="Ord-ID-266"/>
    <x v="24"/>
    <x v="3"/>
    <x v="4"/>
    <n v="15"/>
    <n v="16"/>
    <x v="71"/>
    <n v="0.01"/>
    <x v="7"/>
    <n v="2.4"/>
  </r>
  <r>
    <s v="Ord-ID-267"/>
    <x v="24"/>
    <x v="1"/>
    <x v="3"/>
    <n v="7"/>
    <n v="40"/>
    <x v="69"/>
    <n v="7.0000000000000007E-2"/>
    <x v="8"/>
    <n v="19.600000000000001"/>
  </r>
  <r>
    <s v="Ord-ID-268"/>
    <x v="24"/>
    <x v="0"/>
    <x v="4"/>
    <n v="22"/>
    <n v="80"/>
    <x v="24"/>
    <n v="0.11"/>
    <x v="9"/>
    <n v="193.6"/>
  </r>
  <r>
    <s v="Ord-ID-269"/>
    <x v="24"/>
    <x v="4"/>
    <x v="2"/>
    <n v="11"/>
    <n v="150"/>
    <x v="45"/>
    <n v="0.05"/>
    <x v="10"/>
    <n v="82.5"/>
  </r>
  <r>
    <s v="Ord-ID-270"/>
    <x v="24"/>
    <x v="1"/>
    <x v="1"/>
    <n v="21"/>
    <n v="40"/>
    <x v="54"/>
    <n v="0.03"/>
    <x v="11"/>
    <n v="25.2"/>
  </r>
  <r>
    <s v="Ord-ID-271"/>
    <x v="24"/>
    <x v="0"/>
    <x v="3"/>
    <n v="23"/>
    <n v="80"/>
    <x v="3"/>
    <n v="0.11"/>
    <x v="0"/>
    <n v="202.4"/>
  </r>
  <r>
    <s v="Ord-ID-272"/>
    <x v="24"/>
    <x v="2"/>
    <x v="2"/>
    <n v="7"/>
    <n v="230"/>
    <x v="10"/>
    <n v="0.01"/>
    <x v="1"/>
    <n v="16.100000000000001"/>
  </r>
  <r>
    <s v="Ord-ID-273"/>
    <x v="24"/>
    <x v="2"/>
    <x v="0"/>
    <n v="16"/>
    <n v="230"/>
    <x v="81"/>
    <n v="7.0000000000000007E-2"/>
    <x v="2"/>
    <n v="257.60000000000002"/>
  </r>
  <r>
    <s v="Ord-ID-274"/>
    <x v="24"/>
    <x v="0"/>
    <x v="1"/>
    <n v="14"/>
    <n v="80"/>
    <x v="42"/>
    <n v="0.11"/>
    <x v="3"/>
    <n v="123.2"/>
  </r>
  <r>
    <s v="Ord-ID-275"/>
    <x v="24"/>
    <x v="4"/>
    <x v="2"/>
    <n v="22"/>
    <n v="150"/>
    <x v="41"/>
    <n v="0.09"/>
    <x v="4"/>
    <n v="297"/>
  </r>
  <r>
    <s v="Ord-ID-276"/>
    <x v="24"/>
    <x v="4"/>
    <x v="3"/>
    <n v="4"/>
    <n v="150"/>
    <x v="39"/>
    <n v="0.12"/>
    <x v="5"/>
    <n v="72"/>
  </r>
  <r>
    <s v="Ord-ID-277"/>
    <x v="24"/>
    <x v="4"/>
    <x v="0"/>
    <n v="3"/>
    <n v="150"/>
    <x v="75"/>
    <n v="0.03"/>
    <x v="6"/>
    <n v="13.5"/>
  </r>
  <r>
    <s v="Ord-ID-278"/>
    <x v="24"/>
    <x v="1"/>
    <x v="4"/>
    <n v="17"/>
    <n v="40"/>
    <x v="83"/>
    <n v="0.02"/>
    <x v="7"/>
    <n v="13.6"/>
  </r>
  <r>
    <s v="Ord-ID-279"/>
    <x v="24"/>
    <x v="0"/>
    <x v="4"/>
    <n v="22"/>
    <n v="80"/>
    <x v="24"/>
    <n v="0.1"/>
    <x v="8"/>
    <n v="176"/>
  </r>
  <r>
    <s v="Ord-ID-280"/>
    <x v="24"/>
    <x v="4"/>
    <x v="4"/>
    <n v="18"/>
    <n v="150"/>
    <x v="44"/>
    <n v="0.12"/>
    <x v="9"/>
    <n v="324"/>
  </r>
  <r>
    <s v="Ord-ID-281"/>
    <x v="25"/>
    <x v="4"/>
    <x v="0"/>
    <n v="4"/>
    <n v="150"/>
    <x v="39"/>
    <n v="0.06"/>
    <x v="0"/>
    <n v="36"/>
  </r>
  <r>
    <s v="Ord-ID-282"/>
    <x v="25"/>
    <x v="2"/>
    <x v="1"/>
    <n v="22"/>
    <n v="230"/>
    <x v="2"/>
    <n v="0.04"/>
    <x v="1"/>
    <n v="202.4"/>
  </r>
  <r>
    <s v="Ord-ID-283"/>
    <x v="25"/>
    <x v="4"/>
    <x v="1"/>
    <n v="15"/>
    <n v="150"/>
    <x v="37"/>
    <n v="0.12"/>
    <x v="2"/>
    <n v="270"/>
  </r>
  <r>
    <s v="Ord-ID-284"/>
    <x v="25"/>
    <x v="0"/>
    <x v="0"/>
    <n v="17"/>
    <n v="80"/>
    <x v="29"/>
    <n v="7.0000000000000007E-2"/>
    <x v="3"/>
    <n v="95.2"/>
  </r>
  <r>
    <s v="Ord-ID-285"/>
    <x v="25"/>
    <x v="1"/>
    <x v="4"/>
    <n v="10"/>
    <n v="40"/>
    <x v="65"/>
    <n v="0.03"/>
    <x v="4"/>
    <n v="12"/>
  </r>
  <r>
    <s v="Ord-ID-286"/>
    <x v="25"/>
    <x v="1"/>
    <x v="0"/>
    <n v="23"/>
    <n v="40"/>
    <x v="15"/>
    <n v="7.0000000000000007E-2"/>
    <x v="5"/>
    <n v="64.400000000000006"/>
  </r>
  <r>
    <s v="Ord-ID-287"/>
    <x v="25"/>
    <x v="3"/>
    <x v="1"/>
    <n v="22"/>
    <n v="16"/>
    <x v="14"/>
    <n v="0.04"/>
    <x v="6"/>
    <n v="14.08"/>
  </r>
  <r>
    <s v="Ord-ID-288"/>
    <x v="25"/>
    <x v="0"/>
    <x v="2"/>
    <n v="8"/>
    <n v="80"/>
    <x v="12"/>
    <n v="0.02"/>
    <x v="7"/>
    <n v="12.8"/>
  </r>
  <r>
    <s v="Ord-ID-289"/>
    <x v="25"/>
    <x v="3"/>
    <x v="1"/>
    <n v="4"/>
    <n v="16"/>
    <x v="50"/>
    <n v="0.09"/>
    <x v="8"/>
    <n v="5.76"/>
  </r>
  <r>
    <s v="Ord-ID-290"/>
    <x v="25"/>
    <x v="1"/>
    <x v="3"/>
    <n v="11"/>
    <n v="40"/>
    <x v="49"/>
    <n v="0.09"/>
    <x v="9"/>
    <n v="39.6"/>
  </r>
  <r>
    <s v="Ord-ID-291"/>
    <x v="25"/>
    <x v="2"/>
    <x v="2"/>
    <n v="18"/>
    <n v="230"/>
    <x v="82"/>
    <n v="0.01"/>
    <x v="10"/>
    <n v="41.4"/>
  </r>
  <r>
    <s v="Ord-ID-292"/>
    <x v="26"/>
    <x v="2"/>
    <x v="1"/>
    <n v="11"/>
    <n v="230"/>
    <x v="76"/>
    <n v="0.1"/>
    <x v="11"/>
    <n v="253"/>
  </r>
  <r>
    <s v="Ord-ID-293"/>
    <x v="26"/>
    <x v="2"/>
    <x v="0"/>
    <n v="15"/>
    <n v="230"/>
    <x v="13"/>
    <n v="0.05"/>
    <x v="0"/>
    <n v="172.5"/>
  </r>
  <r>
    <s v="Ord-ID-294"/>
    <x v="26"/>
    <x v="1"/>
    <x v="4"/>
    <n v="7"/>
    <n v="40"/>
    <x v="69"/>
    <n v="0.04"/>
    <x v="1"/>
    <n v="11.200000000000001"/>
  </r>
  <r>
    <s v="Ord-ID-295"/>
    <x v="26"/>
    <x v="4"/>
    <x v="2"/>
    <n v="20"/>
    <n v="150"/>
    <x v="8"/>
    <n v="0.12"/>
    <x v="2"/>
    <n v="360"/>
  </r>
  <r>
    <s v="Ord-ID-296"/>
    <x v="26"/>
    <x v="0"/>
    <x v="2"/>
    <n v="5"/>
    <n v="80"/>
    <x v="65"/>
    <n v="0.09"/>
    <x v="3"/>
    <n v="36"/>
  </r>
  <r>
    <s v="Ord-ID-297"/>
    <x v="26"/>
    <x v="0"/>
    <x v="3"/>
    <n v="14"/>
    <n v="80"/>
    <x v="42"/>
    <n v="0.05"/>
    <x v="4"/>
    <n v="56"/>
  </r>
  <r>
    <s v="Ord-ID-298"/>
    <x v="26"/>
    <x v="2"/>
    <x v="3"/>
    <n v="7"/>
    <n v="230"/>
    <x v="10"/>
    <n v="0.06"/>
    <x v="5"/>
    <n v="96.6"/>
  </r>
  <r>
    <s v="Ord-ID-299"/>
    <x v="26"/>
    <x v="1"/>
    <x v="3"/>
    <n v="13"/>
    <n v="40"/>
    <x v="26"/>
    <n v="0.06"/>
    <x v="6"/>
    <n v="31.2"/>
  </r>
  <r>
    <s v="Ord-ID-300"/>
    <x v="27"/>
    <x v="3"/>
    <x v="1"/>
    <n v="15"/>
    <n v="16"/>
    <x v="71"/>
    <n v="0.02"/>
    <x v="7"/>
    <n v="4.8"/>
  </r>
  <r>
    <s v="Ord-ID-301"/>
    <x v="27"/>
    <x v="3"/>
    <x v="3"/>
    <n v="5"/>
    <n v="16"/>
    <x v="64"/>
    <n v="0.09"/>
    <x v="8"/>
    <n v="7.1999999999999993"/>
  </r>
  <r>
    <s v="Ord-ID-302"/>
    <x v="27"/>
    <x v="3"/>
    <x v="0"/>
    <n v="22"/>
    <n v="16"/>
    <x v="14"/>
    <n v="0.06"/>
    <x v="9"/>
    <n v="21.119999999999997"/>
  </r>
  <r>
    <s v="Ord-ID-303"/>
    <x v="27"/>
    <x v="4"/>
    <x v="2"/>
    <n v="15"/>
    <n v="150"/>
    <x v="37"/>
    <n v="0.05"/>
    <x v="10"/>
    <n v="112.5"/>
  </r>
  <r>
    <s v="Ord-ID-304"/>
    <x v="27"/>
    <x v="2"/>
    <x v="2"/>
    <n v="5"/>
    <n v="230"/>
    <x v="61"/>
    <n v="0.01"/>
    <x v="11"/>
    <n v="11.5"/>
  </r>
  <r>
    <s v="Ord-ID-305"/>
    <x v="27"/>
    <x v="1"/>
    <x v="0"/>
    <n v="11"/>
    <n v="40"/>
    <x v="49"/>
    <n v="0.04"/>
    <x v="0"/>
    <n v="17.600000000000001"/>
  </r>
  <r>
    <s v="Ord-ID-306"/>
    <x v="27"/>
    <x v="4"/>
    <x v="1"/>
    <n v="13"/>
    <n v="150"/>
    <x v="34"/>
    <n v="0.08"/>
    <x v="1"/>
    <n v="156"/>
  </r>
  <r>
    <s v="Ord-ID-307"/>
    <x v="27"/>
    <x v="3"/>
    <x v="4"/>
    <n v="13"/>
    <n v="16"/>
    <x v="84"/>
    <n v="7.0000000000000007E-2"/>
    <x v="2"/>
    <n v="14.560000000000002"/>
  </r>
  <r>
    <s v="Ord-ID-308"/>
    <x v="27"/>
    <x v="3"/>
    <x v="4"/>
    <n v="3"/>
    <n v="16"/>
    <x v="78"/>
    <n v="0.03"/>
    <x v="3"/>
    <n v="1.44"/>
  </r>
  <r>
    <s v="Ord-ID-309"/>
    <x v="28"/>
    <x v="4"/>
    <x v="1"/>
    <n v="2"/>
    <n v="150"/>
    <x v="63"/>
    <n v="0.09"/>
    <x v="4"/>
    <n v="27"/>
  </r>
  <r>
    <s v="Ord-ID-310"/>
    <x v="28"/>
    <x v="2"/>
    <x v="2"/>
    <n v="14"/>
    <n v="230"/>
    <x v="80"/>
    <n v="0.03"/>
    <x v="5"/>
    <n v="96.6"/>
  </r>
  <r>
    <s v="Ord-ID-311"/>
    <x v="28"/>
    <x v="1"/>
    <x v="2"/>
    <n v="11"/>
    <n v="40"/>
    <x v="49"/>
    <n v="0.12"/>
    <x v="6"/>
    <n v="52.8"/>
  </r>
  <r>
    <s v="Ord-ID-312"/>
    <x v="28"/>
    <x v="3"/>
    <x v="4"/>
    <n v="3"/>
    <n v="16"/>
    <x v="78"/>
    <n v="0.06"/>
    <x v="7"/>
    <n v="2.88"/>
  </r>
  <r>
    <s v="Ord-ID-313"/>
    <x v="28"/>
    <x v="1"/>
    <x v="4"/>
    <n v="18"/>
    <n v="40"/>
    <x v="11"/>
    <n v="0.06"/>
    <x v="8"/>
    <n v="43.199999999999996"/>
  </r>
  <r>
    <s v="Ord-ID-314"/>
    <x v="28"/>
    <x v="2"/>
    <x v="4"/>
    <n v="7"/>
    <n v="230"/>
    <x v="10"/>
    <n v="0.05"/>
    <x v="9"/>
    <n v="80.5"/>
  </r>
  <r>
    <s v="Ord-ID-315"/>
    <x v="28"/>
    <x v="1"/>
    <x v="4"/>
    <n v="23"/>
    <n v="40"/>
    <x v="15"/>
    <n v="0.05"/>
    <x v="10"/>
    <n v="46"/>
  </r>
  <r>
    <s v="Ord-ID-316"/>
    <x v="29"/>
    <x v="2"/>
    <x v="4"/>
    <n v="2"/>
    <n v="230"/>
    <x v="56"/>
    <n v="0.08"/>
    <x v="11"/>
    <n v="36.800000000000004"/>
  </r>
  <r>
    <s v="Ord-ID-317"/>
    <x v="29"/>
    <x v="1"/>
    <x v="3"/>
    <n v="18"/>
    <n v="40"/>
    <x v="11"/>
    <n v="0.04"/>
    <x v="0"/>
    <n v="28.8"/>
  </r>
  <r>
    <s v="Ord-ID-318"/>
    <x v="29"/>
    <x v="2"/>
    <x v="1"/>
    <n v="7"/>
    <n v="230"/>
    <x v="10"/>
    <n v="0.05"/>
    <x v="1"/>
    <n v="80.5"/>
  </r>
  <r>
    <s v="Ord-ID-319"/>
    <x v="29"/>
    <x v="1"/>
    <x v="4"/>
    <n v="14"/>
    <n v="40"/>
    <x v="1"/>
    <n v="0.11"/>
    <x v="2"/>
    <n v="61.6"/>
  </r>
  <r>
    <s v="Ord-ID-320"/>
    <x v="29"/>
    <x v="4"/>
    <x v="1"/>
    <n v="13"/>
    <n v="150"/>
    <x v="34"/>
    <n v="0.02"/>
    <x v="3"/>
    <n v="39"/>
  </r>
  <r>
    <s v="Ord-ID-321"/>
    <x v="29"/>
    <x v="0"/>
    <x v="0"/>
    <n v="12"/>
    <n v="80"/>
    <x v="85"/>
    <n v="0.04"/>
    <x v="4"/>
    <n v="38.4"/>
  </r>
  <r>
    <s v="Ord-ID-322"/>
    <x v="29"/>
    <x v="2"/>
    <x v="4"/>
    <n v="20"/>
    <n v="230"/>
    <x v="36"/>
    <n v="0.09"/>
    <x v="5"/>
    <n v="414"/>
  </r>
  <r>
    <s v="Ord-ID-323"/>
    <x v="29"/>
    <x v="1"/>
    <x v="4"/>
    <n v="5"/>
    <n v="40"/>
    <x v="70"/>
    <n v="0.03"/>
    <x v="6"/>
    <n v="6"/>
  </r>
  <r>
    <s v="Ord-ID-324"/>
    <x v="29"/>
    <x v="3"/>
    <x v="4"/>
    <n v="2"/>
    <n v="16"/>
    <x v="86"/>
    <n v="0.04"/>
    <x v="7"/>
    <n v="1.28"/>
  </r>
  <r>
    <s v="Ord-ID-325"/>
    <x v="0"/>
    <x v="0"/>
    <x v="2"/>
    <n v="10"/>
    <n v="80"/>
    <x v="20"/>
    <n v="0.08"/>
    <x v="8"/>
    <n v="64"/>
  </r>
  <r>
    <s v="Ord-ID-326"/>
    <x v="0"/>
    <x v="1"/>
    <x v="3"/>
    <n v="18"/>
    <n v="40"/>
    <x v="11"/>
    <n v="0.06"/>
    <x v="9"/>
    <n v="43.199999999999996"/>
  </r>
  <r>
    <s v="Ord-ID-327"/>
    <x v="0"/>
    <x v="2"/>
    <x v="1"/>
    <n v="7"/>
    <n v="230"/>
    <x v="10"/>
    <n v="0.08"/>
    <x v="10"/>
    <n v="128.80000000000001"/>
  </r>
  <r>
    <s v="Ord-ID-328"/>
    <x v="0"/>
    <x v="1"/>
    <x v="3"/>
    <n v="15"/>
    <n v="40"/>
    <x v="39"/>
    <n v="0.03"/>
    <x v="11"/>
    <n v="18"/>
  </r>
  <r>
    <s v="Ord-ID-329"/>
    <x v="0"/>
    <x v="3"/>
    <x v="2"/>
    <n v="6"/>
    <n v="16"/>
    <x v="67"/>
    <n v="0.01"/>
    <x v="0"/>
    <n v="0.96"/>
  </r>
  <r>
    <s v="Ord-ID-330"/>
    <x v="0"/>
    <x v="4"/>
    <x v="3"/>
    <n v="9"/>
    <n v="150"/>
    <x v="46"/>
    <n v="0.02"/>
    <x v="1"/>
    <n v="27"/>
  </r>
  <r>
    <s v="Ord-ID-331"/>
    <x v="0"/>
    <x v="3"/>
    <x v="4"/>
    <n v="15"/>
    <n v="16"/>
    <x v="71"/>
    <n v="0.01"/>
    <x v="2"/>
    <n v="2.4"/>
  </r>
  <r>
    <s v="Ord-ID-332"/>
    <x v="0"/>
    <x v="0"/>
    <x v="4"/>
    <n v="22"/>
    <n v="80"/>
    <x v="24"/>
    <n v="0.11"/>
    <x v="3"/>
    <n v="193.6"/>
  </r>
  <r>
    <s v="Ord-ID-333"/>
    <x v="0"/>
    <x v="4"/>
    <x v="1"/>
    <n v="13"/>
    <n v="150"/>
    <x v="34"/>
    <n v="0.02"/>
    <x v="4"/>
    <n v="39"/>
  </r>
  <r>
    <s v="Ord-ID-334"/>
    <x v="1"/>
    <x v="3"/>
    <x v="2"/>
    <n v="12"/>
    <n v="16"/>
    <x v="21"/>
    <n v="0.03"/>
    <x v="5"/>
    <n v="5.76"/>
  </r>
  <r>
    <s v="Ord-ID-335"/>
    <x v="1"/>
    <x v="1"/>
    <x v="3"/>
    <n v="4"/>
    <n v="40"/>
    <x v="31"/>
    <n v="0.05"/>
    <x v="6"/>
    <n v="8"/>
  </r>
  <r>
    <s v="Ord-ID-336"/>
    <x v="1"/>
    <x v="2"/>
    <x v="1"/>
    <n v="19"/>
    <n v="230"/>
    <x v="30"/>
    <n v="0.11"/>
    <x v="7"/>
    <n v="480.7"/>
  </r>
  <r>
    <s v="Ord-ID-337"/>
    <x v="1"/>
    <x v="1"/>
    <x v="1"/>
    <n v="4"/>
    <n v="40"/>
    <x v="31"/>
    <n v="0.06"/>
    <x v="8"/>
    <n v="9.6"/>
  </r>
  <r>
    <s v="Ord-ID-338"/>
    <x v="1"/>
    <x v="3"/>
    <x v="2"/>
    <n v="6"/>
    <n v="16"/>
    <x v="67"/>
    <n v="7.0000000000000007E-2"/>
    <x v="9"/>
    <n v="6.7200000000000006"/>
  </r>
  <r>
    <s v="Ord-ID-339"/>
    <x v="1"/>
    <x v="2"/>
    <x v="2"/>
    <n v="15"/>
    <n v="230"/>
    <x v="13"/>
    <n v="0.11"/>
    <x v="10"/>
    <n v="379.5"/>
  </r>
  <r>
    <s v="Ord-ID-340"/>
    <x v="1"/>
    <x v="0"/>
    <x v="2"/>
    <n v="16"/>
    <n v="80"/>
    <x v="19"/>
    <n v="0.04"/>
    <x v="11"/>
    <n v="51.2"/>
  </r>
  <r>
    <s v="Ord-ID-341"/>
    <x v="1"/>
    <x v="1"/>
    <x v="0"/>
    <n v="7"/>
    <n v="40"/>
    <x v="69"/>
    <n v="0.1"/>
    <x v="0"/>
    <n v="28"/>
  </r>
  <r>
    <s v="Ord-ID-342"/>
    <x v="1"/>
    <x v="1"/>
    <x v="2"/>
    <n v="11"/>
    <n v="40"/>
    <x v="49"/>
    <n v="0.05"/>
    <x v="1"/>
    <n v="22"/>
  </r>
  <r>
    <s v="Ord-ID-343"/>
    <x v="1"/>
    <x v="0"/>
    <x v="4"/>
    <n v="9"/>
    <n v="80"/>
    <x v="11"/>
    <n v="0.06"/>
    <x v="2"/>
    <n v="43.199999999999996"/>
  </r>
  <r>
    <s v="Ord-ID-344"/>
    <x v="1"/>
    <x v="0"/>
    <x v="1"/>
    <n v="21"/>
    <n v="80"/>
    <x v="40"/>
    <n v="0.04"/>
    <x v="3"/>
    <n v="67.2"/>
  </r>
  <r>
    <s v="Ord-ID-345"/>
    <x v="1"/>
    <x v="1"/>
    <x v="2"/>
    <n v="2"/>
    <n v="40"/>
    <x v="64"/>
    <n v="0.03"/>
    <x v="4"/>
    <n v="2.4"/>
  </r>
  <r>
    <s v="Ord-ID-346"/>
    <x v="2"/>
    <x v="3"/>
    <x v="2"/>
    <n v="17"/>
    <n v="16"/>
    <x v="6"/>
    <n v="0.05"/>
    <x v="5"/>
    <n v="13.600000000000001"/>
  </r>
  <r>
    <s v="Ord-ID-347"/>
    <x v="2"/>
    <x v="1"/>
    <x v="0"/>
    <n v="18"/>
    <n v="40"/>
    <x v="11"/>
    <n v="0.06"/>
    <x v="6"/>
    <n v="43.199999999999996"/>
  </r>
  <r>
    <s v="Ord-ID-348"/>
    <x v="2"/>
    <x v="1"/>
    <x v="0"/>
    <n v="9"/>
    <n v="40"/>
    <x v="18"/>
    <n v="0.01"/>
    <x v="7"/>
    <n v="3.6"/>
  </r>
  <r>
    <s v="Ord-ID-349"/>
    <x v="2"/>
    <x v="1"/>
    <x v="1"/>
    <n v="7"/>
    <n v="40"/>
    <x v="69"/>
    <n v="0.01"/>
    <x v="8"/>
    <n v="2.8000000000000003"/>
  </r>
  <r>
    <s v="Ord-ID-350"/>
    <x v="2"/>
    <x v="2"/>
    <x v="2"/>
    <n v="12"/>
    <n v="230"/>
    <x v="4"/>
    <n v="0.06"/>
    <x v="9"/>
    <n v="165.6"/>
  </r>
  <r>
    <s v="Ord-ID-351"/>
    <x v="2"/>
    <x v="3"/>
    <x v="1"/>
    <n v="22"/>
    <n v="16"/>
    <x v="14"/>
    <n v="0.04"/>
    <x v="0"/>
    <n v="14.08"/>
  </r>
  <r>
    <s v="Ord-ID-352"/>
    <x v="3"/>
    <x v="4"/>
    <x v="0"/>
    <n v="5"/>
    <n v="150"/>
    <x v="43"/>
    <n v="0.11"/>
    <x v="1"/>
    <n v="82.5"/>
  </r>
  <r>
    <s v="Ord-ID-353"/>
    <x v="3"/>
    <x v="0"/>
    <x v="1"/>
    <n v="14"/>
    <n v="80"/>
    <x v="42"/>
    <n v="0.11"/>
    <x v="2"/>
    <n v="123.2"/>
  </r>
  <r>
    <s v="Ord-ID-354"/>
    <x v="3"/>
    <x v="3"/>
    <x v="2"/>
    <n v="8"/>
    <n v="16"/>
    <x v="48"/>
    <n v="0.03"/>
    <x v="3"/>
    <n v="3.84"/>
  </r>
  <r>
    <s v="Ord-ID-355"/>
    <x v="3"/>
    <x v="2"/>
    <x v="2"/>
    <n v="6"/>
    <n v="230"/>
    <x v="38"/>
    <n v="0.05"/>
    <x v="4"/>
    <n v="69"/>
  </r>
  <r>
    <s v="Ord-ID-356"/>
    <x v="3"/>
    <x v="3"/>
    <x v="3"/>
    <n v="7"/>
    <n v="16"/>
    <x v="25"/>
    <n v="0.08"/>
    <x v="5"/>
    <n v="8.9600000000000009"/>
  </r>
  <r>
    <s v="Ord-ID-357"/>
    <x v="3"/>
    <x v="0"/>
    <x v="1"/>
    <n v="16"/>
    <n v="80"/>
    <x v="19"/>
    <n v="0.04"/>
    <x v="6"/>
    <n v="51.2"/>
  </r>
  <r>
    <s v="Ord-ID-358"/>
    <x v="3"/>
    <x v="4"/>
    <x v="0"/>
    <n v="17"/>
    <n v="150"/>
    <x v="55"/>
    <n v="0.12"/>
    <x v="7"/>
    <n v="306"/>
  </r>
  <r>
    <s v="Ord-ID-359"/>
    <x v="3"/>
    <x v="3"/>
    <x v="1"/>
    <n v="7"/>
    <n v="16"/>
    <x v="25"/>
    <n v="0.08"/>
    <x v="8"/>
    <n v="8.9600000000000009"/>
  </r>
  <r>
    <s v="Ord-ID-360"/>
    <x v="4"/>
    <x v="3"/>
    <x v="0"/>
    <n v="21"/>
    <n v="16"/>
    <x v="9"/>
    <n v="0.09"/>
    <x v="9"/>
    <n v="30.24"/>
  </r>
  <r>
    <s v="Ord-ID-361"/>
    <x v="4"/>
    <x v="3"/>
    <x v="2"/>
    <n v="23"/>
    <n v="16"/>
    <x v="35"/>
    <n v="0.11"/>
    <x v="10"/>
    <n v="40.479999999999997"/>
  </r>
  <r>
    <s v="Ord-ID-362"/>
    <x v="4"/>
    <x v="4"/>
    <x v="2"/>
    <n v="2"/>
    <n v="150"/>
    <x v="63"/>
    <n v="0.02"/>
    <x v="11"/>
    <n v="6"/>
  </r>
  <r>
    <s v="Ord-ID-363"/>
    <x v="4"/>
    <x v="4"/>
    <x v="0"/>
    <n v="22"/>
    <n v="150"/>
    <x v="41"/>
    <n v="7.0000000000000007E-2"/>
    <x v="0"/>
    <n v="231.00000000000003"/>
  </r>
  <r>
    <s v="Ord-ID-364"/>
    <x v="4"/>
    <x v="1"/>
    <x v="3"/>
    <n v="22"/>
    <n v="40"/>
    <x v="17"/>
    <n v="0.01"/>
    <x v="1"/>
    <n v="8.8000000000000007"/>
  </r>
  <r>
    <s v="Ord-ID-365"/>
    <x v="4"/>
    <x v="0"/>
    <x v="1"/>
    <n v="10"/>
    <n v="80"/>
    <x v="20"/>
    <n v="0.11"/>
    <x v="2"/>
    <n v="88"/>
  </r>
  <r>
    <s v="Ord-ID-366"/>
    <x v="4"/>
    <x v="0"/>
    <x v="4"/>
    <n v="13"/>
    <n v="80"/>
    <x v="73"/>
    <n v="0.05"/>
    <x v="3"/>
    <n v="52"/>
  </r>
  <r>
    <s v="Ord-ID-367"/>
    <x v="4"/>
    <x v="2"/>
    <x v="3"/>
    <n v="11"/>
    <n v="230"/>
    <x v="76"/>
    <n v="0.12"/>
    <x v="4"/>
    <n v="303.59999999999997"/>
  </r>
  <r>
    <s v="Ord-ID-368"/>
    <x v="4"/>
    <x v="2"/>
    <x v="0"/>
    <n v="9"/>
    <n v="230"/>
    <x v="68"/>
    <n v="7.0000000000000007E-2"/>
    <x v="5"/>
    <n v="144.9"/>
  </r>
  <r>
    <s v="Ord-ID-369"/>
    <x v="4"/>
    <x v="2"/>
    <x v="3"/>
    <n v="16"/>
    <n v="230"/>
    <x v="81"/>
    <n v="0.11"/>
    <x v="6"/>
    <n v="404.8"/>
  </r>
  <r>
    <s v="Ord-ID-370"/>
    <x v="4"/>
    <x v="2"/>
    <x v="3"/>
    <n v="18"/>
    <n v="230"/>
    <x v="82"/>
    <n v="0.01"/>
    <x v="7"/>
    <n v="41.4"/>
  </r>
  <r>
    <s v="Ord-ID-371"/>
    <x v="4"/>
    <x v="3"/>
    <x v="1"/>
    <n v="15"/>
    <n v="16"/>
    <x v="71"/>
    <n v="0.02"/>
    <x v="8"/>
    <n v="4.8"/>
  </r>
  <r>
    <s v="Ord-ID-372"/>
    <x v="4"/>
    <x v="1"/>
    <x v="4"/>
    <n v="18"/>
    <n v="40"/>
    <x v="11"/>
    <n v="0.06"/>
    <x v="9"/>
    <n v="43.199999999999996"/>
  </r>
  <r>
    <s v="Ord-ID-373"/>
    <x v="4"/>
    <x v="1"/>
    <x v="3"/>
    <n v="18"/>
    <n v="40"/>
    <x v="11"/>
    <n v="0.04"/>
    <x v="10"/>
    <n v="28.8"/>
  </r>
  <r>
    <s v="Ord-ID-374"/>
    <x v="4"/>
    <x v="3"/>
    <x v="3"/>
    <n v="22"/>
    <n v="16"/>
    <x v="14"/>
    <n v="0.03"/>
    <x v="11"/>
    <n v="10.559999999999999"/>
  </r>
  <r>
    <s v="Ord-ID-375"/>
    <x v="4"/>
    <x v="3"/>
    <x v="2"/>
    <n v="12"/>
    <n v="16"/>
    <x v="21"/>
    <n v="0.11"/>
    <x v="0"/>
    <n v="21.12"/>
  </r>
  <r>
    <s v="Ord-ID-376"/>
    <x v="5"/>
    <x v="0"/>
    <x v="0"/>
    <n v="20"/>
    <n v="80"/>
    <x v="16"/>
    <n v="0.01"/>
    <x v="1"/>
    <n v="16"/>
  </r>
  <r>
    <s v="Ord-ID-377"/>
    <x v="5"/>
    <x v="2"/>
    <x v="2"/>
    <n v="10"/>
    <n v="230"/>
    <x v="51"/>
    <n v="0.02"/>
    <x v="2"/>
    <n v="46"/>
  </r>
  <r>
    <s v="Ord-ID-378"/>
    <x v="5"/>
    <x v="2"/>
    <x v="1"/>
    <n v="9"/>
    <n v="230"/>
    <x v="68"/>
    <n v="0.03"/>
    <x v="3"/>
    <n v="62.099999999999994"/>
  </r>
  <r>
    <s v="Ord-ID-379"/>
    <x v="5"/>
    <x v="0"/>
    <x v="1"/>
    <n v="17"/>
    <n v="80"/>
    <x v="29"/>
    <n v="0.03"/>
    <x v="4"/>
    <n v="40.799999999999997"/>
  </r>
  <r>
    <s v="Ord-ID-380"/>
    <x v="5"/>
    <x v="1"/>
    <x v="4"/>
    <n v="4"/>
    <n v="40"/>
    <x v="31"/>
    <n v="0.09"/>
    <x v="5"/>
    <n v="14.399999999999999"/>
  </r>
  <r>
    <s v="Ord-ID-381"/>
    <x v="5"/>
    <x v="4"/>
    <x v="1"/>
    <n v="16"/>
    <n v="150"/>
    <x v="28"/>
    <n v="0.03"/>
    <x v="6"/>
    <n v="72"/>
  </r>
  <r>
    <s v="Ord-ID-382"/>
    <x v="5"/>
    <x v="0"/>
    <x v="2"/>
    <n v="8"/>
    <n v="80"/>
    <x v="12"/>
    <n v="0.02"/>
    <x v="7"/>
    <n v="12.8"/>
  </r>
  <r>
    <s v="Ord-ID-383"/>
    <x v="5"/>
    <x v="1"/>
    <x v="3"/>
    <n v="23"/>
    <n v="40"/>
    <x v="15"/>
    <n v="0.06"/>
    <x v="8"/>
    <n v="55.199999999999996"/>
  </r>
  <r>
    <s v="Ord-ID-384"/>
    <x v="6"/>
    <x v="4"/>
    <x v="3"/>
    <n v="20"/>
    <n v="150"/>
    <x v="8"/>
    <n v="0.1"/>
    <x v="9"/>
    <n v="300"/>
  </r>
  <r>
    <s v="Ord-ID-385"/>
    <x v="6"/>
    <x v="2"/>
    <x v="4"/>
    <n v="22"/>
    <n v="230"/>
    <x v="2"/>
    <n v="0.1"/>
    <x v="10"/>
    <n v="506"/>
  </r>
  <r>
    <s v="Ord-ID-386"/>
    <x v="6"/>
    <x v="2"/>
    <x v="1"/>
    <n v="6"/>
    <n v="230"/>
    <x v="38"/>
    <n v="0.1"/>
    <x v="11"/>
    <n v="138"/>
  </r>
  <r>
    <s v="Ord-ID-387"/>
    <x v="6"/>
    <x v="0"/>
    <x v="3"/>
    <n v="10"/>
    <n v="80"/>
    <x v="20"/>
    <n v="0.1"/>
    <x v="0"/>
    <n v="80"/>
  </r>
  <r>
    <s v="Ord-ID-388"/>
    <x v="6"/>
    <x v="2"/>
    <x v="4"/>
    <n v="21"/>
    <n v="230"/>
    <x v="58"/>
    <n v="0.05"/>
    <x v="1"/>
    <n v="241.5"/>
  </r>
  <r>
    <s v="Ord-ID-389"/>
    <x v="6"/>
    <x v="2"/>
    <x v="0"/>
    <n v="20"/>
    <n v="230"/>
    <x v="36"/>
    <n v="0.04"/>
    <x v="2"/>
    <n v="184"/>
  </r>
  <r>
    <s v="Ord-ID-390"/>
    <x v="6"/>
    <x v="0"/>
    <x v="2"/>
    <n v="20"/>
    <n v="80"/>
    <x v="16"/>
    <n v="7.0000000000000007E-2"/>
    <x v="3"/>
    <n v="112.00000000000001"/>
  </r>
  <r>
    <s v="Ord-ID-391"/>
    <x v="6"/>
    <x v="0"/>
    <x v="2"/>
    <n v="7"/>
    <n v="80"/>
    <x v="1"/>
    <n v="0.05"/>
    <x v="4"/>
    <n v="28"/>
  </r>
  <r>
    <s v="Ord-ID-392"/>
    <x v="6"/>
    <x v="0"/>
    <x v="0"/>
    <n v="8"/>
    <n v="80"/>
    <x v="12"/>
    <n v="0.09"/>
    <x v="5"/>
    <n v="57.599999999999994"/>
  </r>
  <r>
    <s v="Ord-ID-393"/>
    <x v="6"/>
    <x v="0"/>
    <x v="1"/>
    <n v="3"/>
    <n v="80"/>
    <x v="71"/>
    <n v="0.02"/>
    <x v="6"/>
    <n v="4.8"/>
  </r>
  <r>
    <s v="Ord-ID-394"/>
    <x v="6"/>
    <x v="0"/>
    <x v="3"/>
    <n v="8"/>
    <n v="80"/>
    <x v="12"/>
    <n v="0.06"/>
    <x v="7"/>
    <n v="38.4"/>
  </r>
  <r>
    <s v="Ord-ID-395"/>
    <x v="6"/>
    <x v="4"/>
    <x v="4"/>
    <n v="13"/>
    <n v="150"/>
    <x v="34"/>
    <n v="0.11"/>
    <x v="8"/>
    <n v="214.5"/>
  </r>
  <r>
    <s v="Ord-ID-396"/>
    <x v="6"/>
    <x v="0"/>
    <x v="3"/>
    <n v="15"/>
    <n v="80"/>
    <x v="74"/>
    <n v="0.08"/>
    <x v="9"/>
    <n v="96"/>
  </r>
  <r>
    <s v="Ord-ID-397"/>
    <x v="6"/>
    <x v="4"/>
    <x v="4"/>
    <n v="7"/>
    <n v="150"/>
    <x v="7"/>
    <n v="0.02"/>
    <x v="10"/>
    <n v="21"/>
  </r>
  <r>
    <s v="Ord-ID-398"/>
    <x v="6"/>
    <x v="1"/>
    <x v="2"/>
    <n v="6"/>
    <n v="40"/>
    <x v="71"/>
    <n v="0.06"/>
    <x v="11"/>
    <n v="14.399999999999999"/>
  </r>
  <r>
    <s v="Ord-ID-399"/>
    <x v="6"/>
    <x v="0"/>
    <x v="3"/>
    <n v="23"/>
    <n v="80"/>
    <x v="3"/>
    <n v="0.11"/>
    <x v="0"/>
    <n v="202.4"/>
  </r>
  <r>
    <s v="Ord-ID-400"/>
    <x v="6"/>
    <x v="2"/>
    <x v="2"/>
    <n v="18"/>
    <n v="230"/>
    <x v="82"/>
    <n v="0.01"/>
    <x v="1"/>
    <n v="41.4"/>
  </r>
  <r>
    <s v="Ord-ID-401"/>
    <x v="7"/>
    <x v="0"/>
    <x v="4"/>
    <n v="21"/>
    <n v="80"/>
    <x v="40"/>
    <n v="0.09"/>
    <x v="2"/>
    <n v="151.19999999999999"/>
  </r>
  <r>
    <s v="Ord-ID-402"/>
    <x v="7"/>
    <x v="1"/>
    <x v="2"/>
    <n v="13"/>
    <n v="40"/>
    <x v="26"/>
    <n v="0.02"/>
    <x v="3"/>
    <n v="10.4"/>
  </r>
  <r>
    <s v="Ord-ID-403"/>
    <x v="7"/>
    <x v="0"/>
    <x v="2"/>
    <n v="23"/>
    <n v="80"/>
    <x v="3"/>
    <n v="0.05"/>
    <x v="4"/>
    <n v="92"/>
  </r>
  <r>
    <s v="Ord-ID-404"/>
    <x v="7"/>
    <x v="4"/>
    <x v="3"/>
    <n v="15"/>
    <n v="150"/>
    <x v="37"/>
    <n v="0.05"/>
    <x v="5"/>
    <n v="112.5"/>
  </r>
  <r>
    <s v="Ord-ID-405"/>
    <x v="7"/>
    <x v="1"/>
    <x v="0"/>
    <n v="5"/>
    <n v="40"/>
    <x v="70"/>
    <n v="0.09"/>
    <x v="6"/>
    <n v="18"/>
  </r>
  <r>
    <s v="Ord-ID-406"/>
    <x v="7"/>
    <x v="3"/>
    <x v="3"/>
    <n v="10"/>
    <n v="16"/>
    <x v="31"/>
    <n v="0.01"/>
    <x v="7"/>
    <n v="1.6"/>
  </r>
  <r>
    <s v="Ord-ID-407"/>
    <x v="7"/>
    <x v="2"/>
    <x v="2"/>
    <n v="2"/>
    <n v="230"/>
    <x v="56"/>
    <n v="0.09"/>
    <x v="8"/>
    <n v="41.4"/>
  </r>
  <r>
    <s v="Ord-ID-408"/>
    <x v="7"/>
    <x v="0"/>
    <x v="3"/>
    <n v="7"/>
    <n v="80"/>
    <x v="1"/>
    <n v="0.02"/>
    <x v="9"/>
    <n v="11.200000000000001"/>
  </r>
  <r>
    <s v="Ord-ID-409"/>
    <x v="7"/>
    <x v="4"/>
    <x v="3"/>
    <n v="22"/>
    <n v="150"/>
    <x v="41"/>
    <n v="0.05"/>
    <x v="10"/>
    <n v="165"/>
  </r>
  <r>
    <s v="Ord-ID-410"/>
    <x v="7"/>
    <x v="1"/>
    <x v="4"/>
    <n v="17"/>
    <n v="40"/>
    <x v="83"/>
    <n v="0.02"/>
    <x v="11"/>
    <n v="13.6"/>
  </r>
  <r>
    <s v="Ord-ID-411"/>
    <x v="7"/>
    <x v="3"/>
    <x v="0"/>
    <n v="22"/>
    <n v="16"/>
    <x v="14"/>
    <n v="0.06"/>
    <x v="0"/>
    <n v="21.119999999999997"/>
  </r>
  <r>
    <s v="Ord-ID-412"/>
    <x v="7"/>
    <x v="3"/>
    <x v="4"/>
    <n v="3"/>
    <n v="16"/>
    <x v="78"/>
    <n v="0.03"/>
    <x v="1"/>
    <n v="1.44"/>
  </r>
  <r>
    <s v="Ord-ID-413"/>
    <x v="7"/>
    <x v="2"/>
    <x v="4"/>
    <n v="2"/>
    <n v="230"/>
    <x v="56"/>
    <n v="0.08"/>
    <x v="2"/>
    <n v="36.800000000000004"/>
  </r>
  <r>
    <s v="Ord-ID-414"/>
    <x v="7"/>
    <x v="3"/>
    <x v="0"/>
    <n v="21"/>
    <n v="16"/>
    <x v="9"/>
    <n v="0.09"/>
    <x v="3"/>
    <n v="30.24"/>
  </r>
  <r>
    <s v="Ord-ID-415"/>
    <x v="7"/>
    <x v="0"/>
    <x v="3"/>
    <n v="7"/>
    <n v="80"/>
    <x v="1"/>
    <n v="7.0000000000000007E-2"/>
    <x v="4"/>
    <n v="39.200000000000003"/>
  </r>
  <r>
    <s v="Ord-ID-416"/>
    <x v="7"/>
    <x v="4"/>
    <x v="1"/>
    <n v="23"/>
    <n v="150"/>
    <x v="13"/>
    <n v="0.11"/>
    <x v="5"/>
    <n v="379.5"/>
  </r>
  <r>
    <s v="Ord-ID-417"/>
    <x v="8"/>
    <x v="4"/>
    <x v="0"/>
    <n v="11"/>
    <n v="150"/>
    <x v="45"/>
    <n v="0.05"/>
    <x v="6"/>
    <n v="82.5"/>
  </r>
  <r>
    <s v="Ord-ID-418"/>
    <x v="8"/>
    <x v="0"/>
    <x v="4"/>
    <n v="16"/>
    <n v="80"/>
    <x v="19"/>
    <n v="0.05"/>
    <x v="7"/>
    <n v="64"/>
  </r>
  <r>
    <s v="Ord-ID-419"/>
    <x v="8"/>
    <x v="2"/>
    <x v="2"/>
    <n v="5"/>
    <n v="230"/>
    <x v="61"/>
    <n v="0.1"/>
    <x v="8"/>
    <n v="115"/>
  </r>
  <r>
    <s v="Ord-ID-420"/>
    <x v="8"/>
    <x v="3"/>
    <x v="0"/>
    <n v="22"/>
    <n v="16"/>
    <x v="14"/>
    <n v="0.01"/>
    <x v="9"/>
    <n v="3.52"/>
  </r>
  <r>
    <s v="Ord-ID-421"/>
    <x v="8"/>
    <x v="1"/>
    <x v="4"/>
    <n v="7"/>
    <n v="40"/>
    <x v="69"/>
    <n v="0.12"/>
    <x v="0"/>
    <n v="33.6"/>
  </r>
  <r>
    <s v="Ord-ID-422"/>
    <x v="8"/>
    <x v="0"/>
    <x v="1"/>
    <n v="2"/>
    <n v="80"/>
    <x v="31"/>
    <n v="0.04"/>
    <x v="1"/>
    <n v="6.4"/>
  </r>
  <r>
    <s v="Ord-ID-423"/>
    <x v="8"/>
    <x v="1"/>
    <x v="3"/>
    <n v="6"/>
    <n v="40"/>
    <x v="71"/>
    <n v="7.0000000000000007E-2"/>
    <x v="2"/>
    <n v="16.8"/>
  </r>
  <r>
    <s v="Ord-ID-424"/>
    <x v="8"/>
    <x v="0"/>
    <x v="2"/>
    <n v="6"/>
    <n v="80"/>
    <x v="0"/>
    <n v="0.01"/>
    <x v="3"/>
    <n v="4.8"/>
  </r>
  <r>
    <s v="Ord-ID-425"/>
    <x v="8"/>
    <x v="3"/>
    <x v="1"/>
    <n v="22"/>
    <n v="16"/>
    <x v="14"/>
    <n v="0.01"/>
    <x v="4"/>
    <n v="3.52"/>
  </r>
  <r>
    <s v="Ord-ID-426"/>
    <x v="8"/>
    <x v="2"/>
    <x v="3"/>
    <n v="7"/>
    <n v="230"/>
    <x v="10"/>
    <n v="0.06"/>
    <x v="5"/>
    <n v="96.6"/>
  </r>
  <r>
    <s v="Ord-ID-427"/>
    <x v="9"/>
    <x v="3"/>
    <x v="3"/>
    <n v="22"/>
    <n v="16"/>
    <x v="14"/>
    <n v="0.03"/>
    <x v="6"/>
    <n v="10.559999999999999"/>
  </r>
  <r>
    <s v="Ord-ID-428"/>
    <x v="9"/>
    <x v="1"/>
    <x v="4"/>
    <n v="20"/>
    <n v="40"/>
    <x v="20"/>
    <n v="0.05"/>
    <x v="7"/>
    <n v="40"/>
  </r>
  <r>
    <s v="Ord-ID-429"/>
    <x v="9"/>
    <x v="1"/>
    <x v="1"/>
    <n v="19"/>
    <n v="40"/>
    <x v="52"/>
    <n v="0.1"/>
    <x v="8"/>
    <n v="76"/>
  </r>
  <r>
    <s v="Ord-ID-430"/>
    <x v="9"/>
    <x v="3"/>
    <x v="0"/>
    <n v="18"/>
    <n v="16"/>
    <x v="53"/>
    <n v="0.05"/>
    <x v="9"/>
    <n v="14.4"/>
  </r>
  <r>
    <s v="Ord-ID-431"/>
    <x v="9"/>
    <x v="1"/>
    <x v="2"/>
    <n v="2"/>
    <n v="40"/>
    <x v="64"/>
    <n v="0.02"/>
    <x v="10"/>
    <n v="1.6"/>
  </r>
  <r>
    <s v="Ord-ID-432"/>
    <x v="9"/>
    <x v="1"/>
    <x v="3"/>
    <n v="7"/>
    <n v="40"/>
    <x v="69"/>
    <n v="7.0000000000000007E-2"/>
    <x v="11"/>
    <n v="19.600000000000001"/>
  </r>
  <r>
    <s v="Ord-ID-433"/>
    <x v="9"/>
    <x v="4"/>
    <x v="2"/>
    <n v="11"/>
    <n v="150"/>
    <x v="45"/>
    <n v="0.05"/>
    <x v="0"/>
    <n v="82.5"/>
  </r>
  <r>
    <s v="Ord-ID-434"/>
    <x v="9"/>
    <x v="0"/>
    <x v="1"/>
    <n v="14"/>
    <n v="80"/>
    <x v="42"/>
    <n v="0.11"/>
    <x v="1"/>
    <n v="123.2"/>
  </r>
  <r>
    <s v="Ord-ID-435"/>
    <x v="9"/>
    <x v="1"/>
    <x v="4"/>
    <n v="7"/>
    <n v="40"/>
    <x v="69"/>
    <n v="0.04"/>
    <x v="2"/>
    <n v="11.200000000000001"/>
  </r>
  <r>
    <s v="Ord-ID-436"/>
    <x v="9"/>
    <x v="0"/>
    <x v="3"/>
    <n v="14"/>
    <n v="80"/>
    <x v="42"/>
    <n v="0.05"/>
    <x v="3"/>
    <n v="56"/>
  </r>
  <r>
    <s v="Ord-ID-437"/>
    <x v="10"/>
    <x v="3"/>
    <x v="2"/>
    <n v="12"/>
    <n v="16"/>
    <x v="21"/>
    <n v="0.11"/>
    <x v="4"/>
    <n v="21.12"/>
  </r>
  <r>
    <s v="Ord-ID-438"/>
    <x v="10"/>
    <x v="1"/>
    <x v="4"/>
    <n v="11"/>
    <n v="40"/>
    <x v="49"/>
    <n v="0.05"/>
    <x v="5"/>
    <n v="22"/>
  </r>
  <r>
    <s v="Ord-ID-439"/>
    <x v="10"/>
    <x v="3"/>
    <x v="2"/>
    <n v="14"/>
    <n v="16"/>
    <x v="27"/>
    <n v="0.01"/>
    <x v="6"/>
    <n v="2.2400000000000002"/>
  </r>
  <r>
    <s v="Ord-ID-440"/>
    <x v="10"/>
    <x v="2"/>
    <x v="3"/>
    <n v="2"/>
    <n v="230"/>
    <x v="56"/>
    <n v="0.08"/>
    <x v="7"/>
    <n v="36.800000000000004"/>
  </r>
  <r>
    <s v="Ord-ID-441"/>
    <x v="10"/>
    <x v="3"/>
    <x v="0"/>
    <n v="20"/>
    <n v="16"/>
    <x v="60"/>
    <n v="0.11"/>
    <x v="8"/>
    <n v="35.200000000000003"/>
  </r>
  <r>
    <s v="Ord-ID-442"/>
    <x v="10"/>
    <x v="3"/>
    <x v="2"/>
    <n v="6"/>
    <n v="16"/>
    <x v="67"/>
    <n v="0.06"/>
    <x v="9"/>
    <n v="5.76"/>
  </r>
  <r>
    <s v="Ord-ID-443"/>
    <x v="10"/>
    <x v="0"/>
    <x v="3"/>
    <n v="17"/>
    <n v="80"/>
    <x v="29"/>
    <n v="0.05"/>
    <x v="10"/>
    <n v="68"/>
  </r>
  <r>
    <s v="Ord-ID-444"/>
    <x v="10"/>
    <x v="1"/>
    <x v="0"/>
    <n v="2"/>
    <n v="40"/>
    <x v="64"/>
    <n v="0.12"/>
    <x v="11"/>
    <n v="9.6"/>
  </r>
  <r>
    <s v="Ord-ID-445"/>
    <x v="10"/>
    <x v="3"/>
    <x v="0"/>
    <n v="7"/>
    <n v="16"/>
    <x v="25"/>
    <n v="0.12"/>
    <x v="0"/>
    <n v="13.44"/>
  </r>
  <r>
    <s v="Ord-ID-446"/>
    <x v="10"/>
    <x v="4"/>
    <x v="0"/>
    <n v="7"/>
    <n v="150"/>
    <x v="7"/>
    <n v="0.02"/>
    <x v="1"/>
    <n v="21"/>
  </r>
  <r>
    <s v="Ord-ID-447"/>
    <x v="10"/>
    <x v="0"/>
    <x v="0"/>
    <n v="20"/>
    <n v="80"/>
    <x v="16"/>
    <n v="0.01"/>
    <x v="2"/>
    <n v="16"/>
  </r>
  <r>
    <s v="Ord-ID-448"/>
    <x v="10"/>
    <x v="0"/>
    <x v="3"/>
    <n v="11"/>
    <n v="80"/>
    <x v="17"/>
    <n v="0.01"/>
    <x v="3"/>
    <n v="8.8000000000000007"/>
  </r>
  <r>
    <s v="Ord-ID-449"/>
    <x v="10"/>
    <x v="0"/>
    <x v="2"/>
    <n v="10"/>
    <n v="80"/>
    <x v="20"/>
    <n v="0.08"/>
    <x v="4"/>
    <n v="64"/>
  </r>
  <r>
    <s v="Ord-ID-450"/>
    <x v="11"/>
    <x v="0"/>
    <x v="1"/>
    <n v="5"/>
    <n v="80"/>
    <x v="65"/>
    <n v="0.04"/>
    <x v="5"/>
    <n v="16"/>
  </r>
  <r>
    <s v="Ord-ID-451"/>
    <x v="11"/>
    <x v="0"/>
    <x v="3"/>
    <n v="4"/>
    <n v="80"/>
    <x v="60"/>
    <n v="0.11"/>
    <x v="6"/>
    <n v="35.200000000000003"/>
  </r>
  <r>
    <s v="Ord-ID-452"/>
    <x v="11"/>
    <x v="3"/>
    <x v="2"/>
    <n v="3"/>
    <n v="16"/>
    <x v="78"/>
    <n v="0.05"/>
    <x v="7"/>
    <n v="2.4000000000000004"/>
  </r>
  <r>
    <s v="Ord-ID-453"/>
    <x v="11"/>
    <x v="0"/>
    <x v="0"/>
    <n v="9"/>
    <n v="80"/>
    <x v="11"/>
    <n v="0.04"/>
    <x v="8"/>
    <n v="28.8"/>
  </r>
  <r>
    <s v="Ord-ID-454"/>
    <x v="11"/>
    <x v="0"/>
    <x v="4"/>
    <n v="16"/>
    <n v="80"/>
    <x v="19"/>
    <n v="0.09"/>
    <x v="9"/>
    <n v="115.19999999999999"/>
  </r>
  <r>
    <s v="Ord-ID-455"/>
    <x v="12"/>
    <x v="3"/>
    <x v="1"/>
    <n v="7"/>
    <n v="16"/>
    <x v="25"/>
    <n v="0.08"/>
    <x v="10"/>
    <n v="8.9600000000000009"/>
  </r>
  <r>
    <s v="Ord-ID-456"/>
    <x v="12"/>
    <x v="4"/>
    <x v="1"/>
    <n v="16"/>
    <n v="150"/>
    <x v="28"/>
    <n v="0.05"/>
    <x v="11"/>
    <n v="120"/>
  </r>
  <r>
    <s v="Ord-ID-457"/>
    <x v="12"/>
    <x v="3"/>
    <x v="3"/>
    <n v="10"/>
    <n v="16"/>
    <x v="31"/>
    <n v="0.04"/>
    <x v="0"/>
    <n v="6.4"/>
  </r>
  <r>
    <s v="Ord-ID-458"/>
    <x v="12"/>
    <x v="1"/>
    <x v="1"/>
    <n v="4"/>
    <n v="40"/>
    <x v="31"/>
    <n v="0.03"/>
    <x v="1"/>
    <n v="4.8"/>
  </r>
  <r>
    <s v="Ord-ID-459"/>
    <x v="12"/>
    <x v="1"/>
    <x v="1"/>
    <n v="15"/>
    <n v="40"/>
    <x v="39"/>
    <n v="0.02"/>
    <x v="2"/>
    <n v="12"/>
  </r>
  <r>
    <s v="Ord-ID-460"/>
    <x v="12"/>
    <x v="0"/>
    <x v="2"/>
    <n v="6"/>
    <n v="80"/>
    <x v="0"/>
    <n v="0.09"/>
    <x v="3"/>
    <n v="43.199999999999996"/>
  </r>
  <r>
    <s v="Ord-ID-461"/>
    <x v="12"/>
    <x v="4"/>
    <x v="0"/>
    <n v="20"/>
    <n v="150"/>
    <x v="8"/>
    <n v="0.01"/>
    <x v="4"/>
    <n v="30"/>
  </r>
  <r>
    <s v="Ord-ID-462"/>
    <x v="12"/>
    <x v="3"/>
    <x v="0"/>
    <n v="7"/>
    <n v="16"/>
    <x v="25"/>
    <n v="0.08"/>
    <x v="5"/>
    <n v="8.9600000000000009"/>
  </r>
  <r>
    <s v="Ord-ID-463"/>
    <x v="12"/>
    <x v="0"/>
    <x v="1"/>
    <n v="2"/>
    <n v="80"/>
    <x v="31"/>
    <n v="7.0000000000000007E-2"/>
    <x v="6"/>
    <n v="11.200000000000001"/>
  </r>
  <r>
    <s v="Ord-ID-464"/>
    <x v="12"/>
    <x v="1"/>
    <x v="1"/>
    <n v="23"/>
    <n v="40"/>
    <x v="15"/>
    <n v="0.06"/>
    <x v="7"/>
    <n v="55.199999999999996"/>
  </r>
  <r>
    <s v="Ord-ID-465"/>
    <x v="12"/>
    <x v="3"/>
    <x v="0"/>
    <n v="12"/>
    <n v="16"/>
    <x v="21"/>
    <n v="0.11"/>
    <x v="8"/>
    <n v="21.12"/>
  </r>
  <r>
    <s v="Ord-ID-466"/>
    <x v="12"/>
    <x v="2"/>
    <x v="3"/>
    <n v="2"/>
    <n v="230"/>
    <x v="56"/>
    <n v="0.09"/>
    <x v="9"/>
    <n v="41.4"/>
  </r>
  <r>
    <s v="Ord-ID-467"/>
    <x v="12"/>
    <x v="4"/>
    <x v="0"/>
    <n v="4"/>
    <n v="150"/>
    <x v="39"/>
    <n v="0.06"/>
    <x v="10"/>
    <n v="36"/>
  </r>
  <r>
    <s v="Ord-ID-468"/>
    <x v="12"/>
    <x v="1"/>
    <x v="0"/>
    <n v="23"/>
    <n v="40"/>
    <x v="15"/>
    <n v="7.0000000000000007E-2"/>
    <x v="11"/>
    <n v="64.400000000000006"/>
  </r>
  <r>
    <s v="Ord-ID-469"/>
    <x v="12"/>
    <x v="3"/>
    <x v="4"/>
    <n v="2"/>
    <n v="16"/>
    <x v="86"/>
    <n v="0.04"/>
    <x v="0"/>
    <n v="1.28"/>
  </r>
  <r>
    <s v="Ord-ID-470"/>
    <x v="12"/>
    <x v="4"/>
    <x v="3"/>
    <n v="7"/>
    <n v="150"/>
    <x v="7"/>
    <n v="0.05"/>
    <x v="1"/>
    <n v="52.5"/>
  </r>
  <r>
    <s v="Ord-ID-471"/>
    <x v="13"/>
    <x v="1"/>
    <x v="0"/>
    <n v="15"/>
    <n v="40"/>
    <x v="39"/>
    <n v="0.06"/>
    <x v="2"/>
    <n v="36"/>
  </r>
  <r>
    <s v="Ord-ID-472"/>
    <x v="13"/>
    <x v="0"/>
    <x v="3"/>
    <n v="16"/>
    <n v="80"/>
    <x v="19"/>
    <n v="0.05"/>
    <x v="3"/>
    <n v="64"/>
  </r>
  <r>
    <s v="Ord-ID-473"/>
    <x v="13"/>
    <x v="1"/>
    <x v="4"/>
    <n v="16"/>
    <n v="40"/>
    <x v="12"/>
    <n v="0.11"/>
    <x v="4"/>
    <n v="70.400000000000006"/>
  </r>
  <r>
    <s v="Ord-ID-474"/>
    <x v="13"/>
    <x v="3"/>
    <x v="4"/>
    <n v="23"/>
    <n v="16"/>
    <x v="35"/>
    <n v="0.01"/>
    <x v="5"/>
    <n v="3.68"/>
  </r>
  <r>
    <s v="Ord-ID-475"/>
    <x v="13"/>
    <x v="2"/>
    <x v="1"/>
    <n v="12"/>
    <n v="230"/>
    <x v="4"/>
    <n v="0.03"/>
    <x v="6"/>
    <n v="82.8"/>
  </r>
  <r>
    <s v="Ord-ID-476"/>
    <x v="13"/>
    <x v="3"/>
    <x v="0"/>
    <n v="4"/>
    <n v="16"/>
    <x v="50"/>
    <n v="0.12"/>
    <x v="7"/>
    <n v="7.68"/>
  </r>
  <r>
    <s v="Ord-ID-477"/>
    <x v="13"/>
    <x v="4"/>
    <x v="3"/>
    <n v="3"/>
    <n v="150"/>
    <x v="75"/>
    <n v="0.01"/>
    <x v="8"/>
    <n v="4.5"/>
  </r>
  <r>
    <s v="Ord-ID-478"/>
    <x v="13"/>
    <x v="4"/>
    <x v="1"/>
    <n v="10"/>
    <n v="150"/>
    <x v="77"/>
    <n v="0.01"/>
    <x v="9"/>
    <n v="15"/>
  </r>
  <r>
    <s v="Ord-ID-479"/>
    <x v="13"/>
    <x v="0"/>
    <x v="1"/>
    <n v="13"/>
    <n v="80"/>
    <x v="73"/>
    <n v="0.06"/>
    <x v="10"/>
    <n v="62.4"/>
  </r>
  <r>
    <s v="Ord-ID-480"/>
    <x v="13"/>
    <x v="2"/>
    <x v="2"/>
    <n v="15"/>
    <n v="230"/>
    <x v="13"/>
    <n v="0.04"/>
    <x v="11"/>
    <n v="138"/>
  </r>
  <r>
    <s v="Ord-ID-481"/>
    <x v="13"/>
    <x v="4"/>
    <x v="0"/>
    <n v="23"/>
    <n v="150"/>
    <x v="13"/>
    <n v="0.1"/>
    <x v="0"/>
    <n v="345"/>
  </r>
  <r>
    <s v="Ord-ID-482"/>
    <x v="13"/>
    <x v="4"/>
    <x v="1"/>
    <n v="15"/>
    <n v="150"/>
    <x v="37"/>
    <n v="0.12"/>
    <x v="1"/>
    <n v="270"/>
  </r>
  <r>
    <s v="Ord-ID-483"/>
    <x v="13"/>
    <x v="4"/>
    <x v="2"/>
    <n v="20"/>
    <n v="150"/>
    <x v="8"/>
    <n v="0.12"/>
    <x v="2"/>
    <n v="360"/>
  </r>
  <r>
    <s v="Ord-ID-484"/>
    <x v="13"/>
    <x v="1"/>
    <x v="3"/>
    <n v="13"/>
    <n v="40"/>
    <x v="26"/>
    <n v="0.09"/>
    <x v="3"/>
    <n v="46.8"/>
  </r>
  <r>
    <s v="Ord-ID-485"/>
    <x v="14"/>
    <x v="3"/>
    <x v="2"/>
    <n v="11"/>
    <n v="16"/>
    <x v="23"/>
    <n v="0.04"/>
    <x v="4"/>
    <n v="7.04"/>
  </r>
  <r>
    <s v="Ord-ID-486"/>
    <x v="14"/>
    <x v="4"/>
    <x v="2"/>
    <n v="20"/>
    <n v="150"/>
    <x v="8"/>
    <n v="0.04"/>
    <x v="5"/>
    <n v="120"/>
  </r>
  <r>
    <s v="Ord-ID-487"/>
    <x v="14"/>
    <x v="1"/>
    <x v="0"/>
    <n v="18"/>
    <n v="40"/>
    <x v="11"/>
    <n v="0.11"/>
    <x v="6"/>
    <n v="79.2"/>
  </r>
  <r>
    <s v="Ord-ID-488"/>
    <x v="14"/>
    <x v="1"/>
    <x v="2"/>
    <n v="2"/>
    <n v="40"/>
    <x v="64"/>
    <n v="0.03"/>
    <x v="7"/>
    <n v="2.4"/>
  </r>
  <r>
    <s v="Ord-ID-489"/>
    <x v="14"/>
    <x v="3"/>
    <x v="3"/>
    <n v="15"/>
    <n v="16"/>
    <x v="71"/>
    <n v="0.12"/>
    <x v="8"/>
    <n v="28.799999999999997"/>
  </r>
  <r>
    <s v="Ord-ID-490"/>
    <x v="14"/>
    <x v="3"/>
    <x v="2"/>
    <n v="9"/>
    <n v="16"/>
    <x v="72"/>
    <n v="0.05"/>
    <x v="9"/>
    <n v="7.2"/>
  </r>
  <r>
    <s v="Ord-ID-491"/>
    <x v="14"/>
    <x v="1"/>
    <x v="4"/>
    <n v="7"/>
    <n v="40"/>
    <x v="69"/>
    <n v="0.05"/>
    <x v="0"/>
    <n v="14"/>
  </r>
  <r>
    <s v="Ord-ID-492"/>
    <x v="14"/>
    <x v="4"/>
    <x v="4"/>
    <n v="4"/>
    <n v="150"/>
    <x v="39"/>
    <n v="0.05"/>
    <x v="1"/>
    <n v="30"/>
  </r>
  <r>
    <s v="Ord-ID-493"/>
    <x v="14"/>
    <x v="2"/>
    <x v="0"/>
    <n v="15"/>
    <n v="230"/>
    <x v="13"/>
    <n v="0.05"/>
    <x v="2"/>
    <n v="172.5"/>
  </r>
  <r>
    <s v="Ord-ID-494"/>
    <x v="15"/>
    <x v="1"/>
    <x v="1"/>
    <n v="12"/>
    <n v="40"/>
    <x v="0"/>
    <n v="0.1"/>
    <x v="3"/>
    <n v="48"/>
  </r>
  <r>
    <s v="Ord-ID-495"/>
    <x v="15"/>
    <x v="2"/>
    <x v="3"/>
    <n v="23"/>
    <n v="230"/>
    <x v="32"/>
    <n v="0.06"/>
    <x v="4"/>
    <n v="317.39999999999998"/>
  </r>
  <r>
    <s v="Ord-ID-496"/>
    <x v="15"/>
    <x v="3"/>
    <x v="0"/>
    <n v="11"/>
    <n v="16"/>
    <x v="23"/>
    <n v="0.09"/>
    <x v="5"/>
    <n v="15.84"/>
  </r>
  <r>
    <s v="Ord-ID-497"/>
    <x v="15"/>
    <x v="4"/>
    <x v="0"/>
    <n v="9"/>
    <n v="150"/>
    <x v="46"/>
    <n v="0.1"/>
    <x v="6"/>
    <n v="135"/>
  </r>
  <r>
    <s v="Ord-ID-498"/>
    <x v="15"/>
    <x v="0"/>
    <x v="0"/>
    <n v="18"/>
    <n v="80"/>
    <x v="47"/>
    <n v="0.02"/>
    <x v="7"/>
    <n v="28.8"/>
  </r>
  <r>
    <s v="Ord-ID-499"/>
    <x v="15"/>
    <x v="1"/>
    <x v="4"/>
    <n v="23"/>
    <n v="40"/>
    <x v="15"/>
    <n v="0.04"/>
    <x v="8"/>
    <n v="36.800000000000004"/>
  </r>
  <r>
    <s v="Ord-ID-500"/>
    <x v="15"/>
    <x v="3"/>
    <x v="4"/>
    <n v="17"/>
    <n v="16"/>
    <x v="6"/>
    <n v="0.1"/>
    <x v="9"/>
    <n v="27.200000000000003"/>
  </r>
  <r>
    <s v="Ord-ID-501"/>
    <x v="15"/>
    <x v="4"/>
    <x v="4"/>
    <n v="17"/>
    <n v="150"/>
    <x v="55"/>
    <n v="0.02"/>
    <x v="10"/>
    <n v="51"/>
  </r>
  <r>
    <s v="Ord-ID-502"/>
    <x v="15"/>
    <x v="0"/>
    <x v="3"/>
    <n v="21"/>
    <n v="80"/>
    <x v="40"/>
    <n v="0.02"/>
    <x v="11"/>
    <n v="33.6"/>
  </r>
  <r>
    <s v="Ord-ID-503"/>
    <x v="15"/>
    <x v="1"/>
    <x v="3"/>
    <n v="11"/>
    <n v="40"/>
    <x v="49"/>
    <n v="0.06"/>
    <x v="0"/>
    <n v="26.4"/>
  </r>
  <r>
    <s v="Ord-ID-504"/>
    <x v="15"/>
    <x v="1"/>
    <x v="0"/>
    <n v="19"/>
    <n v="40"/>
    <x v="52"/>
    <n v="0.04"/>
    <x v="1"/>
    <n v="30.400000000000002"/>
  </r>
  <r>
    <s v="Ord-ID-505"/>
    <x v="15"/>
    <x v="1"/>
    <x v="0"/>
    <n v="23"/>
    <n v="40"/>
    <x v="15"/>
    <n v="0.03"/>
    <x v="2"/>
    <n v="27.599999999999998"/>
  </r>
  <r>
    <s v="Ord-ID-506"/>
    <x v="15"/>
    <x v="2"/>
    <x v="1"/>
    <n v="14"/>
    <n v="230"/>
    <x v="80"/>
    <n v="0.05"/>
    <x v="3"/>
    <n v="161"/>
  </r>
  <r>
    <s v="Ord-ID-507"/>
    <x v="15"/>
    <x v="1"/>
    <x v="2"/>
    <n v="18"/>
    <n v="40"/>
    <x v="11"/>
    <n v="0.03"/>
    <x v="4"/>
    <n v="21.599999999999998"/>
  </r>
  <r>
    <s v="Ord-ID-508"/>
    <x v="15"/>
    <x v="4"/>
    <x v="1"/>
    <n v="2"/>
    <n v="150"/>
    <x v="63"/>
    <n v="0.09"/>
    <x v="5"/>
    <n v="27"/>
  </r>
  <r>
    <s v="Ord-ID-509"/>
    <x v="15"/>
    <x v="2"/>
    <x v="1"/>
    <n v="7"/>
    <n v="230"/>
    <x v="10"/>
    <n v="0.05"/>
    <x v="6"/>
    <n v="80.5"/>
  </r>
  <r>
    <s v="Ord-ID-510"/>
    <x v="16"/>
    <x v="4"/>
    <x v="2"/>
    <n v="9"/>
    <n v="150"/>
    <x v="46"/>
    <n v="0.02"/>
    <x v="7"/>
    <n v="27"/>
  </r>
  <r>
    <s v="Ord-ID-511"/>
    <x v="16"/>
    <x v="1"/>
    <x v="4"/>
    <n v="3"/>
    <n v="40"/>
    <x v="57"/>
    <n v="0.03"/>
    <x v="8"/>
    <n v="3.5999999999999996"/>
  </r>
  <r>
    <s v="Ord-ID-512"/>
    <x v="16"/>
    <x v="0"/>
    <x v="3"/>
    <n v="2"/>
    <n v="80"/>
    <x v="31"/>
    <n v="0.08"/>
    <x v="9"/>
    <n v="12.8"/>
  </r>
  <r>
    <s v="Ord-ID-513"/>
    <x v="16"/>
    <x v="3"/>
    <x v="4"/>
    <n v="19"/>
    <n v="16"/>
    <x v="66"/>
    <n v="0.02"/>
    <x v="10"/>
    <n v="6.08"/>
  </r>
  <r>
    <s v="Ord-ID-514"/>
    <x v="16"/>
    <x v="3"/>
    <x v="1"/>
    <n v="21"/>
    <n v="16"/>
    <x v="9"/>
    <n v="0.02"/>
    <x v="11"/>
    <n v="6.72"/>
  </r>
  <r>
    <s v="Ord-ID-515"/>
    <x v="16"/>
    <x v="0"/>
    <x v="3"/>
    <n v="21"/>
    <n v="80"/>
    <x v="40"/>
    <n v="0.05"/>
    <x v="0"/>
    <n v="84"/>
  </r>
  <r>
    <s v="Ord-ID-516"/>
    <x v="16"/>
    <x v="2"/>
    <x v="4"/>
    <n v="3"/>
    <n v="230"/>
    <x v="33"/>
    <n v="0.1"/>
    <x v="1"/>
    <n v="69"/>
  </r>
  <r>
    <s v="Ord-ID-517"/>
    <x v="16"/>
    <x v="1"/>
    <x v="2"/>
    <n v="4"/>
    <n v="40"/>
    <x v="31"/>
    <n v="0.11"/>
    <x v="2"/>
    <n v="17.600000000000001"/>
  </r>
  <r>
    <s v="Ord-ID-518"/>
    <x v="16"/>
    <x v="4"/>
    <x v="4"/>
    <n v="7"/>
    <n v="150"/>
    <x v="7"/>
    <n v="0.03"/>
    <x v="3"/>
    <n v="31.5"/>
  </r>
  <r>
    <s v="Ord-ID-519"/>
    <x v="16"/>
    <x v="3"/>
    <x v="2"/>
    <n v="11"/>
    <n v="16"/>
    <x v="23"/>
    <n v="0.12"/>
    <x v="4"/>
    <n v="21.119999999999997"/>
  </r>
  <r>
    <s v="Ord-ID-520"/>
    <x v="16"/>
    <x v="0"/>
    <x v="0"/>
    <n v="17"/>
    <n v="80"/>
    <x v="29"/>
    <n v="7.0000000000000007E-2"/>
    <x v="5"/>
    <n v="95.2"/>
  </r>
  <r>
    <s v="Ord-ID-521"/>
    <x v="16"/>
    <x v="3"/>
    <x v="3"/>
    <n v="5"/>
    <n v="16"/>
    <x v="64"/>
    <n v="0.09"/>
    <x v="6"/>
    <n v="7.1999999999999993"/>
  </r>
  <r>
    <s v="Ord-ID-522"/>
    <x v="16"/>
    <x v="3"/>
    <x v="4"/>
    <n v="13"/>
    <n v="16"/>
    <x v="84"/>
    <n v="7.0000000000000007E-2"/>
    <x v="7"/>
    <n v="14.560000000000002"/>
  </r>
  <r>
    <s v="Ord-ID-523"/>
    <x v="16"/>
    <x v="0"/>
    <x v="4"/>
    <n v="9"/>
    <n v="80"/>
    <x v="11"/>
    <n v="0.02"/>
    <x v="8"/>
    <n v="14.4"/>
  </r>
  <r>
    <s v="Ord-ID-524"/>
    <x v="17"/>
    <x v="0"/>
    <x v="4"/>
    <n v="9"/>
    <n v="80"/>
    <x v="11"/>
    <n v="0.02"/>
    <x v="9"/>
    <n v="14.4"/>
  </r>
  <r>
    <s v="Ord-ID-525"/>
    <x v="17"/>
    <x v="0"/>
    <x v="3"/>
    <n v="22"/>
    <n v="80"/>
    <x v="24"/>
    <n v="0.03"/>
    <x v="10"/>
    <n v="52.8"/>
  </r>
  <r>
    <s v="Ord-ID-526"/>
    <x v="17"/>
    <x v="4"/>
    <x v="0"/>
    <n v="13"/>
    <n v="150"/>
    <x v="34"/>
    <n v="0.05"/>
    <x v="11"/>
    <n v="97.5"/>
  </r>
  <r>
    <s v="Ord-ID-527"/>
    <x v="17"/>
    <x v="0"/>
    <x v="0"/>
    <n v="14"/>
    <n v="80"/>
    <x v="42"/>
    <n v="0.08"/>
    <x v="0"/>
    <n v="89.600000000000009"/>
  </r>
  <r>
    <s v="Ord-ID-528"/>
    <x v="17"/>
    <x v="0"/>
    <x v="0"/>
    <n v="6"/>
    <n v="80"/>
    <x v="0"/>
    <n v="7.0000000000000007E-2"/>
    <x v="1"/>
    <n v="33.6"/>
  </r>
  <r>
    <s v="Ord-ID-529"/>
    <x v="17"/>
    <x v="0"/>
    <x v="0"/>
    <n v="16"/>
    <n v="80"/>
    <x v="19"/>
    <n v="0.03"/>
    <x v="2"/>
    <n v="38.4"/>
  </r>
  <r>
    <s v="Ord-ID-530"/>
    <x v="17"/>
    <x v="4"/>
    <x v="2"/>
    <n v="22"/>
    <n v="150"/>
    <x v="41"/>
    <n v="0.09"/>
    <x v="3"/>
    <n v="297"/>
  </r>
  <r>
    <s v="Ord-ID-531"/>
    <x v="17"/>
    <x v="4"/>
    <x v="3"/>
    <n v="4"/>
    <n v="150"/>
    <x v="39"/>
    <n v="0.12"/>
    <x v="4"/>
    <n v="72"/>
  </r>
  <r>
    <s v="Ord-ID-532"/>
    <x v="17"/>
    <x v="2"/>
    <x v="4"/>
    <n v="7"/>
    <n v="230"/>
    <x v="10"/>
    <n v="0.05"/>
    <x v="5"/>
    <n v="80.5"/>
  </r>
  <r>
    <s v="Ord-ID-533"/>
    <x v="17"/>
    <x v="4"/>
    <x v="3"/>
    <n v="20"/>
    <n v="150"/>
    <x v="8"/>
    <n v="0.1"/>
    <x v="6"/>
    <n v="300"/>
  </r>
  <r>
    <s v="Ord-ID-534"/>
    <x v="17"/>
    <x v="2"/>
    <x v="3"/>
    <n v="8"/>
    <n v="230"/>
    <x v="3"/>
    <n v="0.05"/>
    <x v="7"/>
    <n v="92"/>
  </r>
  <r>
    <s v="Ord-ID-535"/>
    <x v="18"/>
    <x v="1"/>
    <x v="3"/>
    <n v="9"/>
    <n v="40"/>
    <x v="18"/>
    <n v="0.06"/>
    <x v="8"/>
    <n v="21.599999999999998"/>
  </r>
  <r>
    <s v="Ord-ID-536"/>
    <x v="18"/>
    <x v="2"/>
    <x v="3"/>
    <n v="19"/>
    <n v="230"/>
    <x v="30"/>
    <n v="0.06"/>
    <x v="9"/>
    <n v="262.2"/>
  </r>
  <r>
    <s v="Ord-ID-537"/>
    <x v="18"/>
    <x v="1"/>
    <x v="3"/>
    <n v="22"/>
    <n v="40"/>
    <x v="17"/>
    <n v="0.01"/>
    <x v="10"/>
    <n v="8.8000000000000007"/>
  </r>
  <r>
    <s v="Ord-ID-538"/>
    <x v="18"/>
    <x v="1"/>
    <x v="0"/>
    <n v="22"/>
    <n v="40"/>
    <x v="17"/>
    <n v="0.02"/>
    <x v="11"/>
    <n v="17.600000000000001"/>
  </r>
  <r>
    <s v="Ord-ID-539"/>
    <x v="18"/>
    <x v="0"/>
    <x v="4"/>
    <n v="10"/>
    <n v="80"/>
    <x v="20"/>
    <n v="0.06"/>
    <x v="0"/>
    <n v="48"/>
  </r>
  <r>
    <s v="Ord-ID-540"/>
    <x v="18"/>
    <x v="1"/>
    <x v="3"/>
    <n v="7"/>
    <n v="40"/>
    <x v="69"/>
    <n v="0.11"/>
    <x v="1"/>
    <n v="30.8"/>
  </r>
  <r>
    <s v="Ord-ID-541"/>
    <x v="18"/>
    <x v="2"/>
    <x v="0"/>
    <n v="7"/>
    <n v="230"/>
    <x v="10"/>
    <n v="0.08"/>
    <x v="2"/>
    <n v="128.80000000000001"/>
  </r>
  <r>
    <s v="Ord-ID-542"/>
    <x v="18"/>
    <x v="3"/>
    <x v="0"/>
    <n v="18"/>
    <n v="16"/>
    <x v="53"/>
    <n v="0.11"/>
    <x v="3"/>
    <n v="31.68"/>
  </r>
  <r>
    <s v="Ord-ID-543"/>
    <x v="18"/>
    <x v="2"/>
    <x v="2"/>
    <n v="14"/>
    <n v="230"/>
    <x v="80"/>
    <n v="0.12"/>
    <x v="4"/>
    <n v="386.4"/>
  </r>
  <r>
    <s v="Ord-ID-544"/>
    <x v="18"/>
    <x v="1"/>
    <x v="1"/>
    <n v="21"/>
    <n v="40"/>
    <x v="54"/>
    <n v="0.03"/>
    <x v="5"/>
    <n v="25.2"/>
  </r>
  <r>
    <s v="Ord-ID-545"/>
    <x v="18"/>
    <x v="4"/>
    <x v="0"/>
    <n v="3"/>
    <n v="150"/>
    <x v="75"/>
    <n v="0.03"/>
    <x v="6"/>
    <n v="13.5"/>
  </r>
  <r>
    <s v="Ord-ID-546"/>
    <x v="18"/>
    <x v="0"/>
    <x v="0"/>
    <n v="12"/>
    <n v="80"/>
    <x v="85"/>
    <n v="0.04"/>
    <x v="7"/>
    <n v="38.4"/>
  </r>
  <r>
    <s v="Ord-ID-547"/>
    <x v="19"/>
    <x v="4"/>
    <x v="3"/>
    <n v="6"/>
    <n v="150"/>
    <x v="22"/>
    <n v="0.03"/>
    <x v="8"/>
    <n v="27"/>
  </r>
  <r>
    <s v="Ord-ID-548"/>
    <x v="19"/>
    <x v="1"/>
    <x v="2"/>
    <n v="20"/>
    <n v="40"/>
    <x v="20"/>
    <n v="0.01"/>
    <x v="9"/>
    <n v="8"/>
  </r>
  <r>
    <s v="Ord-ID-549"/>
    <x v="19"/>
    <x v="2"/>
    <x v="0"/>
    <n v="3"/>
    <n v="230"/>
    <x v="33"/>
    <n v="0.06"/>
    <x v="6"/>
    <n v="41.4"/>
  </r>
  <r>
    <s v="Ord-ID-550"/>
    <x v="19"/>
    <x v="2"/>
    <x v="3"/>
    <n v="3"/>
    <n v="230"/>
    <x v="33"/>
    <n v="0.01"/>
    <x v="7"/>
    <n v="6.9"/>
  </r>
  <r>
    <s v="Ord-ID-551"/>
    <x v="19"/>
    <x v="1"/>
    <x v="0"/>
    <n v="20"/>
    <n v="40"/>
    <x v="20"/>
    <n v="0.04"/>
    <x v="8"/>
    <n v="32"/>
  </r>
  <r>
    <s v="Ord-ID-552"/>
    <x v="19"/>
    <x v="0"/>
    <x v="2"/>
    <n v="16"/>
    <n v="80"/>
    <x v="19"/>
    <n v="0.02"/>
    <x v="9"/>
    <n v="25.6"/>
  </r>
  <r>
    <s v="Ord-ID-553"/>
    <x v="19"/>
    <x v="4"/>
    <x v="0"/>
    <n v="8"/>
    <n v="150"/>
    <x v="74"/>
    <n v="0.09"/>
    <x v="6"/>
    <n v="108"/>
  </r>
  <r>
    <s v="Ord-ID-554"/>
    <x v="20"/>
    <x v="2"/>
    <x v="1"/>
    <n v="7"/>
    <n v="230"/>
    <x v="10"/>
    <n v="0.01"/>
    <x v="7"/>
    <n v="16.100000000000001"/>
  </r>
  <r>
    <s v="Ord-ID-555"/>
    <x v="20"/>
    <x v="4"/>
    <x v="1"/>
    <n v="23"/>
    <n v="150"/>
    <x v="13"/>
    <n v="0.11"/>
    <x v="8"/>
    <n v="379.5"/>
  </r>
  <r>
    <s v="Ord-ID-556"/>
    <x v="20"/>
    <x v="1"/>
    <x v="4"/>
    <n v="16"/>
    <n v="40"/>
    <x v="12"/>
    <n v="0.09"/>
    <x v="9"/>
    <n v="57.599999999999994"/>
  </r>
  <r>
    <s v="Ord-ID-557"/>
    <x v="20"/>
    <x v="1"/>
    <x v="4"/>
    <n v="20"/>
    <n v="40"/>
    <x v="20"/>
    <n v="0.1"/>
    <x v="6"/>
    <n v="80"/>
  </r>
  <r>
    <s v="Ord-ID-558"/>
    <x v="20"/>
    <x v="1"/>
    <x v="1"/>
    <n v="18"/>
    <n v="40"/>
    <x v="11"/>
    <n v="0.08"/>
    <x v="7"/>
    <n v="57.6"/>
  </r>
  <r>
    <s v="Ord-ID-559"/>
    <x v="20"/>
    <x v="0"/>
    <x v="4"/>
    <n v="22"/>
    <n v="80"/>
    <x v="24"/>
    <n v="0.09"/>
    <x v="8"/>
    <n v="158.4"/>
  </r>
  <r>
    <s v="Ord-ID-560"/>
    <x v="20"/>
    <x v="4"/>
    <x v="1"/>
    <n v="22"/>
    <n v="150"/>
    <x v="41"/>
    <n v="0.02"/>
    <x v="9"/>
    <n v="66"/>
  </r>
  <r>
    <s v="Ord-ID-561"/>
    <x v="20"/>
    <x v="4"/>
    <x v="1"/>
    <n v="20"/>
    <n v="150"/>
    <x v="8"/>
    <n v="0.09"/>
    <x v="6"/>
    <n v="270"/>
  </r>
  <r>
    <s v="Ord-ID-562"/>
    <x v="20"/>
    <x v="3"/>
    <x v="0"/>
    <n v="10"/>
    <n v="16"/>
    <x v="31"/>
    <n v="0.08"/>
    <x v="7"/>
    <n v="12.8"/>
  </r>
  <r>
    <s v="Ord-ID-563"/>
    <x v="20"/>
    <x v="1"/>
    <x v="2"/>
    <n v="12"/>
    <n v="40"/>
    <x v="0"/>
    <n v="0.02"/>
    <x v="8"/>
    <n v="9.6"/>
  </r>
  <r>
    <s v="Ord-ID-564"/>
    <x v="20"/>
    <x v="4"/>
    <x v="0"/>
    <n v="4"/>
    <n v="150"/>
    <x v="39"/>
    <n v="0.1"/>
    <x v="9"/>
    <n v="60"/>
  </r>
  <r>
    <s v="Ord-ID-565"/>
    <x v="20"/>
    <x v="0"/>
    <x v="2"/>
    <n v="5"/>
    <n v="80"/>
    <x v="65"/>
    <n v="0.09"/>
    <x v="6"/>
    <n v="36"/>
  </r>
  <r>
    <s v="Ord-ID-566"/>
    <x v="20"/>
    <x v="1"/>
    <x v="0"/>
    <n v="11"/>
    <n v="40"/>
    <x v="49"/>
    <n v="0.04"/>
    <x v="7"/>
    <n v="17.600000000000001"/>
  </r>
  <r>
    <s v="Ord-ID-567"/>
    <x v="20"/>
    <x v="4"/>
    <x v="1"/>
    <n v="13"/>
    <n v="150"/>
    <x v="34"/>
    <n v="0.08"/>
    <x v="8"/>
    <n v="156"/>
  </r>
  <r>
    <s v="Ord-ID-568"/>
    <x v="20"/>
    <x v="0"/>
    <x v="3"/>
    <n v="19"/>
    <n v="80"/>
    <x v="5"/>
    <n v="0.02"/>
    <x v="9"/>
    <n v="30.400000000000002"/>
  </r>
  <r>
    <s v="Ord-ID-569"/>
    <x v="20"/>
    <x v="2"/>
    <x v="1"/>
    <n v="7"/>
    <n v="230"/>
    <x v="10"/>
    <n v="0.01"/>
    <x v="6"/>
    <n v="16.100000000000001"/>
  </r>
  <r>
    <s v="Ord-ID-570"/>
    <x v="21"/>
    <x v="0"/>
    <x v="4"/>
    <n v="16"/>
    <n v="80"/>
    <x v="19"/>
    <n v="0.09"/>
    <x v="7"/>
    <n v="115.19999999999999"/>
  </r>
  <r>
    <s v="Ord-ID-571"/>
    <x v="21"/>
    <x v="2"/>
    <x v="0"/>
    <n v="7"/>
    <n v="230"/>
    <x v="10"/>
    <n v="0.02"/>
    <x v="8"/>
    <n v="32.200000000000003"/>
  </r>
  <r>
    <s v="Ord-ID-572"/>
    <x v="21"/>
    <x v="1"/>
    <x v="0"/>
    <n v="5"/>
    <n v="40"/>
    <x v="70"/>
    <n v="0.06"/>
    <x v="9"/>
    <n v="12"/>
  </r>
  <r>
    <s v="Ord-ID-573"/>
    <x v="21"/>
    <x v="4"/>
    <x v="2"/>
    <n v="9"/>
    <n v="150"/>
    <x v="46"/>
    <n v="0.06"/>
    <x v="6"/>
    <n v="81"/>
  </r>
  <r>
    <s v="Ord-ID-574"/>
    <x v="21"/>
    <x v="1"/>
    <x v="4"/>
    <n v="20"/>
    <n v="40"/>
    <x v="20"/>
    <n v="7.0000000000000007E-2"/>
    <x v="7"/>
    <n v="56.000000000000007"/>
  </r>
  <r>
    <s v="Ord-ID-575"/>
    <x v="21"/>
    <x v="3"/>
    <x v="1"/>
    <n v="20"/>
    <n v="16"/>
    <x v="60"/>
    <n v="0.06"/>
    <x v="8"/>
    <n v="19.2"/>
  </r>
  <r>
    <s v="Ord-ID-576"/>
    <x v="21"/>
    <x v="1"/>
    <x v="4"/>
    <n v="5"/>
    <n v="40"/>
    <x v="70"/>
    <n v="0.03"/>
    <x v="9"/>
    <n v="6"/>
  </r>
  <r>
    <s v="Ord-ID-577"/>
    <x v="22"/>
    <x v="0"/>
    <x v="3"/>
    <n v="7"/>
    <n v="80"/>
    <x v="1"/>
    <n v="7.0000000000000007E-2"/>
    <x v="6"/>
    <n v="39.200000000000003"/>
  </r>
  <r>
    <s v="Ord-ID-578"/>
    <x v="22"/>
    <x v="3"/>
    <x v="4"/>
    <n v="22"/>
    <n v="16"/>
    <x v="14"/>
    <n v="0.12"/>
    <x v="7"/>
    <n v="42.239999999999995"/>
  </r>
  <r>
    <s v="Ord-ID-579"/>
    <x v="22"/>
    <x v="3"/>
    <x v="4"/>
    <n v="11"/>
    <n v="16"/>
    <x v="23"/>
    <n v="0.12"/>
    <x v="8"/>
    <n v="21.119999999999997"/>
  </r>
  <r>
    <s v="Ord-ID-580"/>
    <x v="22"/>
    <x v="2"/>
    <x v="3"/>
    <n v="17"/>
    <n v="230"/>
    <x v="59"/>
    <n v="0.12"/>
    <x v="9"/>
    <n v="469.2"/>
  </r>
  <r>
    <s v="Ord-ID-581"/>
    <x v="22"/>
    <x v="0"/>
    <x v="0"/>
    <n v="7"/>
    <n v="80"/>
    <x v="1"/>
    <n v="0.02"/>
    <x v="6"/>
    <n v="11.200000000000001"/>
  </r>
  <r>
    <s v="Ord-ID-582"/>
    <x v="22"/>
    <x v="3"/>
    <x v="1"/>
    <n v="5"/>
    <n v="16"/>
    <x v="64"/>
    <n v="0.11"/>
    <x v="7"/>
    <n v="8.8000000000000007"/>
  </r>
  <r>
    <s v="Ord-ID-583"/>
    <x v="22"/>
    <x v="4"/>
    <x v="4"/>
    <n v="18"/>
    <n v="150"/>
    <x v="44"/>
    <n v="0.12"/>
    <x v="8"/>
    <n v="324"/>
  </r>
  <r>
    <s v="Ord-ID-584"/>
    <x v="22"/>
    <x v="1"/>
    <x v="4"/>
    <n v="10"/>
    <n v="40"/>
    <x v="65"/>
    <n v="0.03"/>
    <x v="9"/>
    <n v="12"/>
  </r>
  <r>
    <s v="Ord-ID-585"/>
    <x v="22"/>
    <x v="1"/>
    <x v="4"/>
    <n v="14"/>
    <n v="40"/>
    <x v="1"/>
    <n v="0.11"/>
    <x v="6"/>
    <n v="61.6"/>
  </r>
  <r>
    <s v="Ord-ID-586"/>
    <x v="22"/>
    <x v="1"/>
    <x v="4"/>
    <n v="16"/>
    <n v="40"/>
    <x v="12"/>
    <n v="0.09"/>
    <x v="7"/>
    <n v="57.599999999999994"/>
  </r>
  <r>
    <s v="Ord-ID-587"/>
    <x v="23"/>
    <x v="1"/>
    <x v="3"/>
    <n v="23"/>
    <n v="40"/>
    <x v="15"/>
    <n v="0.06"/>
    <x v="8"/>
    <n v="55.199999999999996"/>
  </r>
  <r>
    <s v="Ord-ID-588"/>
    <x v="23"/>
    <x v="2"/>
    <x v="3"/>
    <n v="8"/>
    <n v="230"/>
    <x v="3"/>
    <n v="0.05"/>
    <x v="9"/>
    <n v="92"/>
  </r>
  <r>
    <s v="Ord-ID-589"/>
    <x v="23"/>
    <x v="3"/>
    <x v="3"/>
    <n v="14"/>
    <n v="16"/>
    <x v="27"/>
    <n v="0.12"/>
    <x v="6"/>
    <n v="26.88"/>
  </r>
  <r>
    <s v="Ord-ID-590"/>
    <x v="23"/>
    <x v="0"/>
    <x v="0"/>
    <n v="17"/>
    <n v="80"/>
    <x v="29"/>
    <n v="0.09"/>
    <x v="7"/>
    <n v="122.39999999999999"/>
  </r>
  <r>
    <s v="Ord-ID-591"/>
    <x v="23"/>
    <x v="4"/>
    <x v="2"/>
    <n v="11"/>
    <n v="150"/>
    <x v="45"/>
    <n v="0.11"/>
    <x v="8"/>
    <n v="181.5"/>
  </r>
  <r>
    <s v="Ord-ID-592"/>
    <x v="23"/>
    <x v="1"/>
    <x v="3"/>
    <n v="15"/>
    <n v="40"/>
    <x v="39"/>
    <n v="0.03"/>
    <x v="9"/>
    <n v="18"/>
  </r>
  <r>
    <s v="Ord-ID-593"/>
    <x v="23"/>
    <x v="0"/>
    <x v="4"/>
    <n v="9"/>
    <n v="80"/>
    <x v="11"/>
    <n v="7.0000000000000007E-2"/>
    <x v="6"/>
    <n v="50.400000000000006"/>
  </r>
  <r>
    <s v="Ord-ID-594"/>
    <x v="23"/>
    <x v="2"/>
    <x v="1"/>
    <n v="22"/>
    <n v="230"/>
    <x v="2"/>
    <n v="0.04"/>
    <x v="7"/>
    <n v="202.4"/>
  </r>
  <r>
    <s v="Ord-ID-595"/>
    <x v="23"/>
    <x v="2"/>
    <x v="1"/>
    <n v="11"/>
    <n v="230"/>
    <x v="76"/>
    <n v="0.1"/>
    <x v="8"/>
    <n v="253"/>
  </r>
  <r>
    <s v="Ord-ID-596"/>
    <x v="23"/>
    <x v="1"/>
    <x v="2"/>
    <n v="11"/>
    <n v="40"/>
    <x v="49"/>
    <n v="0.12"/>
    <x v="9"/>
    <n v="52.8"/>
  </r>
  <r>
    <s v="Ord-ID-597"/>
    <x v="23"/>
    <x v="1"/>
    <x v="3"/>
    <n v="9"/>
    <n v="40"/>
    <x v="18"/>
    <n v="0.06"/>
    <x v="6"/>
    <n v="21.599999999999998"/>
  </r>
  <r>
    <s v="Ord-ID-598"/>
    <x v="24"/>
    <x v="1"/>
    <x v="3"/>
    <n v="13"/>
    <n v="40"/>
    <x v="26"/>
    <n v="0.09"/>
    <x v="7"/>
    <n v="46.8"/>
  </r>
  <r>
    <s v="Ord-ID-599"/>
    <x v="24"/>
    <x v="1"/>
    <x v="1"/>
    <n v="4"/>
    <n v="40"/>
    <x v="31"/>
    <n v="0.12"/>
    <x v="8"/>
    <n v="19.2"/>
  </r>
  <r>
    <s v="Ord-ID-600"/>
    <x v="24"/>
    <x v="4"/>
    <x v="0"/>
    <n v="22"/>
    <n v="150"/>
    <x v="41"/>
    <n v="0.05"/>
    <x v="9"/>
    <n v="165"/>
  </r>
  <r>
    <s v="Ord-ID-601"/>
    <x v="24"/>
    <x v="1"/>
    <x v="4"/>
    <n v="21"/>
    <n v="40"/>
    <x v="54"/>
    <n v="0.01"/>
    <x v="6"/>
    <n v="8.4"/>
  </r>
  <r>
    <s v="Ord-ID-602"/>
    <x v="24"/>
    <x v="3"/>
    <x v="0"/>
    <n v="16"/>
    <n v="16"/>
    <x v="62"/>
    <n v="0.03"/>
    <x v="7"/>
    <n v="7.68"/>
  </r>
  <r>
    <s v="Ord-ID-603"/>
    <x v="24"/>
    <x v="0"/>
    <x v="3"/>
    <n v="16"/>
    <n v="80"/>
    <x v="19"/>
    <n v="7.0000000000000007E-2"/>
    <x v="8"/>
    <n v="89.600000000000009"/>
  </r>
  <r>
    <s v="Ord-ID-604"/>
    <x v="24"/>
    <x v="0"/>
    <x v="1"/>
    <n v="15"/>
    <n v="80"/>
    <x v="74"/>
    <n v="0.12"/>
    <x v="9"/>
    <n v="144"/>
  </r>
  <r>
    <s v="Ord-ID-605"/>
    <x v="24"/>
    <x v="4"/>
    <x v="0"/>
    <n v="20"/>
    <n v="150"/>
    <x v="8"/>
    <n v="0.03"/>
    <x v="6"/>
    <n v="90"/>
  </r>
  <r>
    <s v="Ord-ID-606"/>
    <x v="24"/>
    <x v="1"/>
    <x v="3"/>
    <n v="13"/>
    <n v="40"/>
    <x v="26"/>
    <n v="0.06"/>
    <x v="7"/>
    <n v="31.2"/>
  </r>
  <r>
    <s v="Ord-ID-607"/>
    <x v="24"/>
    <x v="3"/>
    <x v="4"/>
    <n v="3"/>
    <n v="16"/>
    <x v="78"/>
    <n v="0.06"/>
    <x v="8"/>
    <n v="2.88"/>
  </r>
  <r>
    <s v="Ord-ID-608"/>
    <x v="24"/>
    <x v="3"/>
    <x v="2"/>
    <n v="11"/>
    <n v="16"/>
    <x v="23"/>
    <n v="0.04"/>
    <x v="9"/>
    <n v="7.04"/>
  </r>
  <r>
    <s v="Ord-ID-609"/>
    <x v="25"/>
    <x v="1"/>
    <x v="4"/>
    <n v="16"/>
    <n v="40"/>
    <x v="12"/>
    <n v="0.09"/>
    <x v="6"/>
    <n v="57.599999999999994"/>
  </r>
  <r>
    <s v="Ord-ID-610"/>
    <x v="25"/>
    <x v="1"/>
    <x v="2"/>
    <n v="4"/>
    <n v="40"/>
    <x v="31"/>
    <n v="0.06"/>
    <x v="7"/>
    <n v="9.6"/>
  </r>
  <r>
    <s v="Ord-ID-611"/>
    <x v="25"/>
    <x v="1"/>
    <x v="2"/>
    <n v="20"/>
    <n v="40"/>
    <x v="20"/>
    <n v="0.01"/>
    <x v="8"/>
    <n v="8"/>
  </r>
  <r>
    <s v="Ord-ID-612"/>
    <x v="25"/>
    <x v="1"/>
    <x v="2"/>
    <n v="4"/>
    <n v="40"/>
    <x v="31"/>
    <n v="0.1"/>
    <x v="9"/>
    <n v="16"/>
  </r>
  <r>
    <s v="Ord-ID-613"/>
    <x v="25"/>
    <x v="0"/>
    <x v="1"/>
    <n v="14"/>
    <n v="80"/>
    <x v="42"/>
    <n v="0.06"/>
    <x v="6"/>
    <n v="67.2"/>
  </r>
  <r>
    <s v="Ord-ID-614"/>
    <x v="25"/>
    <x v="4"/>
    <x v="1"/>
    <n v="15"/>
    <n v="150"/>
    <x v="37"/>
    <n v="0.02"/>
    <x v="7"/>
    <n v="45"/>
  </r>
  <r>
    <s v="Ord-ID-615"/>
    <x v="25"/>
    <x v="0"/>
    <x v="2"/>
    <n v="14"/>
    <n v="80"/>
    <x v="42"/>
    <n v="0.1"/>
    <x v="8"/>
    <n v="112"/>
  </r>
  <r>
    <s v="Ord-ID-616"/>
    <x v="25"/>
    <x v="4"/>
    <x v="0"/>
    <n v="20"/>
    <n v="150"/>
    <x v="8"/>
    <n v="0.04"/>
    <x v="9"/>
    <n v="120"/>
  </r>
  <r>
    <s v="Ord-ID-617"/>
    <x v="25"/>
    <x v="0"/>
    <x v="4"/>
    <n v="22"/>
    <n v="80"/>
    <x v="24"/>
    <n v="0.1"/>
    <x v="6"/>
    <n v="176"/>
  </r>
  <r>
    <s v="Ord-ID-618"/>
    <x v="25"/>
    <x v="2"/>
    <x v="4"/>
    <n v="20"/>
    <n v="230"/>
    <x v="36"/>
    <n v="0.09"/>
    <x v="7"/>
    <n v="414"/>
  </r>
  <r>
    <s v="Ord-ID-619"/>
    <x v="25"/>
    <x v="2"/>
    <x v="2"/>
    <n v="12"/>
    <n v="230"/>
    <x v="4"/>
    <n v="0.03"/>
    <x v="8"/>
    <n v="82.8"/>
  </r>
  <r>
    <s v="Ord-ID-620"/>
    <x v="26"/>
    <x v="0"/>
    <x v="0"/>
    <n v="21"/>
    <n v="80"/>
    <x v="40"/>
    <n v="0.04"/>
    <x v="9"/>
    <n v="67.2"/>
  </r>
  <r>
    <s v="Ord-ID-621"/>
    <x v="26"/>
    <x v="1"/>
    <x v="1"/>
    <n v="15"/>
    <n v="40"/>
    <x v="39"/>
    <n v="0.04"/>
    <x v="6"/>
    <n v="24"/>
  </r>
  <r>
    <s v="Ord-ID-622"/>
    <x v="26"/>
    <x v="0"/>
    <x v="3"/>
    <n v="16"/>
    <n v="80"/>
    <x v="19"/>
    <n v="0.1"/>
    <x v="7"/>
    <n v="128"/>
  </r>
  <r>
    <s v="Ord-ID-623"/>
    <x v="26"/>
    <x v="2"/>
    <x v="4"/>
    <n v="17"/>
    <n v="230"/>
    <x v="59"/>
    <n v="0.11"/>
    <x v="8"/>
    <n v="430.1"/>
  </r>
  <r>
    <s v="Ord-ID-624"/>
    <x v="26"/>
    <x v="2"/>
    <x v="4"/>
    <n v="5"/>
    <n v="230"/>
    <x v="61"/>
    <n v="0.12"/>
    <x v="9"/>
    <n v="138"/>
  </r>
  <r>
    <s v="Ord-ID-625"/>
    <x v="26"/>
    <x v="3"/>
    <x v="0"/>
    <n v="20"/>
    <n v="16"/>
    <x v="60"/>
    <n v="0.01"/>
    <x v="6"/>
    <n v="3.2"/>
  </r>
  <r>
    <s v="Ord-ID-626"/>
    <x v="26"/>
    <x v="2"/>
    <x v="0"/>
    <n v="5"/>
    <n v="230"/>
    <x v="61"/>
    <n v="0.1"/>
    <x v="7"/>
    <n v="115"/>
  </r>
  <r>
    <s v="Ord-ID-627"/>
    <x v="26"/>
    <x v="1"/>
    <x v="1"/>
    <n v="8"/>
    <n v="40"/>
    <x v="60"/>
    <n v="0.09"/>
    <x v="8"/>
    <n v="28.799999999999997"/>
  </r>
  <r>
    <s v="Ord-ID-628"/>
    <x v="26"/>
    <x v="3"/>
    <x v="0"/>
    <n v="7"/>
    <n v="16"/>
    <x v="25"/>
    <n v="0.02"/>
    <x v="9"/>
    <n v="2.2400000000000002"/>
  </r>
  <r>
    <s v="Ord-ID-629"/>
    <x v="26"/>
    <x v="4"/>
    <x v="3"/>
    <n v="15"/>
    <n v="150"/>
    <x v="37"/>
    <n v="0.08"/>
    <x v="6"/>
    <n v="180"/>
  </r>
  <r>
    <s v="Ord-ID-630"/>
    <x v="26"/>
    <x v="2"/>
    <x v="4"/>
    <n v="20"/>
    <n v="230"/>
    <x v="36"/>
    <n v="0.11"/>
    <x v="7"/>
    <n v="506"/>
  </r>
  <r>
    <s v="Ord-ID-631"/>
    <x v="26"/>
    <x v="3"/>
    <x v="1"/>
    <n v="4"/>
    <n v="16"/>
    <x v="50"/>
    <n v="0.09"/>
    <x v="8"/>
    <n v="5.76"/>
  </r>
  <r>
    <s v="Ord-ID-632"/>
    <x v="26"/>
    <x v="1"/>
    <x v="3"/>
    <n v="11"/>
    <n v="40"/>
    <x v="49"/>
    <n v="0.09"/>
    <x v="9"/>
    <n v="39.6"/>
  </r>
  <r>
    <s v="Ord-ID-633"/>
    <x v="26"/>
    <x v="4"/>
    <x v="2"/>
    <n v="15"/>
    <n v="150"/>
    <x v="37"/>
    <n v="0.05"/>
    <x v="6"/>
    <n v="112.5"/>
  </r>
  <r>
    <s v="Ord-ID-634"/>
    <x v="26"/>
    <x v="2"/>
    <x v="2"/>
    <n v="5"/>
    <n v="230"/>
    <x v="61"/>
    <n v="0.01"/>
    <x v="7"/>
    <n v="11.5"/>
  </r>
  <r>
    <s v="Ord-ID-635"/>
    <x v="26"/>
    <x v="2"/>
    <x v="2"/>
    <n v="14"/>
    <n v="230"/>
    <x v="80"/>
    <n v="0.03"/>
    <x v="8"/>
    <n v="96.6"/>
  </r>
  <r>
    <s v="Ord-ID-636"/>
    <x v="26"/>
    <x v="1"/>
    <x v="4"/>
    <n v="23"/>
    <n v="40"/>
    <x v="15"/>
    <n v="0.05"/>
    <x v="9"/>
    <n v="46"/>
  </r>
  <r>
    <s v="Ord-ID-637"/>
    <x v="26"/>
    <x v="0"/>
    <x v="3"/>
    <n v="22"/>
    <n v="80"/>
    <x v="24"/>
    <n v="0.03"/>
    <x v="6"/>
    <n v="52.8"/>
  </r>
  <r>
    <s v="Ord-ID-638"/>
    <x v="27"/>
    <x v="2"/>
    <x v="2"/>
    <n v="20"/>
    <n v="230"/>
    <x v="36"/>
    <n v="0.06"/>
    <x v="7"/>
    <n v="276"/>
  </r>
  <r>
    <s v="Ord-ID-639"/>
    <x v="27"/>
    <x v="2"/>
    <x v="1"/>
    <n v="15"/>
    <n v="230"/>
    <x v="13"/>
    <n v="0.09"/>
    <x v="8"/>
    <n v="310.5"/>
  </r>
  <r>
    <s v="Ord-ID-640"/>
    <x v="27"/>
    <x v="4"/>
    <x v="2"/>
    <n v="18"/>
    <n v="150"/>
    <x v="44"/>
    <n v="0.06"/>
    <x v="9"/>
    <n v="162"/>
  </r>
  <r>
    <s v="Ord-ID-641"/>
    <x v="27"/>
    <x v="2"/>
    <x v="0"/>
    <n v="3"/>
    <n v="230"/>
    <x v="33"/>
    <n v="0.11"/>
    <x v="6"/>
    <n v="75.900000000000006"/>
  </r>
  <r>
    <s v="Ord-ID-642"/>
    <x v="27"/>
    <x v="4"/>
    <x v="4"/>
    <n v="11"/>
    <n v="150"/>
    <x v="45"/>
    <n v="0.09"/>
    <x v="7"/>
    <n v="148.5"/>
  </r>
  <r>
    <s v="Ord-ID-643"/>
    <x v="27"/>
    <x v="2"/>
    <x v="0"/>
    <n v="11"/>
    <n v="230"/>
    <x v="76"/>
    <n v="0.02"/>
    <x v="8"/>
    <n v="50.6"/>
  </r>
  <r>
    <s v="Ord-ID-644"/>
    <x v="27"/>
    <x v="2"/>
    <x v="4"/>
    <n v="13"/>
    <n v="230"/>
    <x v="79"/>
    <n v="0.06"/>
    <x v="9"/>
    <n v="179.4"/>
  </r>
  <r>
    <s v="Ord-ID-645"/>
    <x v="28"/>
    <x v="0"/>
    <x v="3"/>
    <n v="11"/>
    <n v="80"/>
    <x v="17"/>
    <n v="0.01"/>
    <x v="6"/>
    <n v="8.8000000000000007"/>
  </r>
  <r>
    <s v="Ord-ID-646"/>
    <x v="28"/>
    <x v="0"/>
    <x v="4"/>
    <n v="17"/>
    <n v="80"/>
    <x v="29"/>
    <n v="7.0000000000000007E-2"/>
    <x v="7"/>
    <n v="95.2"/>
  </r>
  <r>
    <s v="Ord-ID-647"/>
    <x v="28"/>
    <x v="4"/>
    <x v="4"/>
    <n v="15"/>
    <n v="150"/>
    <x v="37"/>
    <n v="7.0000000000000007E-2"/>
    <x v="8"/>
    <n v="157.50000000000003"/>
  </r>
  <r>
    <s v="Ord-ID-648"/>
    <x v="28"/>
    <x v="3"/>
    <x v="4"/>
    <n v="14"/>
    <n v="16"/>
    <x v="27"/>
    <n v="0.06"/>
    <x v="9"/>
    <n v="13.44"/>
  </r>
  <r>
    <s v="Ord-ID-649"/>
    <x v="28"/>
    <x v="3"/>
    <x v="1"/>
    <n v="4"/>
    <n v="16"/>
    <x v="50"/>
    <n v="7.0000000000000007E-2"/>
    <x v="6"/>
    <n v="4.4800000000000004"/>
  </r>
  <r>
    <s v="Ord-ID-650"/>
    <x v="28"/>
    <x v="4"/>
    <x v="4"/>
    <n v="23"/>
    <n v="150"/>
    <x v="13"/>
    <n v="0.08"/>
    <x v="7"/>
    <n v="276"/>
  </r>
  <r>
    <s v="Ord-ID-651"/>
    <x v="28"/>
    <x v="0"/>
    <x v="2"/>
    <n v="10"/>
    <n v="80"/>
    <x v="20"/>
    <n v="0.11"/>
    <x v="8"/>
    <n v="88"/>
  </r>
  <r>
    <s v="Ord-ID-652"/>
    <x v="28"/>
    <x v="2"/>
    <x v="2"/>
    <n v="7"/>
    <n v="230"/>
    <x v="10"/>
    <n v="0.01"/>
    <x v="9"/>
    <n v="16.100000000000001"/>
  </r>
  <r>
    <s v="Ord-ID-653"/>
    <x v="28"/>
    <x v="2"/>
    <x v="0"/>
    <n v="16"/>
    <n v="230"/>
    <x v="81"/>
    <n v="7.0000000000000007E-2"/>
    <x v="6"/>
    <n v="257.60000000000002"/>
  </r>
  <r>
    <s v="Ord-ID-654"/>
    <x v="28"/>
    <x v="3"/>
    <x v="4"/>
    <n v="17"/>
    <n v="16"/>
    <x v="6"/>
    <n v="0.08"/>
    <x v="7"/>
    <n v="21.76"/>
  </r>
  <r>
    <s v="Ord-ID-655"/>
    <x v="29"/>
    <x v="0"/>
    <x v="4"/>
    <n v="6"/>
    <n v="80"/>
    <x v="0"/>
    <n v="0.09"/>
    <x v="8"/>
    <n v="43.199999999999996"/>
  </r>
  <r>
    <s v="Ord-ID-656"/>
    <x v="29"/>
    <x v="4"/>
    <x v="2"/>
    <n v="22"/>
    <n v="150"/>
    <x v="41"/>
    <n v="0.04"/>
    <x v="9"/>
    <n v="132"/>
  </r>
  <r>
    <s v="Ord-ID-657"/>
    <x v="29"/>
    <x v="1"/>
    <x v="4"/>
    <n v="20"/>
    <n v="40"/>
    <x v="20"/>
    <n v="0.03"/>
    <x v="6"/>
    <n v="24"/>
  </r>
  <r>
    <s v="Ord-ID-658"/>
    <x v="29"/>
    <x v="4"/>
    <x v="1"/>
    <n v="16"/>
    <n v="150"/>
    <x v="28"/>
    <n v="0.08"/>
    <x v="7"/>
    <n v="192"/>
  </r>
  <r>
    <s v="Ord-ID-659"/>
    <x v="29"/>
    <x v="0"/>
    <x v="1"/>
    <n v="5"/>
    <n v="80"/>
    <x v="65"/>
    <n v="7.0000000000000007E-2"/>
    <x v="8"/>
    <n v="28.000000000000004"/>
  </r>
  <r>
    <s v="Ord-ID-660"/>
    <x v="29"/>
    <x v="4"/>
    <x v="3"/>
    <n v="6"/>
    <n v="150"/>
    <x v="22"/>
    <n v="0.03"/>
    <x v="9"/>
    <n v="27"/>
  </r>
  <r>
    <s v="Ord-ID-661"/>
    <x v="30"/>
    <x v="0"/>
    <x v="1"/>
    <n v="9"/>
    <n v="80"/>
    <x v="11"/>
    <n v="0.03"/>
    <x v="6"/>
    <n v="21.599999999999998"/>
  </r>
  <r>
    <s v="Ord-ID-662"/>
    <x v="30"/>
    <x v="0"/>
    <x v="0"/>
    <n v="8"/>
    <n v="80"/>
    <x v="12"/>
    <n v="0.08"/>
    <x v="7"/>
    <n v="51.2"/>
  </r>
  <r>
    <s v="Ord-ID-663"/>
    <x v="30"/>
    <x v="2"/>
    <x v="3"/>
    <n v="8"/>
    <n v="230"/>
    <x v="3"/>
    <n v="0.01"/>
    <x v="8"/>
    <n v="18.400000000000002"/>
  </r>
  <r>
    <s v="Ord-ID-664"/>
    <x v="30"/>
    <x v="3"/>
    <x v="4"/>
    <n v="12"/>
    <n v="16"/>
    <x v="21"/>
    <n v="0.04"/>
    <x v="9"/>
    <n v="7.68"/>
  </r>
  <r>
    <s v="Ord-ID-665"/>
    <x v="30"/>
    <x v="3"/>
    <x v="3"/>
    <n v="18"/>
    <n v="16"/>
    <x v="53"/>
    <n v="0.04"/>
    <x v="6"/>
    <n v="11.52"/>
  </r>
  <r>
    <s v="Ord-ID-666"/>
    <x v="0"/>
    <x v="3"/>
    <x v="3"/>
    <n v="10"/>
    <n v="16"/>
    <x v="31"/>
    <n v="0.01"/>
    <x v="7"/>
    <n v="1.6"/>
  </r>
  <r>
    <s v="Ord-ID-667"/>
    <x v="0"/>
    <x v="3"/>
    <x v="3"/>
    <n v="14"/>
    <n v="16"/>
    <x v="27"/>
    <n v="0.12"/>
    <x v="8"/>
    <n v="26.88"/>
  </r>
  <r>
    <s v="Ord-ID-668"/>
    <x v="0"/>
    <x v="1"/>
    <x v="2"/>
    <n v="6"/>
    <n v="40"/>
    <x v="71"/>
    <n v="0.06"/>
    <x v="9"/>
    <n v="14.399999999999999"/>
  </r>
  <r>
    <s v="Ord-ID-669"/>
    <x v="0"/>
    <x v="1"/>
    <x v="3"/>
    <n v="13"/>
    <n v="40"/>
    <x v="26"/>
    <n v="0.09"/>
    <x v="6"/>
    <n v="46.8"/>
  </r>
  <r>
    <s v="Ord-ID-670"/>
    <x v="0"/>
    <x v="3"/>
    <x v="3"/>
    <n v="10"/>
    <n v="16"/>
    <x v="31"/>
    <n v="0.04"/>
    <x v="7"/>
    <n v="6.4"/>
  </r>
  <r>
    <s v="Ord-ID-671"/>
    <x v="0"/>
    <x v="0"/>
    <x v="1"/>
    <n v="14"/>
    <n v="80"/>
    <x v="42"/>
    <n v="0.11"/>
    <x v="8"/>
    <n v="123.2"/>
  </r>
  <r>
    <s v="Ord-ID-672"/>
    <x v="0"/>
    <x v="1"/>
    <x v="1"/>
    <n v="4"/>
    <n v="40"/>
    <x v="31"/>
    <n v="0.06"/>
    <x v="9"/>
    <n v="9.6"/>
  </r>
  <r>
    <s v="Ord-ID-673"/>
    <x v="0"/>
    <x v="1"/>
    <x v="2"/>
    <n v="11"/>
    <n v="40"/>
    <x v="49"/>
    <n v="0.05"/>
    <x v="6"/>
    <n v="22"/>
  </r>
  <r>
    <s v="Ord-ID-674"/>
    <x v="0"/>
    <x v="3"/>
    <x v="2"/>
    <n v="14"/>
    <n v="16"/>
    <x v="27"/>
    <n v="0.01"/>
    <x v="7"/>
    <n v="2.2400000000000002"/>
  </r>
  <r>
    <s v="Ord-ID-675"/>
    <x v="0"/>
    <x v="4"/>
    <x v="0"/>
    <n v="20"/>
    <n v="150"/>
    <x v="8"/>
    <n v="0.04"/>
    <x v="8"/>
    <n v="120"/>
  </r>
  <r>
    <s v="Ord-ID-676"/>
    <x v="0"/>
    <x v="1"/>
    <x v="3"/>
    <n v="9"/>
    <n v="40"/>
    <x v="18"/>
    <n v="0.06"/>
    <x v="9"/>
    <n v="21.599999999999998"/>
  </r>
  <r>
    <s v="Ord-ID-677"/>
    <x v="0"/>
    <x v="4"/>
    <x v="2"/>
    <n v="18"/>
    <n v="150"/>
    <x v="44"/>
    <n v="0.06"/>
    <x v="6"/>
    <n v="162"/>
  </r>
  <r>
    <s v="Ord-ID-678"/>
    <x v="0"/>
    <x v="2"/>
    <x v="4"/>
    <n v="17"/>
    <n v="230"/>
    <x v="59"/>
    <n v="0.11"/>
    <x v="7"/>
    <n v="430.1"/>
  </r>
  <r>
    <s v="Ord-ID-679"/>
    <x v="1"/>
    <x v="1"/>
    <x v="0"/>
    <n v="20"/>
    <n v="40"/>
    <x v="20"/>
    <n v="0.04"/>
    <x v="8"/>
    <n v="32"/>
  </r>
  <r>
    <s v="Ord-ID-680"/>
    <x v="1"/>
    <x v="1"/>
    <x v="0"/>
    <n v="23"/>
    <n v="40"/>
    <x v="15"/>
    <n v="0.03"/>
    <x v="9"/>
    <n v="27.599999999999998"/>
  </r>
  <r>
    <s v="Ord-ID-681"/>
    <x v="1"/>
    <x v="2"/>
    <x v="4"/>
    <n v="21"/>
    <n v="230"/>
    <x v="58"/>
    <n v="0.05"/>
    <x v="6"/>
    <n v="241.5"/>
  </r>
  <r>
    <s v="Ord-ID-682"/>
    <x v="1"/>
    <x v="0"/>
    <x v="2"/>
    <n v="6"/>
    <n v="80"/>
    <x v="0"/>
    <n v="0.09"/>
    <x v="7"/>
    <n v="43.199999999999996"/>
  </r>
  <r>
    <s v="Ord-ID-683"/>
    <x v="1"/>
    <x v="3"/>
    <x v="0"/>
    <n v="20"/>
    <n v="16"/>
    <x v="60"/>
    <n v="0.01"/>
    <x v="8"/>
    <n v="3.2"/>
  </r>
  <r>
    <s v="Ord-ID-684"/>
    <x v="1"/>
    <x v="1"/>
    <x v="1"/>
    <n v="8"/>
    <n v="40"/>
    <x v="60"/>
    <n v="0.09"/>
    <x v="9"/>
    <n v="28.799999999999997"/>
  </r>
  <r>
    <s v="Ord-ID-685"/>
    <x v="1"/>
    <x v="2"/>
    <x v="1"/>
    <n v="15"/>
    <n v="230"/>
    <x v="13"/>
    <n v="0.09"/>
    <x v="6"/>
    <n v="310.5"/>
  </r>
  <r>
    <s v="Ord-ID-686"/>
    <x v="2"/>
    <x v="0"/>
    <x v="3"/>
    <n v="21"/>
    <n v="80"/>
    <x v="40"/>
    <n v="0.02"/>
    <x v="7"/>
    <n v="33.6"/>
  </r>
  <r>
    <s v="Ord-ID-687"/>
    <x v="2"/>
    <x v="0"/>
    <x v="3"/>
    <n v="19"/>
    <n v="80"/>
    <x v="5"/>
    <n v="0.02"/>
    <x v="8"/>
    <n v="30.400000000000002"/>
  </r>
  <r>
    <s v="Ord-ID-688"/>
    <x v="2"/>
    <x v="3"/>
    <x v="0"/>
    <n v="7"/>
    <n v="16"/>
    <x v="25"/>
    <n v="0.08"/>
    <x v="9"/>
    <n v="8.9600000000000009"/>
  </r>
  <r>
    <s v="Ord-ID-689"/>
    <x v="2"/>
    <x v="1"/>
    <x v="4"/>
    <n v="11"/>
    <n v="40"/>
    <x v="49"/>
    <n v="0.05"/>
    <x v="6"/>
    <n v="22"/>
  </r>
  <r>
    <s v="Ord-ID-690"/>
    <x v="2"/>
    <x v="2"/>
    <x v="3"/>
    <n v="8"/>
    <n v="230"/>
    <x v="3"/>
    <n v="0.05"/>
    <x v="7"/>
    <n v="92"/>
  </r>
  <r>
    <s v="Ord-ID-691"/>
    <x v="2"/>
    <x v="0"/>
    <x v="0"/>
    <n v="18"/>
    <n v="80"/>
    <x v="47"/>
    <n v="0.02"/>
    <x v="8"/>
    <n v="28.8"/>
  </r>
  <r>
    <s v="Ord-ID-692"/>
    <x v="2"/>
    <x v="1"/>
    <x v="0"/>
    <n v="7"/>
    <n v="40"/>
    <x v="69"/>
    <n v="0.1"/>
    <x v="9"/>
    <n v="28"/>
  </r>
  <r>
    <s v="Ord-ID-693"/>
    <x v="3"/>
    <x v="3"/>
    <x v="0"/>
    <n v="16"/>
    <n v="16"/>
    <x v="62"/>
    <n v="0.03"/>
    <x v="6"/>
    <n v="7.68"/>
  </r>
  <r>
    <s v="Ord-ID-694"/>
    <x v="3"/>
    <x v="0"/>
    <x v="0"/>
    <n v="8"/>
    <n v="80"/>
    <x v="12"/>
    <n v="0.08"/>
    <x v="7"/>
    <n v="51.2"/>
  </r>
  <r>
    <s v="Ord-ID-695"/>
    <x v="3"/>
    <x v="2"/>
    <x v="4"/>
    <n v="22"/>
    <n v="230"/>
    <x v="2"/>
    <n v="0.1"/>
    <x v="8"/>
    <n v="506"/>
  </r>
  <r>
    <s v="Ord-ID-696"/>
    <x v="3"/>
    <x v="2"/>
    <x v="4"/>
    <n v="3"/>
    <n v="230"/>
    <x v="33"/>
    <n v="0.1"/>
    <x v="9"/>
    <n v="69"/>
  </r>
  <r>
    <s v="Ord-ID-697"/>
    <x v="3"/>
    <x v="2"/>
    <x v="4"/>
    <n v="20"/>
    <n v="230"/>
    <x v="36"/>
    <n v="0.11"/>
    <x v="6"/>
    <n v="506"/>
  </r>
  <r>
    <s v="Ord-ID-698"/>
    <x v="3"/>
    <x v="3"/>
    <x v="2"/>
    <n v="12"/>
    <n v="16"/>
    <x v="21"/>
    <n v="0.03"/>
    <x v="7"/>
    <n v="5.76"/>
  </r>
  <r>
    <s v="Ord-ID-699"/>
    <x v="3"/>
    <x v="1"/>
    <x v="4"/>
    <n v="20"/>
    <n v="40"/>
    <x v="20"/>
    <n v="7.0000000000000007E-2"/>
    <x v="8"/>
    <n v="56.000000000000007"/>
  </r>
  <r>
    <s v="Ord-ID-700"/>
    <x v="3"/>
    <x v="2"/>
    <x v="0"/>
    <n v="3"/>
    <n v="230"/>
    <x v="33"/>
    <n v="0.06"/>
    <x v="9"/>
    <n v="41.4"/>
  </r>
  <r>
    <s v="Ord-ID-701"/>
    <x v="3"/>
    <x v="0"/>
    <x v="3"/>
    <n v="16"/>
    <n v="80"/>
    <x v="19"/>
    <n v="7.0000000000000007E-2"/>
    <x v="6"/>
    <n v="89.600000000000009"/>
  </r>
  <r>
    <s v="Ord-ID-702"/>
    <x v="4"/>
    <x v="1"/>
    <x v="4"/>
    <n v="3"/>
    <n v="40"/>
    <x v="57"/>
    <n v="0.03"/>
    <x v="7"/>
    <n v="3.5999999999999996"/>
  </r>
  <r>
    <s v="Ord-ID-703"/>
    <x v="4"/>
    <x v="2"/>
    <x v="2"/>
    <n v="12"/>
    <n v="230"/>
    <x v="4"/>
    <n v="0.03"/>
    <x v="8"/>
    <n v="82.8"/>
  </r>
  <r>
    <s v="Ord-ID-704"/>
    <x v="4"/>
    <x v="1"/>
    <x v="3"/>
    <n v="22"/>
    <n v="40"/>
    <x v="17"/>
    <n v="0.01"/>
    <x v="9"/>
    <n v="8.8000000000000007"/>
  </r>
  <r>
    <s v="Ord-ID-705"/>
    <x v="4"/>
    <x v="1"/>
    <x v="1"/>
    <n v="19"/>
    <n v="40"/>
    <x v="52"/>
    <n v="0.1"/>
    <x v="6"/>
    <n v="76"/>
  </r>
  <r>
    <s v="Ord-ID-706"/>
    <x v="4"/>
    <x v="0"/>
    <x v="1"/>
    <n v="21"/>
    <n v="80"/>
    <x v="40"/>
    <n v="0.04"/>
    <x v="7"/>
    <n v="67.2"/>
  </r>
  <r>
    <s v="Ord-ID-707"/>
    <x v="4"/>
    <x v="0"/>
    <x v="1"/>
    <n v="2"/>
    <n v="80"/>
    <x v="31"/>
    <n v="0.04"/>
    <x v="8"/>
    <n v="6.4"/>
  </r>
  <r>
    <s v="Ord-ID-708"/>
    <x v="4"/>
    <x v="4"/>
    <x v="1"/>
    <n v="15"/>
    <n v="150"/>
    <x v="37"/>
    <n v="0.02"/>
    <x v="9"/>
    <n v="45"/>
  </r>
  <r>
    <s v="Ord-ID-709"/>
    <x v="5"/>
    <x v="1"/>
    <x v="1"/>
    <n v="14"/>
    <n v="40"/>
    <x v="1"/>
    <n v="0.06"/>
    <x v="6"/>
    <n v="33.6"/>
  </r>
  <r>
    <s v="Ord-ID-710"/>
    <x v="5"/>
    <x v="0"/>
    <x v="3"/>
    <n v="7"/>
    <n v="80"/>
    <x v="1"/>
    <n v="7.0000000000000007E-2"/>
    <x v="7"/>
    <n v="39.200000000000003"/>
  </r>
  <r>
    <s v="Ord-ID-711"/>
    <x v="5"/>
    <x v="0"/>
    <x v="2"/>
    <n v="7"/>
    <n v="80"/>
    <x v="1"/>
    <n v="0.05"/>
    <x v="8"/>
    <n v="28"/>
  </r>
  <r>
    <s v="Ord-ID-712"/>
    <x v="5"/>
    <x v="4"/>
    <x v="1"/>
    <n v="10"/>
    <n v="150"/>
    <x v="77"/>
    <n v="0.01"/>
    <x v="9"/>
    <n v="15"/>
  </r>
  <r>
    <s v="Ord-ID-713"/>
    <x v="5"/>
    <x v="0"/>
    <x v="2"/>
    <n v="10"/>
    <n v="80"/>
    <x v="20"/>
    <n v="0.08"/>
    <x v="6"/>
    <n v="64"/>
  </r>
  <r>
    <s v="Ord-ID-714"/>
    <x v="5"/>
    <x v="0"/>
    <x v="3"/>
    <n v="15"/>
    <n v="80"/>
    <x v="74"/>
    <n v="0.08"/>
    <x v="7"/>
    <n v="96"/>
  </r>
  <r>
    <s v="Ord-ID-715"/>
    <x v="5"/>
    <x v="2"/>
    <x v="3"/>
    <n v="18"/>
    <n v="230"/>
    <x v="82"/>
    <n v="0.01"/>
    <x v="8"/>
    <n v="41.4"/>
  </r>
  <r>
    <s v="Ord-ID-716"/>
    <x v="5"/>
    <x v="0"/>
    <x v="0"/>
    <n v="8"/>
    <n v="80"/>
    <x v="12"/>
    <n v="0.09"/>
    <x v="9"/>
    <n v="57.599999999999994"/>
  </r>
  <r>
    <s v="Ord-ID-717"/>
    <x v="5"/>
    <x v="3"/>
    <x v="2"/>
    <n v="6"/>
    <n v="16"/>
    <x v="67"/>
    <n v="0.01"/>
    <x v="6"/>
    <n v="0.96"/>
  </r>
  <r>
    <s v="Ord-ID-718"/>
    <x v="5"/>
    <x v="2"/>
    <x v="1"/>
    <n v="9"/>
    <n v="230"/>
    <x v="68"/>
    <n v="0.03"/>
    <x v="7"/>
    <n v="62.099999999999994"/>
  </r>
  <r>
    <s v="Ord-ID-719"/>
    <x v="6"/>
    <x v="1"/>
    <x v="3"/>
    <n v="15"/>
    <n v="40"/>
    <x v="39"/>
    <n v="0.03"/>
    <x v="8"/>
    <n v="18"/>
  </r>
  <r>
    <s v="Ord-ID-720"/>
    <x v="6"/>
    <x v="1"/>
    <x v="1"/>
    <n v="15"/>
    <n v="40"/>
    <x v="39"/>
    <n v="0.04"/>
    <x v="9"/>
    <n v="24"/>
  </r>
  <r>
    <s v="Ord-ID-721"/>
    <x v="6"/>
    <x v="3"/>
    <x v="4"/>
    <n v="11"/>
    <n v="16"/>
    <x v="23"/>
    <n v="0.12"/>
    <x v="6"/>
    <n v="21.119999999999997"/>
  </r>
  <r>
    <s v="Ord-ID-722"/>
    <x v="6"/>
    <x v="3"/>
    <x v="0"/>
    <n v="12"/>
    <n v="16"/>
    <x v="21"/>
    <n v="0.11"/>
    <x v="2"/>
    <n v="21.12"/>
  </r>
  <r>
    <s v="Ord-ID-723"/>
    <x v="6"/>
    <x v="3"/>
    <x v="3"/>
    <n v="18"/>
    <n v="16"/>
    <x v="53"/>
    <n v="0.04"/>
    <x v="8"/>
    <n v="11.52"/>
  </r>
  <r>
    <s v="Ord-ID-724"/>
    <x v="6"/>
    <x v="1"/>
    <x v="2"/>
    <n v="20"/>
    <n v="40"/>
    <x v="20"/>
    <n v="0.01"/>
    <x v="2"/>
    <n v="8"/>
  </r>
  <r>
    <s v="Ord-ID-725"/>
    <x v="6"/>
    <x v="4"/>
    <x v="4"/>
    <n v="7"/>
    <n v="150"/>
    <x v="7"/>
    <n v="0.03"/>
    <x v="8"/>
    <n v="31.5"/>
  </r>
  <r>
    <s v="Ord-ID-726"/>
    <x v="6"/>
    <x v="1"/>
    <x v="3"/>
    <n v="23"/>
    <n v="40"/>
    <x v="15"/>
    <n v="0.06"/>
    <x v="2"/>
    <n v="55.199999999999996"/>
  </r>
  <r>
    <s v="Ord-ID-727"/>
    <x v="6"/>
    <x v="0"/>
    <x v="0"/>
    <n v="7"/>
    <n v="80"/>
    <x v="1"/>
    <n v="0.02"/>
    <x v="8"/>
    <n v="11.200000000000001"/>
  </r>
  <r>
    <s v="Ord-ID-728"/>
    <x v="6"/>
    <x v="4"/>
    <x v="1"/>
    <n v="16"/>
    <n v="150"/>
    <x v="28"/>
    <n v="0.05"/>
    <x v="2"/>
    <n v="120"/>
  </r>
  <r>
    <s v="Ord-ID-729"/>
    <x v="6"/>
    <x v="2"/>
    <x v="1"/>
    <n v="6"/>
    <n v="230"/>
    <x v="38"/>
    <n v="0.1"/>
    <x v="8"/>
    <n v="138"/>
  </r>
  <r>
    <s v="Ord-ID-730"/>
    <x v="7"/>
    <x v="1"/>
    <x v="4"/>
    <n v="7"/>
    <n v="40"/>
    <x v="69"/>
    <n v="0.12"/>
    <x v="2"/>
    <n v="33.6"/>
  </r>
  <r>
    <s v="Ord-ID-731"/>
    <x v="7"/>
    <x v="0"/>
    <x v="2"/>
    <n v="23"/>
    <n v="80"/>
    <x v="3"/>
    <n v="0.05"/>
    <x v="8"/>
    <n v="92"/>
  </r>
  <r>
    <s v="Ord-ID-732"/>
    <x v="7"/>
    <x v="0"/>
    <x v="3"/>
    <n v="16"/>
    <n v="80"/>
    <x v="19"/>
    <n v="0.1"/>
    <x v="2"/>
    <n v="128"/>
  </r>
  <r>
    <s v="Ord-ID-733"/>
    <x v="7"/>
    <x v="0"/>
    <x v="0"/>
    <n v="16"/>
    <n v="80"/>
    <x v="19"/>
    <n v="0.03"/>
    <x v="8"/>
    <n v="38.4"/>
  </r>
  <r>
    <s v="Ord-ID-734"/>
    <x v="7"/>
    <x v="0"/>
    <x v="4"/>
    <n v="22"/>
    <n v="80"/>
    <x v="24"/>
    <n v="0.09"/>
    <x v="2"/>
    <n v="158.4"/>
  </r>
  <r>
    <s v="Ord-ID-735"/>
    <x v="7"/>
    <x v="3"/>
    <x v="0"/>
    <n v="18"/>
    <n v="16"/>
    <x v="53"/>
    <n v="0.05"/>
    <x v="8"/>
    <n v="14.4"/>
  </r>
  <r>
    <s v="Ord-ID-736"/>
    <x v="7"/>
    <x v="2"/>
    <x v="4"/>
    <n v="5"/>
    <n v="230"/>
    <x v="61"/>
    <n v="0.12"/>
    <x v="2"/>
    <n v="138"/>
  </r>
  <r>
    <s v="Ord-ID-737"/>
    <x v="7"/>
    <x v="4"/>
    <x v="4"/>
    <n v="7"/>
    <n v="150"/>
    <x v="7"/>
    <n v="0.02"/>
    <x v="8"/>
    <n v="21"/>
  </r>
  <r>
    <s v="Ord-ID-738"/>
    <x v="7"/>
    <x v="1"/>
    <x v="2"/>
    <n v="2"/>
    <n v="40"/>
    <x v="64"/>
    <n v="0.03"/>
    <x v="2"/>
    <n v="2.4"/>
  </r>
  <r>
    <s v="Ord-ID-739"/>
    <x v="7"/>
    <x v="1"/>
    <x v="3"/>
    <n v="11"/>
    <n v="40"/>
    <x v="49"/>
    <n v="0.06"/>
    <x v="8"/>
    <n v="26.4"/>
  </r>
  <r>
    <s v="Ord-ID-740"/>
    <x v="7"/>
    <x v="0"/>
    <x v="3"/>
    <n v="7"/>
    <n v="80"/>
    <x v="1"/>
    <n v="0.02"/>
    <x v="2"/>
    <n v="11.200000000000001"/>
  </r>
  <r>
    <s v="Ord-ID-741"/>
    <x v="8"/>
    <x v="1"/>
    <x v="2"/>
    <n v="4"/>
    <n v="40"/>
    <x v="31"/>
    <n v="0.11"/>
    <x v="8"/>
    <n v="17.600000000000001"/>
  </r>
  <r>
    <s v="Ord-ID-742"/>
    <x v="8"/>
    <x v="1"/>
    <x v="2"/>
    <n v="2"/>
    <n v="40"/>
    <x v="64"/>
    <n v="0.02"/>
    <x v="2"/>
    <n v="1.6"/>
  </r>
  <r>
    <s v="Ord-ID-743"/>
    <x v="8"/>
    <x v="2"/>
    <x v="3"/>
    <n v="23"/>
    <n v="230"/>
    <x v="32"/>
    <n v="0.06"/>
    <x v="8"/>
    <n v="317.39999999999998"/>
  </r>
  <r>
    <s v="Ord-ID-744"/>
    <x v="8"/>
    <x v="0"/>
    <x v="4"/>
    <n v="21"/>
    <n v="80"/>
    <x v="40"/>
    <n v="0.09"/>
    <x v="2"/>
    <n v="151.19999999999999"/>
  </r>
  <r>
    <s v="Ord-ID-745"/>
    <x v="8"/>
    <x v="0"/>
    <x v="4"/>
    <n v="9"/>
    <n v="80"/>
    <x v="11"/>
    <n v="0.06"/>
    <x v="8"/>
    <n v="43.199999999999996"/>
  </r>
  <r>
    <s v="Ord-ID-746"/>
    <x v="8"/>
    <x v="0"/>
    <x v="4"/>
    <n v="22"/>
    <n v="80"/>
    <x v="24"/>
    <n v="0.11"/>
    <x v="2"/>
    <n v="193.6"/>
  </r>
  <r>
    <s v="Ord-ID-747"/>
    <x v="9"/>
    <x v="2"/>
    <x v="2"/>
    <n v="15"/>
    <n v="230"/>
    <x v="13"/>
    <n v="0.11"/>
    <x v="8"/>
    <n v="379.5"/>
  </r>
  <r>
    <s v="Ord-ID-748"/>
    <x v="9"/>
    <x v="1"/>
    <x v="1"/>
    <n v="7"/>
    <n v="40"/>
    <x v="69"/>
    <n v="0.01"/>
    <x v="2"/>
    <n v="2.8000000000000003"/>
  </r>
  <r>
    <s v="Ord-ID-749"/>
    <x v="9"/>
    <x v="4"/>
    <x v="4"/>
    <n v="17"/>
    <n v="150"/>
    <x v="55"/>
    <n v="0.02"/>
    <x v="8"/>
    <n v="51"/>
  </r>
  <r>
    <s v="Ord-ID-750"/>
    <x v="9"/>
    <x v="4"/>
    <x v="1"/>
    <n v="22"/>
    <n v="150"/>
    <x v="41"/>
    <n v="0.02"/>
    <x v="2"/>
    <n v="66"/>
  </r>
  <r>
    <s v="Ord-ID-751"/>
    <x v="9"/>
    <x v="2"/>
    <x v="2"/>
    <n v="10"/>
    <n v="230"/>
    <x v="51"/>
    <n v="0.02"/>
    <x v="8"/>
    <n v="46"/>
  </r>
  <r>
    <s v="Ord-ID-752"/>
    <x v="9"/>
    <x v="1"/>
    <x v="4"/>
    <n v="21"/>
    <n v="40"/>
    <x v="54"/>
    <n v="0.01"/>
    <x v="2"/>
    <n v="8.4"/>
  </r>
  <r>
    <s v="Ord-ID-753"/>
    <x v="9"/>
    <x v="2"/>
    <x v="2"/>
    <n v="5"/>
    <n v="230"/>
    <x v="61"/>
    <n v="0.1"/>
    <x v="8"/>
    <n v="115"/>
  </r>
  <r>
    <s v="Ord-ID-754"/>
    <x v="9"/>
    <x v="2"/>
    <x v="4"/>
    <n v="13"/>
    <n v="230"/>
    <x v="79"/>
    <n v="0.06"/>
    <x v="2"/>
    <n v="179.4"/>
  </r>
  <r>
    <s v="Ord-ID-755"/>
    <x v="9"/>
    <x v="4"/>
    <x v="0"/>
    <n v="23"/>
    <n v="150"/>
    <x v="13"/>
    <n v="0.1"/>
    <x v="8"/>
    <n v="345"/>
  </r>
  <r>
    <s v="Ord-ID-756"/>
    <x v="9"/>
    <x v="4"/>
    <x v="0"/>
    <n v="20"/>
    <n v="150"/>
    <x v="8"/>
    <n v="0.03"/>
    <x v="2"/>
    <n v="90"/>
  </r>
  <r>
    <s v="Ord-ID-757"/>
    <x v="10"/>
    <x v="2"/>
    <x v="0"/>
    <n v="3"/>
    <n v="230"/>
    <x v="33"/>
    <n v="0.11"/>
    <x v="8"/>
    <n v="75.900000000000006"/>
  </r>
  <r>
    <s v="Ord-ID-758"/>
    <x v="10"/>
    <x v="4"/>
    <x v="1"/>
    <n v="16"/>
    <n v="150"/>
    <x v="28"/>
    <n v="0.08"/>
    <x v="2"/>
    <n v="192"/>
  </r>
  <r>
    <s v="Ord-ID-759"/>
    <x v="10"/>
    <x v="3"/>
    <x v="4"/>
    <n v="14"/>
    <n v="16"/>
    <x v="27"/>
    <n v="0.06"/>
    <x v="8"/>
    <n v="13.44"/>
  </r>
  <r>
    <s v="Ord-ID-760"/>
    <x v="10"/>
    <x v="4"/>
    <x v="1"/>
    <n v="16"/>
    <n v="150"/>
    <x v="28"/>
    <n v="0.03"/>
    <x v="2"/>
    <n v="72"/>
  </r>
  <r>
    <s v="Ord-ID-761"/>
    <x v="10"/>
    <x v="3"/>
    <x v="4"/>
    <n v="19"/>
    <n v="16"/>
    <x v="66"/>
    <n v="0.02"/>
    <x v="8"/>
    <n v="6.08"/>
  </r>
  <r>
    <s v="Ord-ID-762"/>
    <x v="10"/>
    <x v="0"/>
    <x v="4"/>
    <n v="6"/>
    <n v="80"/>
    <x v="0"/>
    <n v="0.09"/>
    <x v="2"/>
    <n v="43.199999999999996"/>
  </r>
  <r>
    <s v="Ord-ID-763"/>
    <x v="10"/>
    <x v="0"/>
    <x v="4"/>
    <n v="9"/>
    <n v="80"/>
    <x v="11"/>
    <n v="7.0000000000000007E-2"/>
    <x v="8"/>
    <n v="50.400000000000006"/>
  </r>
  <r>
    <s v="Ord-ID-764"/>
    <x v="10"/>
    <x v="4"/>
    <x v="1"/>
    <n v="20"/>
    <n v="150"/>
    <x v="8"/>
    <n v="0.09"/>
    <x v="2"/>
    <n v="270"/>
  </r>
  <r>
    <s v="Ord-ID-765"/>
    <x v="10"/>
    <x v="0"/>
    <x v="2"/>
    <n v="10"/>
    <n v="80"/>
    <x v="20"/>
    <n v="0.11"/>
    <x v="8"/>
    <n v="88"/>
  </r>
  <r>
    <s v="Ord-ID-766"/>
    <x v="10"/>
    <x v="3"/>
    <x v="0"/>
    <n v="4"/>
    <n v="16"/>
    <x v="50"/>
    <n v="0.12"/>
    <x v="2"/>
    <n v="7.68"/>
  </r>
  <r>
    <s v="Ord-ID-767"/>
    <x v="10"/>
    <x v="1"/>
    <x v="4"/>
    <n v="16"/>
    <n v="40"/>
    <x v="12"/>
    <n v="0.11"/>
    <x v="8"/>
    <n v="70.400000000000006"/>
  </r>
  <r>
    <s v="Ord-ID-768"/>
    <x v="11"/>
    <x v="0"/>
    <x v="1"/>
    <n v="5"/>
    <n v="80"/>
    <x v="65"/>
    <n v="0.04"/>
    <x v="2"/>
    <n v="16"/>
  </r>
  <r>
    <s v="Ord-ID-769"/>
    <x v="11"/>
    <x v="3"/>
    <x v="2"/>
    <n v="11"/>
    <n v="16"/>
    <x v="23"/>
    <n v="0.04"/>
    <x v="8"/>
    <n v="7.04"/>
  </r>
  <r>
    <s v="Ord-ID-770"/>
    <x v="11"/>
    <x v="4"/>
    <x v="0"/>
    <n v="17"/>
    <n v="150"/>
    <x v="55"/>
    <n v="0.12"/>
    <x v="2"/>
    <n v="306"/>
  </r>
  <r>
    <s v="Ord-ID-771"/>
    <x v="11"/>
    <x v="2"/>
    <x v="1"/>
    <n v="19"/>
    <n v="230"/>
    <x v="30"/>
    <n v="0.11"/>
    <x v="8"/>
    <n v="480.7"/>
  </r>
  <r>
    <s v="Ord-ID-772"/>
    <x v="11"/>
    <x v="0"/>
    <x v="0"/>
    <n v="21"/>
    <n v="80"/>
    <x v="40"/>
    <n v="0.04"/>
    <x v="2"/>
    <n v="67.2"/>
  </r>
  <r>
    <s v="Ord-ID-773"/>
    <x v="11"/>
    <x v="2"/>
    <x v="1"/>
    <n v="7"/>
    <n v="230"/>
    <x v="10"/>
    <n v="0.01"/>
    <x v="8"/>
    <n v="16.100000000000001"/>
  </r>
  <r>
    <s v="Ord-ID-774"/>
    <x v="11"/>
    <x v="1"/>
    <x v="2"/>
    <n v="2"/>
    <n v="40"/>
    <x v="64"/>
    <n v="0.03"/>
    <x v="2"/>
    <n v="2.4"/>
  </r>
  <r>
    <s v="Ord-ID-775"/>
    <x v="11"/>
    <x v="4"/>
    <x v="0"/>
    <n v="7"/>
    <n v="150"/>
    <x v="7"/>
    <n v="0.02"/>
    <x v="8"/>
    <n v="21"/>
  </r>
  <r>
    <s v="Ord-ID-776"/>
    <x v="12"/>
    <x v="0"/>
    <x v="2"/>
    <n v="16"/>
    <n v="80"/>
    <x v="19"/>
    <n v="0.04"/>
    <x v="2"/>
    <n v="51.2"/>
  </r>
  <r>
    <s v="Ord-ID-777"/>
    <x v="12"/>
    <x v="1"/>
    <x v="1"/>
    <n v="4"/>
    <n v="40"/>
    <x v="31"/>
    <n v="0.12"/>
    <x v="8"/>
    <n v="19.2"/>
  </r>
  <r>
    <s v="Ord-ID-778"/>
    <x v="12"/>
    <x v="3"/>
    <x v="0"/>
    <n v="22"/>
    <n v="16"/>
    <x v="14"/>
    <n v="0.01"/>
    <x v="2"/>
    <n v="3.52"/>
  </r>
  <r>
    <s v="Ord-ID-779"/>
    <x v="12"/>
    <x v="1"/>
    <x v="3"/>
    <n v="18"/>
    <n v="40"/>
    <x v="11"/>
    <n v="0.06"/>
    <x v="8"/>
    <n v="43.199999999999996"/>
  </r>
  <r>
    <s v="Ord-ID-780"/>
    <x v="12"/>
    <x v="0"/>
    <x v="2"/>
    <n v="6"/>
    <n v="80"/>
    <x v="0"/>
    <n v="0.01"/>
    <x v="2"/>
    <n v="4.8"/>
  </r>
  <r>
    <s v="Ord-ID-781"/>
    <x v="12"/>
    <x v="2"/>
    <x v="2"/>
    <n v="2"/>
    <n v="230"/>
    <x v="56"/>
    <n v="0.09"/>
    <x v="8"/>
    <n v="41.4"/>
  </r>
  <r>
    <s v="Ord-ID-782"/>
    <x v="13"/>
    <x v="4"/>
    <x v="4"/>
    <n v="11"/>
    <n v="150"/>
    <x v="45"/>
    <n v="0.09"/>
    <x v="2"/>
    <n v="148.5"/>
  </r>
  <r>
    <s v="Ord-ID-783"/>
    <x v="13"/>
    <x v="4"/>
    <x v="3"/>
    <n v="15"/>
    <n v="150"/>
    <x v="37"/>
    <n v="0.08"/>
    <x v="8"/>
    <n v="180"/>
  </r>
  <r>
    <s v="Ord-ID-784"/>
    <x v="13"/>
    <x v="0"/>
    <x v="0"/>
    <n v="17"/>
    <n v="80"/>
    <x v="29"/>
    <n v="0.09"/>
    <x v="2"/>
    <n v="122.39999999999999"/>
  </r>
  <r>
    <s v="Ord-ID-785"/>
    <x v="13"/>
    <x v="4"/>
    <x v="4"/>
    <n v="13"/>
    <n v="150"/>
    <x v="34"/>
    <n v="0.11"/>
    <x v="8"/>
    <n v="214.5"/>
  </r>
  <r>
    <s v="Ord-ID-786"/>
    <x v="13"/>
    <x v="1"/>
    <x v="3"/>
    <n v="7"/>
    <n v="40"/>
    <x v="69"/>
    <n v="7.0000000000000007E-2"/>
    <x v="2"/>
    <n v="19.600000000000001"/>
  </r>
  <r>
    <s v="Ord-ID-787"/>
    <x v="13"/>
    <x v="2"/>
    <x v="3"/>
    <n v="3"/>
    <n v="230"/>
    <x v="33"/>
    <n v="0.01"/>
    <x v="8"/>
    <n v="6.9"/>
  </r>
  <r>
    <s v="Ord-ID-788"/>
    <x v="13"/>
    <x v="1"/>
    <x v="2"/>
    <n v="12"/>
    <n v="40"/>
    <x v="0"/>
    <n v="0.02"/>
    <x v="2"/>
    <n v="9.6"/>
  </r>
  <r>
    <s v="Ord-ID-789"/>
    <x v="13"/>
    <x v="4"/>
    <x v="2"/>
    <n v="11"/>
    <n v="150"/>
    <x v="45"/>
    <n v="0.11"/>
    <x v="8"/>
    <n v="181.5"/>
  </r>
  <r>
    <s v="Ord-ID-790"/>
    <x v="13"/>
    <x v="1"/>
    <x v="1"/>
    <n v="21"/>
    <n v="40"/>
    <x v="54"/>
    <n v="0.03"/>
    <x v="2"/>
    <n v="25.2"/>
  </r>
  <r>
    <s v="Ord-ID-791"/>
    <x v="13"/>
    <x v="4"/>
    <x v="0"/>
    <n v="22"/>
    <n v="150"/>
    <x v="41"/>
    <n v="7.0000000000000007E-2"/>
    <x v="8"/>
    <n v="231.00000000000003"/>
  </r>
  <r>
    <s v="Ord-ID-792"/>
    <x v="13"/>
    <x v="1"/>
    <x v="2"/>
    <n v="20"/>
    <n v="40"/>
    <x v="20"/>
    <n v="0.01"/>
    <x v="2"/>
    <n v="8"/>
  </r>
  <r>
    <s v="Ord-ID-793"/>
    <x v="14"/>
    <x v="3"/>
    <x v="4"/>
    <n v="22"/>
    <n v="16"/>
    <x v="14"/>
    <n v="0.12"/>
    <x v="8"/>
    <n v="42.239999999999995"/>
  </r>
  <r>
    <s v="Ord-ID-794"/>
    <x v="14"/>
    <x v="1"/>
    <x v="2"/>
    <n v="4"/>
    <n v="40"/>
    <x v="31"/>
    <n v="0.1"/>
    <x v="2"/>
    <n v="16"/>
  </r>
  <r>
    <s v="Ord-ID-795"/>
    <x v="14"/>
    <x v="2"/>
    <x v="3"/>
    <n v="2"/>
    <n v="230"/>
    <x v="56"/>
    <n v="0.09"/>
    <x v="8"/>
    <n v="41.4"/>
  </r>
  <r>
    <s v="Ord-ID-796"/>
    <x v="14"/>
    <x v="1"/>
    <x v="0"/>
    <n v="22"/>
    <n v="40"/>
    <x v="17"/>
    <n v="0.02"/>
    <x v="2"/>
    <n v="17.600000000000001"/>
  </r>
  <r>
    <s v="Ord-ID-797"/>
    <x v="14"/>
    <x v="1"/>
    <x v="1"/>
    <n v="4"/>
    <n v="40"/>
    <x v="31"/>
    <n v="0.03"/>
    <x v="8"/>
    <n v="4.8"/>
  </r>
  <r>
    <s v="Ord-ID-798"/>
    <x v="14"/>
    <x v="3"/>
    <x v="1"/>
    <n v="5"/>
    <n v="16"/>
    <x v="64"/>
    <n v="0.11"/>
    <x v="2"/>
    <n v="8.8000000000000007"/>
  </r>
  <r>
    <s v="Ord-ID-799"/>
    <x v="14"/>
    <x v="0"/>
    <x v="3"/>
    <n v="2"/>
    <n v="80"/>
    <x v="31"/>
    <n v="0.08"/>
    <x v="8"/>
    <n v="12.8"/>
  </r>
  <r>
    <s v="Ord-ID-800"/>
    <x v="14"/>
    <x v="3"/>
    <x v="2"/>
    <n v="9"/>
    <n v="16"/>
    <x v="72"/>
    <n v="0.05"/>
    <x v="2"/>
    <n v="7.2"/>
  </r>
  <r>
    <s v="Ord-ID-801"/>
    <x v="14"/>
    <x v="2"/>
    <x v="2"/>
    <n v="6"/>
    <n v="230"/>
    <x v="38"/>
    <n v="0.05"/>
    <x v="8"/>
    <n v="69"/>
  </r>
  <r>
    <s v="Ord-ID-802"/>
    <x v="14"/>
    <x v="4"/>
    <x v="3"/>
    <n v="22"/>
    <n v="150"/>
    <x v="41"/>
    <n v="0.05"/>
    <x v="2"/>
    <n v="165"/>
  </r>
  <r>
    <s v="Ord-ID-803"/>
    <x v="15"/>
    <x v="2"/>
    <x v="3"/>
    <n v="8"/>
    <n v="230"/>
    <x v="3"/>
    <n v="0.01"/>
    <x v="8"/>
    <n v="18.400000000000002"/>
  </r>
  <r>
    <s v="Ord-ID-804"/>
    <x v="15"/>
    <x v="4"/>
    <x v="0"/>
    <n v="22"/>
    <n v="150"/>
    <x v="41"/>
    <n v="0.05"/>
    <x v="2"/>
    <n v="165"/>
  </r>
  <r>
    <s v="Ord-ID-805"/>
    <x v="15"/>
    <x v="1"/>
    <x v="0"/>
    <n v="5"/>
    <n v="40"/>
    <x v="70"/>
    <n v="0.06"/>
    <x v="8"/>
    <n v="12"/>
  </r>
  <r>
    <s v="Ord-ID-806"/>
    <x v="15"/>
    <x v="4"/>
    <x v="3"/>
    <n v="20"/>
    <n v="150"/>
    <x v="8"/>
    <n v="0.1"/>
    <x v="2"/>
    <n v="300"/>
  </r>
  <r>
    <s v="Ord-ID-807"/>
    <x v="15"/>
    <x v="0"/>
    <x v="3"/>
    <n v="22"/>
    <n v="80"/>
    <x v="24"/>
    <n v="0.03"/>
    <x v="8"/>
    <n v="52.8"/>
  </r>
  <r>
    <s v="Ord-ID-808"/>
    <x v="15"/>
    <x v="3"/>
    <x v="0"/>
    <n v="11"/>
    <n v="16"/>
    <x v="23"/>
    <n v="0.09"/>
    <x v="2"/>
    <n v="15.84"/>
  </r>
  <r>
    <s v="Ord-ID-809"/>
    <x v="15"/>
    <x v="3"/>
    <x v="1"/>
    <n v="22"/>
    <n v="16"/>
    <x v="14"/>
    <n v="0.01"/>
    <x v="8"/>
    <n v="3.52"/>
  </r>
  <r>
    <s v="Ord-ID-810"/>
    <x v="15"/>
    <x v="1"/>
    <x v="1"/>
    <n v="23"/>
    <n v="40"/>
    <x v="15"/>
    <n v="0.06"/>
    <x v="2"/>
    <n v="55.199999999999996"/>
  </r>
  <r>
    <s v="Ord-ID-811"/>
    <x v="15"/>
    <x v="0"/>
    <x v="2"/>
    <n v="14"/>
    <n v="80"/>
    <x v="42"/>
    <n v="0.1"/>
    <x v="8"/>
    <n v="112"/>
  </r>
  <r>
    <s v="Ord-ID-812"/>
    <x v="15"/>
    <x v="1"/>
    <x v="0"/>
    <n v="18"/>
    <n v="40"/>
    <x v="11"/>
    <n v="0.06"/>
    <x v="2"/>
    <n v="43.199999999999996"/>
  </r>
  <r>
    <s v="Ord-ID-813"/>
    <x v="16"/>
    <x v="4"/>
    <x v="3"/>
    <n v="7"/>
    <n v="150"/>
    <x v="7"/>
    <n v="0.05"/>
    <x v="1"/>
    <n v="52.5"/>
  </r>
  <r>
    <s v="Ord-ID-814"/>
    <x v="16"/>
    <x v="1"/>
    <x v="3"/>
    <n v="15"/>
    <n v="40"/>
    <x v="39"/>
    <n v="0.03"/>
    <x v="2"/>
    <n v="18"/>
  </r>
  <r>
    <s v="Ord-ID-815"/>
    <x v="16"/>
    <x v="3"/>
    <x v="0"/>
    <n v="7"/>
    <n v="16"/>
    <x v="25"/>
    <n v="0.02"/>
    <x v="3"/>
    <n v="2.2400000000000002"/>
  </r>
  <r>
    <s v="Ord-ID-816"/>
    <x v="16"/>
    <x v="3"/>
    <x v="3"/>
    <n v="15"/>
    <n v="16"/>
    <x v="71"/>
    <n v="0.12"/>
    <x v="4"/>
    <n v="28.799999999999997"/>
  </r>
  <r>
    <s v="Ord-ID-817"/>
    <x v="16"/>
    <x v="1"/>
    <x v="0"/>
    <n v="5"/>
    <n v="40"/>
    <x v="70"/>
    <n v="0.09"/>
    <x v="5"/>
    <n v="18"/>
  </r>
  <r>
    <s v="Ord-ID-818"/>
    <x v="16"/>
    <x v="1"/>
    <x v="4"/>
    <n v="20"/>
    <n v="40"/>
    <x v="20"/>
    <n v="0.03"/>
    <x v="6"/>
    <n v="24"/>
  </r>
  <r>
    <s v="Ord-ID-819"/>
    <x v="16"/>
    <x v="2"/>
    <x v="3"/>
    <n v="11"/>
    <n v="230"/>
    <x v="76"/>
    <n v="0.12"/>
    <x v="7"/>
    <n v="303.59999999999997"/>
  </r>
  <r>
    <s v="Ord-ID-820"/>
    <x v="16"/>
    <x v="3"/>
    <x v="4"/>
    <n v="17"/>
    <n v="16"/>
    <x v="6"/>
    <n v="0.08"/>
    <x v="8"/>
    <n v="21.76"/>
  </r>
  <r>
    <s v="Ord-ID-821"/>
    <x v="17"/>
    <x v="3"/>
    <x v="0"/>
    <n v="18"/>
    <n v="16"/>
    <x v="53"/>
    <n v="0.11"/>
    <x v="9"/>
    <n v="31.68"/>
  </r>
  <r>
    <s v="Ord-ID-822"/>
    <x v="17"/>
    <x v="2"/>
    <x v="3"/>
    <n v="2"/>
    <n v="230"/>
    <x v="56"/>
    <n v="0.08"/>
    <x v="10"/>
    <n v="36.800000000000004"/>
  </r>
  <r>
    <s v="Ord-ID-823"/>
    <x v="17"/>
    <x v="3"/>
    <x v="2"/>
    <n v="17"/>
    <n v="16"/>
    <x v="6"/>
    <n v="0.05"/>
    <x v="11"/>
    <n v="13.600000000000001"/>
  </r>
  <r>
    <s v="Ord-ID-824"/>
    <x v="17"/>
    <x v="0"/>
    <x v="3"/>
    <n v="16"/>
    <n v="80"/>
    <x v="19"/>
    <n v="0.05"/>
    <x v="0"/>
    <n v="64"/>
  </r>
  <r>
    <s v="Ord-ID-825"/>
    <x v="17"/>
    <x v="2"/>
    <x v="1"/>
    <n v="14"/>
    <n v="230"/>
    <x v="80"/>
    <n v="0.05"/>
    <x v="1"/>
    <n v="161"/>
  </r>
  <r>
    <s v="Ord-ID-826"/>
    <x v="17"/>
    <x v="1"/>
    <x v="2"/>
    <n v="13"/>
    <n v="40"/>
    <x v="26"/>
    <n v="0.02"/>
    <x v="2"/>
    <n v="10.4"/>
  </r>
  <r>
    <s v="Ord-ID-827"/>
    <x v="17"/>
    <x v="2"/>
    <x v="1"/>
    <n v="7"/>
    <n v="230"/>
    <x v="10"/>
    <n v="0.08"/>
    <x v="3"/>
    <n v="128.80000000000001"/>
  </r>
  <r>
    <s v="Ord-ID-828"/>
    <x v="17"/>
    <x v="1"/>
    <x v="3"/>
    <n v="7"/>
    <n v="40"/>
    <x v="69"/>
    <n v="0.11"/>
    <x v="4"/>
    <n v="30.8"/>
  </r>
  <r>
    <s v="Ord-ID-829"/>
    <x v="17"/>
    <x v="2"/>
    <x v="2"/>
    <n v="12"/>
    <n v="230"/>
    <x v="4"/>
    <n v="0.06"/>
    <x v="5"/>
    <n v="165.6"/>
  </r>
  <r>
    <s v="Ord-ID-830"/>
    <x v="17"/>
    <x v="1"/>
    <x v="0"/>
    <n v="19"/>
    <n v="40"/>
    <x v="52"/>
    <n v="0.04"/>
    <x v="1"/>
    <n v="30.400000000000002"/>
  </r>
  <r>
    <s v="Ord-ID-831"/>
    <x v="18"/>
    <x v="2"/>
    <x v="2"/>
    <n v="20"/>
    <n v="230"/>
    <x v="36"/>
    <n v="0.06"/>
    <x v="2"/>
    <n v="276"/>
  </r>
  <r>
    <s v="Ord-ID-832"/>
    <x v="18"/>
    <x v="1"/>
    <x v="4"/>
    <n v="23"/>
    <n v="40"/>
    <x v="15"/>
    <n v="0.04"/>
    <x v="3"/>
    <n v="36.800000000000004"/>
  </r>
  <r>
    <s v="Ord-ID-833"/>
    <x v="18"/>
    <x v="0"/>
    <x v="4"/>
    <n v="16"/>
    <n v="80"/>
    <x v="19"/>
    <n v="0.05"/>
    <x v="4"/>
    <n v="64"/>
  </r>
  <r>
    <s v="Ord-ID-834"/>
    <x v="18"/>
    <x v="4"/>
    <x v="1"/>
    <n v="23"/>
    <n v="150"/>
    <x v="13"/>
    <n v="0.11"/>
    <x v="5"/>
    <n v="379.5"/>
  </r>
  <r>
    <s v="Ord-ID-835"/>
    <x v="18"/>
    <x v="3"/>
    <x v="1"/>
    <n v="4"/>
    <n v="16"/>
    <x v="50"/>
    <n v="7.0000000000000007E-2"/>
    <x v="6"/>
    <n v="4.4800000000000004"/>
  </r>
  <r>
    <s v="Ord-ID-836"/>
    <x v="18"/>
    <x v="2"/>
    <x v="0"/>
    <n v="8"/>
    <n v="230"/>
    <x v="3"/>
    <n v="0.03"/>
    <x v="7"/>
    <n v="55.199999999999996"/>
  </r>
  <r>
    <s v="Ord-ID-837"/>
    <x v="18"/>
    <x v="0"/>
    <x v="1"/>
    <n v="17"/>
    <n v="80"/>
    <x v="29"/>
    <n v="0.03"/>
    <x v="8"/>
    <n v="40.799999999999997"/>
  </r>
  <r>
    <s v="Ord-ID-838"/>
    <x v="18"/>
    <x v="0"/>
    <x v="3"/>
    <n v="10"/>
    <n v="80"/>
    <x v="20"/>
    <n v="0.1"/>
    <x v="9"/>
    <n v="80"/>
  </r>
  <r>
    <s v="Ord-ID-839"/>
    <x v="18"/>
    <x v="3"/>
    <x v="0"/>
    <n v="20"/>
    <n v="16"/>
    <x v="60"/>
    <n v="0.11"/>
    <x v="10"/>
    <n v="35.200000000000003"/>
  </r>
  <r>
    <s v="Ord-ID-840"/>
    <x v="19"/>
    <x v="2"/>
    <x v="3"/>
    <n v="19"/>
    <n v="230"/>
    <x v="30"/>
    <n v="0.06"/>
    <x v="11"/>
    <n v="262.2"/>
  </r>
  <r>
    <s v="Ord-ID-841"/>
    <x v="19"/>
    <x v="1"/>
    <x v="2"/>
    <n v="18"/>
    <n v="40"/>
    <x v="11"/>
    <n v="0.03"/>
    <x v="0"/>
    <n v="21.599999999999998"/>
  </r>
  <r>
    <s v="Ord-ID-842"/>
    <x v="19"/>
    <x v="0"/>
    <x v="1"/>
    <n v="16"/>
    <n v="80"/>
    <x v="19"/>
    <n v="0.04"/>
    <x v="1"/>
    <n v="51.2"/>
  </r>
  <r>
    <s v="Ord-ID-843"/>
    <x v="19"/>
    <x v="0"/>
    <x v="3"/>
    <n v="8"/>
    <n v="80"/>
    <x v="12"/>
    <n v="0.06"/>
    <x v="2"/>
    <n v="38.4"/>
  </r>
  <r>
    <s v="Ord-ID-844"/>
    <x v="19"/>
    <x v="4"/>
    <x v="3"/>
    <n v="4"/>
    <n v="150"/>
    <x v="39"/>
    <n v="0.12"/>
    <x v="3"/>
    <n v="72"/>
  </r>
  <r>
    <s v="Ord-ID-845"/>
    <x v="19"/>
    <x v="2"/>
    <x v="2"/>
    <n v="15"/>
    <n v="230"/>
    <x v="13"/>
    <n v="0.04"/>
    <x v="4"/>
    <n v="138"/>
  </r>
  <r>
    <s v="Ord-ID-846"/>
    <x v="20"/>
    <x v="3"/>
    <x v="1"/>
    <n v="7"/>
    <n v="16"/>
    <x v="25"/>
    <n v="0.08"/>
    <x v="5"/>
    <n v="8.9600000000000009"/>
  </r>
  <r>
    <s v="Ord-ID-847"/>
    <x v="20"/>
    <x v="1"/>
    <x v="0"/>
    <n v="18"/>
    <n v="40"/>
    <x v="11"/>
    <n v="0.11"/>
    <x v="1"/>
    <n v="79.2"/>
  </r>
  <r>
    <s v="Ord-ID-848"/>
    <x v="20"/>
    <x v="1"/>
    <x v="2"/>
    <n v="4"/>
    <n v="40"/>
    <x v="31"/>
    <n v="0.06"/>
    <x v="2"/>
    <n v="9.6"/>
  </r>
  <r>
    <s v="Ord-ID-849"/>
    <x v="20"/>
    <x v="1"/>
    <x v="4"/>
    <n v="16"/>
    <n v="40"/>
    <x v="12"/>
    <n v="0.09"/>
    <x v="3"/>
    <n v="57.599999999999994"/>
  </r>
  <r>
    <s v="Ord-ID-850"/>
    <x v="20"/>
    <x v="1"/>
    <x v="1"/>
    <n v="18"/>
    <n v="40"/>
    <x v="11"/>
    <n v="0.08"/>
    <x v="4"/>
    <n v="57.6"/>
  </r>
  <r>
    <s v="Ord-ID-851"/>
    <x v="20"/>
    <x v="1"/>
    <x v="0"/>
    <n v="9"/>
    <n v="40"/>
    <x v="18"/>
    <n v="0.01"/>
    <x v="5"/>
    <n v="3.6"/>
  </r>
  <r>
    <s v="Ord-ID-852"/>
    <x v="20"/>
    <x v="2"/>
    <x v="3"/>
    <n v="16"/>
    <n v="230"/>
    <x v="81"/>
    <n v="0.11"/>
    <x v="6"/>
    <n v="404.8"/>
  </r>
  <r>
    <s v="Ord-ID-853"/>
    <x v="20"/>
    <x v="3"/>
    <x v="2"/>
    <n v="12"/>
    <n v="16"/>
    <x v="21"/>
    <n v="0.11"/>
    <x v="7"/>
    <n v="21.12"/>
  </r>
  <r>
    <s v="Ord-ID-854"/>
    <x v="20"/>
    <x v="0"/>
    <x v="1"/>
    <n v="2"/>
    <n v="80"/>
    <x v="31"/>
    <n v="7.0000000000000007E-2"/>
    <x v="8"/>
    <n v="11.200000000000001"/>
  </r>
  <r>
    <s v="Ord-ID-855"/>
    <x v="20"/>
    <x v="1"/>
    <x v="0"/>
    <n v="2"/>
    <n v="40"/>
    <x v="64"/>
    <n v="0.12"/>
    <x v="9"/>
    <n v="9.6"/>
  </r>
  <r>
    <s v="Ord-ID-856"/>
    <x v="21"/>
    <x v="4"/>
    <x v="0"/>
    <n v="13"/>
    <n v="150"/>
    <x v="34"/>
    <n v="0.05"/>
    <x v="10"/>
    <n v="97.5"/>
  </r>
  <r>
    <s v="Ord-ID-857"/>
    <x v="21"/>
    <x v="0"/>
    <x v="0"/>
    <n v="14"/>
    <n v="80"/>
    <x v="42"/>
    <n v="0.08"/>
    <x v="11"/>
    <n v="89.600000000000009"/>
  </r>
  <r>
    <s v="Ord-ID-858"/>
    <x v="21"/>
    <x v="4"/>
    <x v="3"/>
    <n v="6"/>
    <n v="150"/>
    <x v="22"/>
    <n v="0.03"/>
    <x v="0"/>
    <n v="27"/>
  </r>
  <r>
    <s v="Ord-ID-859"/>
    <x v="21"/>
    <x v="0"/>
    <x v="3"/>
    <n v="23"/>
    <n v="80"/>
    <x v="3"/>
    <n v="0.11"/>
    <x v="1"/>
    <n v="202.4"/>
  </r>
  <r>
    <s v="Ord-ID-860"/>
    <x v="21"/>
    <x v="0"/>
    <x v="3"/>
    <n v="21"/>
    <n v="80"/>
    <x v="40"/>
    <n v="0.05"/>
    <x v="2"/>
    <n v="84"/>
  </r>
  <r>
    <s v="Ord-ID-861"/>
    <x v="21"/>
    <x v="3"/>
    <x v="2"/>
    <n v="3"/>
    <n v="16"/>
    <x v="78"/>
    <n v="0.05"/>
    <x v="3"/>
    <n v="2.4000000000000004"/>
  </r>
  <r>
    <s v="Ord-ID-862"/>
    <x v="21"/>
    <x v="3"/>
    <x v="1"/>
    <n v="21"/>
    <n v="16"/>
    <x v="9"/>
    <n v="0.02"/>
    <x v="4"/>
    <n v="6.72"/>
  </r>
  <r>
    <s v="Ord-ID-863"/>
    <x v="21"/>
    <x v="0"/>
    <x v="3"/>
    <n v="4"/>
    <n v="80"/>
    <x v="60"/>
    <n v="0.11"/>
    <x v="5"/>
    <n v="35.200000000000003"/>
  </r>
  <r>
    <s v="Ord-ID-864"/>
    <x v="21"/>
    <x v="4"/>
    <x v="4"/>
    <n v="23"/>
    <n v="150"/>
    <x v="13"/>
    <n v="0.08"/>
    <x v="1"/>
    <n v="276"/>
  </r>
  <r>
    <s v="Ord-ID-865"/>
    <x v="21"/>
    <x v="3"/>
    <x v="4"/>
    <n v="23"/>
    <n v="16"/>
    <x v="35"/>
    <n v="0.01"/>
    <x v="2"/>
    <n v="3.68"/>
  </r>
  <r>
    <s v="Ord-ID-866"/>
    <x v="21"/>
    <x v="1"/>
    <x v="3"/>
    <n v="22"/>
    <n v="40"/>
    <x v="17"/>
    <n v="0.01"/>
    <x v="3"/>
    <n v="8.8000000000000007"/>
  </r>
  <r>
    <s v="Ord-ID-867"/>
    <x v="22"/>
    <x v="4"/>
    <x v="0"/>
    <n v="8"/>
    <n v="150"/>
    <x v="74"/>
    <n v="0.09"/>
    <x v="4"/>
    <n v="108"/>
  </r>
  <r>
    <s v="Ord-ID-868"/>
    <x v="22"/>
    <x v="4"/>
    <x v="0"/>
    <n v="20"/>
    <n v="150"/>
    <x v="8"/>
    <n v="0.01"/>
    <x v="5"/>
    <n v="30"/>
  </r>
  <r>
    <s v="Ord-ID-869"/>
    <x v="22"/>
    <x v="2"/>
    <x v="1"/>
    <n v="22"/>
    <n v="230"/>
    <x v="2"/>
    <n v="0.11"/>
    <x v="6"/>
    <n v="556.6"/>
  </r>
  <r>
    <s v="Ord-ID-870"/>
    <x v="22"/>
    <x v="3"/>
    <x v="2"/>
    <n v="23"/>
    <n v="16"/>
    <x v="35"/>
    <n v="0.11"/>
    <x v="7"/>
    <n v="40.479999999999997"/>
  </r>
  <r>
    <s v="Ord-ID-871"/>
    <x v="22"/>
    <x v="0"/>
    <x v="0"/>
    <n v="6"/>
    <n v="80"/>
    <x v="0"/>
    <n v="0.01"/>
    <x v="8"/>
    <n v="4.8"/>
  </r>
  <r>
    <s v="Ord-ID-872"/>
    <x v="22"/>
    <x v="3"/>
    <x v="0"/>
    <n v="7"/>
    <n v="16"/>
    <x v="25"/>
    <n v="0.12"/>
    <x v="9"/>
    <n v="13.44"/>
  </r>
  <r>
    <s v="Ord-ID-873"/>
    <x v="22"/>
    <x v="0"/>
    <x v="1"/>
    <n v="10"/>
    <n v="80"/>
    <x v="20"/>
    <n v="0.11"/>
    <x v="10"/>
    <n v="88"/>
  </r>
  <r>
    <s v="Ord-ID-874"/>
    <x v="22"/>
    <x v="2"/>
    <x v="0"/>
    <n v="9"/>
    <n v="230"/>
    <x v="68"/>
    <n v="7.0000000000000007E-2"/>
    <x v="11"/>
    <n v="144.9"/>
  </r>
  <r>
    <s v="Ord-ID-875"/>
    <x v="23"/>
    <x v="1"/>
    <x v="1"/>
    <n v="12"/>
    <n v="40"/>
    <x v="0"/>
    <n v="0.1"/>
    <x v="0"/>
    <n v="48"/>
  </r>
  <r>
    <s v="Ord-ID-876"/>
    <x v="23"/>
    <x v="3"/>
    <x v="4"/>
    <n v="17"/>
    <n v="16"/>
    <x v="6"/>
    <n v="0.1"/>
    <x v="1"/>
    <n v="27.200000000000003"/>
  </r>
  <r>
    <s v="Ord-ID-877"/>
    <x v="23"/>
    <x v="4"/>
    <x v="2"/>
    <n v="22"/>
    <n v="150"/>
    <x v="41"/>
    <n v="0.04"/>
    <x v="2"/>
    <n v="132"/>
  </r>
  <r>
    <s v="Ord-ID-878"/>
    <x v="23"/>
    <x v="4"/>
    <x v="2"/>
    <n v="11"/>
    <n v="150"/>
    <x v="45"/>
    <n v="0.05"/>
    <x v="3"/>
    <n v="82.5"/>
  </r>
  <r>
    <s v="Ord-ID-879"/>
    <x v="23"/>
    <x v="0"/>
    <x v="4"/>
    <n v="9"/>
    <n v="80"/>
    <x v="11"/>
    <n v="0.02"/>
    <x v="4"/>
    <n v="14.4"/>
  </r>
  <r>
    <s v="Ord-ID-880"/>
    <x v="23"/>
    <x v="0"/>
    <x v="4"/>
    <n v="13"/>
    <n v="80"/>
    <x v="73"/>
    <n v="0.05"/>
    <x v="5"/>
    <n v="52"/>
  </r>
  <r>
    <s v="Ord-ID-881"/>
    <x v="23"/>
    <x v="1"/>
    <x v="4"/>
    <n v="20"/>
    <n v="40"/>
    <x v="20"/>
    <n v="0.1"/>
    <x v="1"/>
    <n v="80"/>
  </r>
  <r>
    <s v="Ord-ID-882"/>
    <x v="23"/>
    <x v="1"/>
    <x v="1"/>
    <n v="15"/>
    <n v="40"/>
    <x v="39"/>
    <n v="0.02"/>
    <x v="2"/>
    <n v="12"/>
  </r>
  <r>
    <s v="Ord-ID-883"/>
    <x v="24"/>
    <x v="4"/>
    <x v="4"/>
    <n v="15"/>
    <n v="150"/>
    <x v="37"/>
    <n v="7.0000000000000007E-2"/>
    <x v="3"/>
    <n v="157.50000000000003"/>
  </r>
  <r>
    <s v="Ord-ID-884"/>
    <x v="24"/>
    <x v="0"/>
    <x v="4"/>
    <n v="16"/>
    <n v="80"/>
    <x v="19"/>
    <n v="0.09"/>
    <x v="4"/>
    <n v="115.19999999999999"/>
  </r>
  <r>
    <s v="Ord-ID-885"/>
    <x v="24"/>
    <x v="2"/>
    <x v="0"/>
    <n v="16"/>
    <n v="230"/>
    <x v="81"/>
    <n v="7.0000000000000007E-2"/>
    <x v="5"/>
    <n v="257.60000000000002"/>
  </r>
  <r>
    <s v="Ord-ID-886"/>
    <x v="24"/>
    <x v="0"/>
    <x v="1"/>
    <n v="14"/>
    <n v="80"/>
    <x v="42"/>
    <n v="0.11"/>
    <x v="6"/>
    <n v="123.2"/>
  </r>
  <r>
    <s v="Ord-ID-887"/>
    <x v="24"/>
    <x v="0"/>
    <x v="4"/>
    <n v="17"/>
    <n v="80"/>
    <x v="29"/>
    <n v="7.0000000000000007E-2"/>
    <x v="7"/>
    <n v="95.2"/>
  </r>
  <r>
    <s v="Ord-ID-888"/>
    <x v="24"/>
    <x v="0"/>
    <x v="2"/>
    <n v="16"/>
    <n v="80"/>
    <x v="19"/>
    <n v="0.02"/>
    <x v="8"/>
    <n v="25.6"/>
  </r>
  <r>
    <s v="Ord-ID-889"/>
    <x v="24"/>
    <x v="3"/>
    <x v="0"/>
    <n v="21"/>
    <n v="16"/>
    <x v="9"/>
    <n v="0.09"/>
    <x v="9"/>
    <n v="30.24"/>
  </r>
  <r>
    <s v="Ord-ID-890"/>
    <x v="24"/>
    <x v="4"/>
    <x v="0"/>
    <n v="9"/>
    <n v="150"/>
    <x v="46"/>
    <n v="0.1"/>
    <x v="10"/>
    <n v="135"/>
  </r>
  <r>
    <s v="Ord-ID-891"/>
    <x v="24"/>
    <x v="4"/>
    <x v="3"/>
    <n v="3"/>
    <n v="150"/>
    <x v="75"/>
    <n v="0.01"/>
    <x v="11"/>
    <n v="4.5"/>
  </r>
  <r>
    <s v="Ord-ID-892"/>
    <x v="25"/>
    <x v="0"/>
    <x v="1"/>
    <n v="14"/>
    <n v="80"/>
    <x v="42"/>
    <n v="0.06"/>
    <x v="0"/>
    <n v="67.2"/>
  </r>
  <r>
    <s v="Ord-ID-893"/>
    <x v="25"/>
    <x v="4"/>
    <x v="4"/>
    <n v="4"/>
    <n v="150"/>
    <x v="39"/>
    <n v="0.05"/>
    <x v="1"/>
    <n v="30"/>
  </r>
  <r>
    <s v="Ord-ID-894"/>
    <x v="25"/>
    <x v="3"/>
    <x v="1"/>
    <n v="20"/>
    <n v="16"/>
    <x v="60"/>
    <n v="0.06"/>
    <x v="2"/>
    <n v="19.2"/>
  </r>
  <r>
    <s v="Ord-ID-895"/>
    <x v="25"/>
    <x v="2"/>
    <x v="2"/>
    <n v="7"/>
    <n v="230"/>
    <x v="10"/>
    <n v="0.01"/>
    <x v="3"/>
    <n v="16.100000000000001"/>
  </r>
  <r>
    <s v="Ord-ID-896"/>
    <x v="25"/>
    <x v="0"/>
    <x v="1"/>
    <n v="9"/>
    <n v="80"/>
    <x v="11"/>
    <n v="0.03"/>
    <x v="4"/>
    <n v="21.599999999999998"/>
  </r>
  <r>
    <s v="Ord-ID-897"/>
    <x v="25"/>
    <x v="1"/>
    <x v="3"/>
    <n v="4"/>
    <n v="40"/>
    <x v="31"/>
    <n v="0.05"/>
    <x v="5"/>
    <n v="8"/>
  </r>
  <r>
    <s v="Ord-ID-898"/>
    <x v="25"/>
    <x v="0"/>
    <x v="0"/>
    <n v="6"/>
    <n v="80"/>
    <x v="0"/>
    <n v="7.0000000000000007E-2"/>
    <x v="1"/>
    <n v="33.6"/>
  </r>
  <r>
    <s v="Ord-ID-899"/>
    <x v="25"/>
    <x v="3"/>
    <x v="2"/>
    <n v="8"/>
    <n v="16"/>
    <x v="48"/>
    <n v="0.03"/>
    <x v="2"/>
    <n v="3.84"/>
  </r>
  <r>
    <s v="Ord-ID-900"/>
    <x v="25"/>
    <x v="3"/>
    <x v="0"/>
    <n v="10"/>
    <n v="16"/>
    <x v="31"/>
    <n v="0.08"/>
    <x v="3"/>
    <n v="12.8"/>
  </r>
  <r>
    <s v="Ord-ID-901"/>
    <x v="25"/>
    <x v="3"/>
    <x v="3"/>
    <n v="22"/>
    <n v="16"/>
    <x v="14"/>
    <n v="0.03"/>
    <x v="4"/>
    <n v="10.559999999999999"/>
  </r>
  <r>
    <s v="Ord-ID-902"/>
    <x v="25"/>
    <x v="0"/>
    <x v="3"/>
    <n v="11"/>
    <n v="80"/>
    <x v="17"/>
    <n v="0.01"/>
    <x v="5"/>
    <n v="8.8000000000000007"/>
  </r>
  <r>
    <s v="Ord-ID-903"/>
    <x v="25"/>
    <x v="3"/>
    <x v="3"/>
    <n v="7"/>
    <n v="16"/>
    <x v="25"/>
    <n v="0.08"/>
    <x v="6"/>
    <n v="8.9600000000000009"/>
  </r>
  <r>
    <s v="Ord-ID-904"/>
    <x v="26"/>
    <x v="3"/>
    <x v="2"/>
    <n v="11"/>
    <n v="16"/>
    <x v="23"/>
    <n v="0.12"/>
    <x v="7"/>
    <n v="21.119999999999997"/>
  </r>
  <r>
    <s v="Ord-ID-905"/>
    <x v="26"/>
    <x v="1"/>
    <x v="4"/>
    <n v="7"/>
    <n v="40"/>
    <x v="69"/>
    <n v="0.05"/>
    <x v="8"/>
    <n v="14"/>
  </r>
  <r>
    <s v="Ord-ID-906"/>
    <x v="26"/>
    <x v="4"/>
    <x v="2"/>
    <n v="9"/>
    <n v="150"/>
    <x v="46"/>
    <n v="0.06"/>
    <x v="9"/>
    <n v="81"/>
  </r>
  <r>
    <s v="Ord-ID-907"/>
    <x v="26"/>
    <x v="2"/>
    <x v="0"/>
    <n v="20"/>
    <n v="230"/>
    <x v="36"/>
    <n v="0.04"/>
    <x v="10"/>
    <n v="184"/>
  </r>
  <r>
    <s v="Ord-ID-908"/>
    <x v="26"/>
    <x v="4"/>
    <x v="2"/>
    <n v="9"/>
    <n v="150"/>
    <x v="46"/>
    <n v="0.02"/>
    <x v="11"/>
    <n v="27"/>
  </r>
  <r>
    <s v="Ord-ID-909"/>
    <x v="26"/>
    <x v="0"/>
    <x v="1"/>
    <n v="5"/>
    <n v="80"/>
    <x v="65"/>
    <n v="7.0000000000000007E-2"/>
    <x v="0"/>
    <n v="28.000000000000004"/>
  </r>
  <r>
    <s v="Ord-ID-910"/>
    <x v="26"/>
    <x v="4"/>
    <x v="2"/>
    <n v="20"/>
    <n v="150"/>
    <x v="8"/>
    <n v="0.04"/>
    <x v="1"/>
    <n v="120"/>
  </r>
  <r>
    <s v="Ord-ID-911"/>
    <x v="26"/>
    <x v="4"/>
    <x v="3"/>
    <n v="15"/>
    <n v="150"/>
    <x v="37"/>
    <n v="0.05"/>
    <x v="2"/>
    <n v="112.5"/>
  </r>
  <r>
    <s v="Ord-ID-912"/>
    <x v="26"/>
    <x v="0"/>
    <x v="0"/>
    <n v="20"/>
    <n v="80"/>
    <x v="16"/>
    <n v="0.01"/>
    <x v="3"/>
    <n v="16"/>
  </r>
  <r>
    <s v="Ord-ID-913"/>
    <x v="27"/>
    <x v="2"/>
    <x v="1"/>
    <n v="12"/>
    <n v="230"/>
    <x v="4"/>
    <n v="0.03"/>
    <x v="4"/>
    <n v="82.8"/>
  </r>
  <r>
    <s v="Ord-ID-914"/>
    <x v="27"/>
    <x v="1"/>
    <x v="4"/>
    <n v="20"/>
    <n v="40"/>
    <x v="20"/>
    <n v="0.05"/>
    <x v="5"/>
    <n v="40"/>
  </r>
  <r>
    <s v="Ord-ID-915"/>
    <x v="27"/>
    <x v="1"/>
    <x v="4"/>
    <n v="4"/>
    <n v="40"/>
    <x v="31"/>
    <n v="0.09"/>
    <x v="1"/>
    <n v="14.399999999999999"/>
  </r>
  <r>
    <s v="Ord-ID-916"/>
    <x v="27"/>
    <x v="3"/>
    <x v="2"/>
    <n v="6"/>
    <n v="16"/>
    <x v="67"/>
    <n v="7.0000000000000007E-2"/>
    <x v="2"/>
    <n v="6.7200000000000006"/>
  </r>
  <r>
    <s v="Ord-ID-917"/>
    <x v="27"/>
    <x v="0"/>
    <x v="1"/>
    <n v="13"/>
    <n v="80"/>
    <x v="73"/>
    <n v="0.06"/>
    <x v="3"/>
    <n v="62.4"/>
  </r>
  <r>
    <s v="Ord-ID-918"/>
    <x v="27"/>
    <x v="4"/>
    <x v="0"/>
    <n v="4"/>
    <n v="150"/>
    <x v="39"/>
    <n v="0.1"/>
    <x v="4"/>
    <n v="60"/>
  </r>
  <r>
    <s v="Ord-ID-919"/>
    <x v="27"/>
    <x v="4"/>
    <x v="3"/>
    <n v="9"/>
    <n v="150"/>
    <x v="46"/>
    <n v="0.02"/>
    <x v="5"/>
    <n v="27"/>
  </r>
  <r>
    <s v="Ord-ID-920"/>
    <x v="27"/>
    <x v="4"/>
    <x v="0"/>
    <n v="11"/>
    <n v="150"/>
    <x v="45"/>
    <n v="0.05"/>
    <x v="6"/>
    <n v="82.5"/>
  </r>
  <r>
    <s v="Ord-ID-921"/>
    <x v="27"/>
    <x v="3"/>
    <x v="2"/>
    <n v="6"/>
    <n v="16"/>
    <x v="67"/>
    <n v="0.06"/>
    <x v="7"/>
    <n v="5.76"/>
  </r>
  <r>
    <s v="Ord-ID-922"/>
    <x v="28"/>
    <x v="2"/>
    <x v="2"/>
    <n v="14"/>
    <n v="230"/>
    <x v="80"/>
    <n v="0.12"/>
    <x v="8"/>
    <n v="386.4"/>
  </r>
  <r>
    <s v="Ord-ID-923"/>
    <x v="28"/>
    <x v="0"/>
    <x v="1"/>
    <n v="15"/>
    <n v="80"/>
    <x v="74"/>
    <n v="0.12"/>
    <x v="9"/>
    <n v="144"/>
  </r>
  <r>
    <s v="Ord-ID-924"/>
    <x v="28"/>
    <x v="2"/>
    <x v="3"/>
    <n v="17"/>
    <n v="230"/>
    <x v="59"/>
    <n v="0.12"/>
    <x v="10"/>
    <n v="469.2"/>
  </r>
  <r>
    <s v="Ord-ID-925"/>
    <x v="28"/>
    <x v="4"/>
    <x v="0"/>
    <n v="5"/>
    <n v="150"/>
    <x v="43"/>
    <n v="0.11"/>
    <x v="11"/>
    <n v="82.5"/>
  </r>
  <r>
    <s v="Ord-ID-926"/>
    <x v="28"/>
    <x v="0"/>
    <x v="4"/>
    <n v="10"/>
    <n v="80"/>
    <x v="20"/>
    <n v="0.06"/>
    <x v="0"/>
    <n v="48"/>
  </r>
  <r>
    <s v="Ord-ID-927"/>
    <x v="28"/>
    <x v="0"/>
    <x v="0"/>
    <n v="9"/>
    <n v="80"/>
    <x v="11"/>
    <n v="0.04"/>
    <x v="1"/>
    <n v="28.8"/>
  </r>
  <r>
    <s v="Ord-ID-928"/>
    <x v="28"/>
    <x v="1"/>
    <x v="4"/>
    <n v="16"/>
    <n v="40"/>
    <x v="12"/>
    <n v="0.09"/>
    <x v="2"/>
    <n v="57.599999999999994"/>
  </r>
  <r>
    <s v="Ord-ID-929"/>
    <x v="28"/>
    <x v="2"/>
    <x v="0"/>
    <n v="7"/>
    <n v="230"/>
    <x v="10"/>
    <n v="0.08"/>
    <x v="3"/>
    <n v="128.80000000000001"/>
  </r>
  <r>
    <s v="Ord-ID-930"/>
    <x v="28"/>
    <x v="0"/>
    <x v="3"/>
    <n v="17"/>
    <n v="80"/>
    <x v="29"/>
    <n v="0.05"/>
    <x v="4"/>
    <n v="68"/>
  </r>
  <r>
    <s v="Ord-ID-931"/>
    <x v="28"/>
    <x v="2"/>
    <x v="0"/>
    <n v="11"/>
    <n v="230"/>
    <x v="76"/>
    <n v="0.02"/>
    <x v="5"/>
    <n v="50.6"/>
  </r>
  <r>
    <s v="Ord-ID-932"/>
    <x v="29"/>
    <x v="1"/>
    <x v="0"/>
    <n v="15"/>
    <n v="40"/>
    <x v="39"/>
    <n v="0.06"/>
    <x v="1"/>
    <n v="36"/>
  </r>
  <r>
    <s v="Ord-ID-933"/>
    <x v="30"/>
    <x v="2"/>
    <x v="0"/>
    <n v="7"/>
    <n v="230"/>
    <x v="10"/>
    <n v="0.02"/>
    <x v="2"/>
    <n v="32.200000000000003"/>
  </r>
  <r>
    <s v="Ord-ID-934"/>
    <x v="30"/>
    <x v="0"/>
    <x v="2"/>
    <n v="20"/>
    <n v="80"/>
    <x v="16"/>
    <n v="7.0000000000000007E-2"/>
    <x v="3"/>
    <n v="112.00000000000001"/>
  </r>
  <r>
    <s v="Ord-ID-935"/>
    <x v="30"/>
    <x v="0"/>
    <x v="1"/>
    <n v="3"/>
    <n v="80"/>
    <x v="71"/>
    <n v="0.02"/>
    <x v="4"/>
    <n v="4.8"/>
  </r>
  <r>
    <s v="Ord-ID-936"/>
    <x v="30"/>
    <x v="4"/>
    <x v="2"/>
    <n v="2"/>
    <n v="150"/>
    <x v="63"/>
    <n v="0.02"/>
    <x v="5"/>
    <n v="6"/>
  </r>
  <r>
    <s v="Ord-ID-937"/>
    <x v="30"/>
    <x v="4"/>
    <x v="2"/>
    <n v="22"/>
    <n v="150"/>
    <x v="41"/>
    <n v="0.09"/>
    <x v="6"/>
    <n v="297"/>
  </r>
  <r>
    <s v="Ord-ID-938"/>
    <x v="30"/>
    <x v="2"/>
    <x v="0"/>
    <n v="5"/>
    <n v="230"/>
    <x v="61"/>
    <n v="0.1"/>
    <x v="7"/>
    <n v="115"/>
  </r>
  <r>
    <s v="Ord-ID-939"/>
    <x v="30"/>
    <x v="3"/>
    <x v="4"/>
    <n v="12"/>
    <n v="16"/>
    <x v="21"/>
    <n v="0.04"/>
    <x v="8"/>
    <n v="7.68"/>
  </r>
  <r>
    <s v="Ord-ID-940"/>
    <x v="30"/>
    <x v="1"/>
    <x v="3"/>
    <n v="6"/>
    <n v="40"/>
    <x v="71"/>
    <n v="7.0000000000000007E-2"/>
    <x v="9"/>
    <n v="16.8"/>
  </r>
  <r>
    <s v="Ord-ID-941"/>
    <x v="30"/>
    <x v="3"/>
    <x v="4"/>
    <n v="15"/>
    <n v="16"/>
    <x v="71"/>
    <n v="0.01"/>
    <x v="10"/>
    <n v="2.4"/>
  </r>
  <r>
    <s v="Ord-ID-942"/>
    <x v="0"/>
    <x v="4"/>
    <x v="4"/>
    <n v="13"/>
    <n v="150"/>
    <x v="34"/>
    <n v="0.11"/>
    <x v="11"/>
    <n v="214.5"/>
  </r>
  <r>
    <s v="Ord-ID-943"/>
    <x v="0"/>
    <x v="1"/>
    <x v="1"/>
    <n v="8"/>
    <n v="40"/>
    <x v="60"/>
    <n v="0.09"/>
    <x v="0"/>
    <n v="28.799999999999997"/>
  </r>
  <r>
    <s v="Ord-ID-944"/>
    <x v="0"/>
    <x v="1"/>
    <x v="3"/>
    <n v="7"/>
    <n v="40"/>
    <x v="69"/>
    <n v="7.0000000000000007E-2"/>
    <x v="1"/>
    <n v="19.600000000000001"/>
  </r>
  <r>
    <s v="Ord-ID-945"/>
    <x v="0"/>
    <x v="1"/>
    <x v="1"/>
    <n v="18"/>
    <n v="40"/>
    <x v="11"/>
    <n v="0.08"/>
    <x v="2"/>
    <n v="57.6"/>
  </r>
  <r>
    <s v="Ord-ID-946"/>
    <x v="0"/>
    <x v="2"/>
    <x v="3"/>
    <n v="19"/>
    <n v="230"/>
    <x v="30"/>
    <n v="0.06"/>
    <x v="3"/>
    <n v="262.2"/>
  </r>
  <r>
    <s v="Ord-ID-947"/>
    <x v="0"/>
    <x v="4"/>
    <x v="0"/>
    <n v="4"/>
    <n v="150"/>
    <x v="39"/>
    <n v="0.1"/>
    <x v="4"/>
    <n v="60"/>
  </r>
  <r>
    <s v="Ord-ID-948"/>
    <x v="1"/>
    <x v="0"/>
    <x v="4"/>
    <n v="9"/>
    <n v="80"/>
    <x v="11"/>
    <n v="0.06"/>
    <x v="5"/>
    <n v="43.199999999999996"/>
  </r>
  <r>
    <s v="Ord-ID-949"/>
    <x v="1"/>
    <x v="0"/>
    <x v="2"/>
    <n v="16"/>
    <n v="80"/>
    <x v="19"/>
    <n v="0.02"/>
    <x v="1"/>
    <n v="25.6"/>
  </r>
  <r>
    <s v="Ord-ID-950"/>
    <x v="1"/>
    <x v="2"/>
    <x v="1"/>
    <n v="15"/>
    <n v="230"/>
    <x v="13"/>
    <n v="0.09"/>
    <x v="2"/>
    <n v="310.5"/>
  </r>
  <r>
    <s v="Ord-ID-951"/>
    <x v="1"/>
    <x v="3"/>
    <x v="4"/>
    <n v="15"/>
    <n v="16"/>
    <x v="71"/>
    <n v="0.01"/>
    <x v="3"/>
    <n v="2.4"/>
  </r>
  <r>
    <s v="Ord-ID-952"/>
    <x v="1"/>
    <x v="2"/>
    <x v="0"/>
    <n v="7"/>
    <n v="230"/>
    <x v="10"/>
    <n v="0.02"/>
    <x v="4"/>
    <n v="32.200000000000003"/>
  </r>
  <r>
    <s v="Ord-ID-953"/>
    <x v="1"/>
    <x v="3"/>
    <x v="2"/>
    <n v="23"/>
    <n v="16"/>
    <x v="35"/>
    <n v="0.11"/>
    <x v="5"/>
    <n v="40.479999999999997"/>
  </r>
  <r>
    <s v="Ord-ID-954"/>
    <x v="1"/>
    <x v="1"/>
    <x v="4"/>
    <n v="20"/>
    <n v="40"/>
    <x v="20"/>
    <n v="0.05"/>
    <x v="6"/>
    <n v="40"/>
  </r>
  <r>
    <s v="Ord-ID-955"/>
    <x v="2"/>
    <x v="2"/>
    <x v="1"/>
    <n v="9"/>
    <n v="230"/>
    <x v="68"/>
    <n v="0.03"/>
    <x v="7"/>
    <n v="62.099999999999994"/>
  </r>
  <r>
    <s v="Ord-ID-956"/>
    <x v="2"/>
    <x v="1"/>
    <x v="3"/>
    <n v="23"/>
    <n v="40"/>
    <x v="15"/>
    <n v="0.06"/>
    <x v="8"/>
    <n v="55.199999999999996"/>
  </r>
  <r>
    <s v="Ord-ID-957"/>
    <x v="2"/>
    <x v="1"/>
    <x v="3"/>
    <n v="4"/>
    <n v="40"/>
    <x v="31"/>
    <n v="0.05"/>
    <x v="9"/>
    <n v="8"/>
  </r>
  <r>
    <s v="Ord-ID-958"/>
    <x v="2"/>
    <x v="4"/>
    <x v="0"/>
    <n v="13"/>
    <n v="150"/>
    <x v="34"/>
    <n v="0.05"/>
    <x v="10"/>
    <n v="97.5"/>
  </r>
  <r>
    <s v="Ord-ID-959"/>
    <x v="2"/>
    <x v="2"/>
    <x v="1"/>
    <n v="7"/>
    <n v="230"/>
    <x v="10"/>
    <n v="0.01"/>
    <x v="11"/>
    <n v="16.100000000000001"/>
  </r>
  <r>
    <s v="Ord-ID-960"/>
    <x v="2"/>
    <x v="2"/>
    <x v="1"/>
    <n v="7"/>
    <n v="230"/>
    <x v="10"/>
    <n v="0.08"/>
    <x v="0"/>
    <n v="128.80000000000001"/>
  </r>
  <r>
    <s v="Ord-ID-961"/>
    <x v="2"/>
    <x v="2"/>
    <x v="2"/>
    <n v="15"/>
    <n v="230"/>
    <x v="13"/>
    <n v="0.04"/>
    <x v="1"/>
    <n v="138"/>
  </r>
  <r>
    <s v="Ord-ID-962"/>
    <x v="2"/>
    <x v="1"/>
    <x v="3"/>
    <n v="15"/>
    <n v="40"/>
    <x v="39"/>
    <n v="0.03"/>
    <x v="2"/>
    <n v="18"/>
  </r>
  <r>
    <s v="Ord-ID-963"/>
    <x v="2"/>
    <x v="1"/>
    <x v="2"/>
    <n v="2"/>
    <n v="40"/>
    <x v="64"/>
    <n v="0.03"/>
    <x v="3"/>
    <n v="2.4"/>
  </r>
  <r>
    <s v="Ord-ID-964"/>
    <x v="2"/>
    <x v="4"/>
    <x v="2"/>
    <n v="2"/>
    <n v="150"/>
    <x v="63"/>
    <n v="0.02"/>
    <x v="4"/>
    <n v="6"/>
  </r>
  <r>
    <s v="Ord-ID-965"/>
    <x v="3"/>
    <x v="2"/>
    <x v="0"/>
    <n v="3"/>
    <n v="230"/>
    <x v="33"/>
    <n v="0.11"/>
    <x v="5"/>
    <n v="75.900000000000006"/>
  </r>
  <r>
    <s v="Ord-ID-966"/>
    <x v="3"/>
    <x v="1"/>
    <x v="2"/>
    <n v="4"/>
    <n v="40"/>
    <x v="31"/>
    <n v="0.06"/>
    <x v="1"/>
    <n v="9.6"/>
  </r>
  <r>
    <s v="Ord-ID-967"/>
    <x v="3"/>
    <x v="1"/>
    <x v="3"/>
    <n v="13"/>
    <n v="40"/>
    <x v="26"/>
    <n v="0.06"/>
    <x v="2"/>
    <n v="31.2"/>
  </r>
  <r>
    <s v="Ord-ID-968"/>
    <x v="3"/>
    <x v="3"/>
    <x v="3"/>
    <n v="15"/>
    <n v="16"/>
    <x v="71"/>
    <n v="0.12"/>
    <x v="3"/>
    <n v="28.799999999999997"/>
  </r>
  <r>
    <s v="Ord-ID-969"/>
    <x v="3"/>
    <x v="0"/>
    <x v="0"/>
    <n v="14"/>
    <n v="80"/>
    <x v="42"/>
    <n v="0.08"/>
    <x v="4"/>
    <n v="89.600000000000009"/>
  </r>
  <r>
    <s v="Ord-ID-970"/>
    <x v="3"/>
    <x v="3"/>
    <x v="0"/>
    <n v="7"/>
    <n v="16"/>
    <x v="25"/>
    <n v="0.08"/>
    <x v="5"/>
    <n v="8.9600000000000009"/>
  </r>
  <r>
    <s v="Ord-ID-971"/>
    <x v="3"/>
    <x v="4"/>
    <x v="1"/>
    <n v="13"/>
    <n v="150"/>
    <x v="34"/>
    <n v="0.02"/>
    <x v="6"/>
    <n v="39"/>
  </r>
  <r>
    <s v="Ord-ID-972"/>
    <x v="3"/>
    <x v="4"/>
    <x v="2"/>
    <n v="9"/>
    <n v="150"/>
    <x v="46"/>
    <n v="0.02"/>
    <x v="7"/>
    <n v="27"/>
  </r>
  <r>
    <s v="Ord-ID-973"/>
    <x v="3"/>
    <x v="1"/>
    <x v="0"/>
    <n v="9"/>
    <n v="40"/>
    <x v="18"/>
    <n v="0.01"/>
    <x v="8"/>
    <n v="3.6"/>
  </r>
  <r>
    <s v="Ord-ID-974"/>
    <x v="4"/>
    <x v="0"/>
    <x v="4"/>
    <n v="9"/>
    <n v="80"/>
    <x v="11"/>
    <n v="7.0000000000000007E-2"/>
    <x v="9"/>
    <n v="50.400000000000006"/>
  </r>
  <r>
    <s v="Ord-ID-975"/>
    <x v="4"/>
    <x v="2"/>
    <x v="1"/>
    <n v="22"/>
    <n v="230"/>
    <x v="2"/>
    <n v="0.11"/>
    <x v="10"/>
    <n v="556.6"/>
  </r>
  <r>
    <s v="Ord-ID-976"/>
    <x v="4"/>
    <x v="4"/>
    <x v="1"/>
    <n v="15"/>
    <n v="150"/>
    <x v="37"/>
    <n v="0.02"/>
    <x v="11"/>
    <n v="45"/>
  </r>
  <r>
    <s v="Ord-ID-977"/>
    <x v="4"/>
    <x v="2"/>
    <x v="4"/>
    <n v="5"/>
    <n v="230"/>
    <x v="61"/>
    <n v="0.12"/>
    <x v="0"/>
    <n v="138"/>
  </r>
  <r>
    <s v="Ord-ID-978"/>
    <x v="4"/>
    <x v="1"/>
    <x v="2"/>
    <n v="20"/>
    <n v="40"/>
    <x v="20"/>
    <n v="0.01"/>
    <x v="1"/>
    <n v="8"/>
  </r>
  <r>
    <s v="Ord-ID-979"/>
    <x v="4"/>
    <x v="1"/>
    <x v="0"/>
    <n v="23"/>
    <n v="40"/>
    <x v="15"/>
    <n v="0.03"/>
    <x v="2"/>
    <n v="27.599999999999998"/>
  </r>
  <r>
    <s v="Ord-ID-980"/>
    <x v="4"/>
    <x v="0"/>
    <x v="4"/>
    <n v="16"/>
    <n v="80"/>
    <x v="19"/>
    <n v="0.05"/>
    <x v="3"/>
    <n v="64"/>
  </r>
  <r>
    <s v="Ord-ID-981"/>
    <x v="4"/>
    <x v="2"/>
    <x v="2"/>
    <n v="18"/>
    <n v="230"/>
    <x v="82"/>
    <n v="0.01"/>
    <x v="4"/>
    <n v="41.4"/>
  </r>
  <r>
    <s v="Ord-ID-982"/>
    <x v="4"/>
    <x v="1"/>
    <x v="4"/>
    <n v="23"/>
    <n v="40"/>
    <x v="15"/>
    <n v="0.05"/>
    <x v="5"/>
    <n v="46"/>
  </r>
  <r>
    <s v="Ord-ID-983"/>
    <x v="4"/>
    <x v="3"/>
    <x v="3"/>
    <n v="5"/>
    <n v="16"/>
    <x v="64"/>
    <n v="0.09"/>
    <x v="1"/>
    <n v="7.1999999999999993"/>
  </r>
  <r>
    <s v="Ord-ID-984"/>
    <x v="4"/>
    <x v="1"/>
    <x v="0"/>
    <n v="22"/>
    <n v="40"/>
    <x v="17"/>
    <n v="0.02"/>
    <x v="2"/>
    <n v="17.600000000000001"/>
  </r>
  <r>
    <s v="Ord-ID-985"/>
    <x v="5"/>
    <x v="4"/>
    <x v="0"/>
    <n v="23"/>
    <n v="150"/>
    <x v="13"/>
    <n v="0.1"/>
    <x v="3"/>
    <n v="345"/>
  </r>
  <r>
    <s v="Ord-ID-986"/>
    <x v="5"/>
    <x v="2"/>
    <x v="1"/>
    <n v="22"/>
    <n v="230"/>
    <x v="2"/>
    <n v="0.04"/>
    <x v="4"/>
    <n v="202.4"/>
  </r>
  <r>
    <s v="Ord-ID-987"/>
    <x v="5"/>
    <x v="0"/>
    <x v="3"/>
    <n v="16"/>
    <n v="80"/>
    <x v="19"/>
    <n v="7.0000000000000007E-2"/>
    <x v="5"/>
    <n v="89.600000000000009"/>
  </r>
  <r>
    <s v="Ord-ID-988"/>
    <x v="5"/>
    <x v="4"/>
    <x v="2"/>
    <n v="22"/>
    <n v="150"/>
    <x v="41"/>
    <n v="0.09"/>
    <x v="6"/>
    <n v="297"/>
  </r>
  <r>
    <s v="Ord-ID-989"/>
    <x v="5"/>
    <x v="0"/>
    <x v="2"/>
    <n v="5"/>
    <n v="80"/>
    <x v="65"/>
    <n v="0.09"/>
    <x v="7"/>
    <n v="36"/>
  </r>
  <r>
    <s v="Ord-ID-990"/>
    <x v="5"/>
    <x v="0"/>
    <x v="3"/>
    <n v="16"/>
    <n v="80"/>
    <x v="19"/>
    <n v="0.1"/>
    <x v="8"/>
    <n v="128"/>
  </r>
  <r>
    <s v="Ord-ID-991"/>
    <x v="5"/>
    <x v="4"/>
    <x v="1"/>
    <n v="23"/>
    <n v="150"/>
    <x v="13"/>
    <n v="0.11"/>
    <x v="9"/>
    <n v="379.5"/>
  </r>
  <r>
    <s v="Ord-ID-992"/>
    <x v="5"/>
    <x v="3"/>
    <x v="1"/>
    <n v="4"/>
    <n v="16"/>
    <x v="50"/>
    <n v="0.09"/>
    <x v="10"/>
    <n v="5.76"/>
  </r>
  <r>
    <s v="Ord-ID-993"/>
    <x v="5"/>
    <x v="3"/>
    <x v="1"/>
    <n v="4"/>
    <n v="16"/>
    <x v="50"/>
    <n v="7.0000000000000007E-2"/>
    <x v="11"/>
    <n v="4.4800000000000004"/>
  </r>
  <r>
    <s v="Ord-ID-994"/>
    <x v="5"/>
    <x v="3"/>
    <x v="0"/>
    <n v="16"/>
    <n v="16"/>
    <x v="62"/>
    <n v="0.03"/>
    <x v="0"/>
    <n v="7.68"/>
  </r>
  <r>
    <s v="Ord-ID-995"/>
    <x v="5"/>
    <x v="1"/>
    <x v="3"/>
    <n v="18"/>
    <n v="40"/>
    <x v="11"/>
    <n v="0.04"/>
    <x v="1"/>
    <n v="28.8"/>
  </r>
  <r>
    <s v="Ord-ID-996"/>
    <x v="5"/>
    <x v="0"/>
    <x v="3"/>
    <n v="21"/>
    <n v="80"/>
    <x v="40"/>
    <n v="0.02"/>
    <x v="2"/>
    <n v="33.6"/>
  </r>
  <r>
    <s v="Ord-ID-997"/>
    <x v="5"/>
    <x v="0"/>
    <x v="4"/>
    <n v="10"/>
    <n v="80"/>
    <x v="20"/>
    <n v="0.06"/>
    <x v="3"/>
    <n v="48"/>
  </r>
  <r>
    <s v="Ord-ID-998"/>
    <x v="5"/>
    <x v="2"/>
    <x v="2"/>
    <n v="7"/>
    <n v="230"/>
    <x v="10"/>
    <n v="0.01"/>
    <x v="4"/>
    <n v="16.100000000000001"/>
  </r>
  <r>
    <s v="Ord-ID-999"/>
    <x v="6"/>
    <x v="3"/>
    <x v="4"/>
    <n v="11"/>
    <n v="16"/>
    <x v="23"/>
    <n v="0.12"/>
    <x v="5"/>
    <n v="21.119999999999997"/>
  </r>
  <r>
    <s v="Ord-ID-1000"/>
    <x v="6"/>
    <x v="0"/>
    <x v="3"/>
    <n v="10"/>
    <n v="80"/>
    <x v="20"/>
    <n v="0.1"/>
    <x v="1"/>
    <n v="80"/>
  </r>
  <r>
    <s v="Ord-ID-1001"/>
    <x v="6"/>
    <x v="1"/>
    <x v="1"/>
    <n v="23"/>
    <n v="40"/>
    <x v="15"/>
    <n v="0.06"/>
    <x v="2"/>
    <n v="55.199999999999996"/>
  </r>
  <r>
    <s v="Ord-ID-1002"/>
    <x v="6"/>
    <x v="4"/>
    <x v="4"/>
    <n v="7"/>
    <n v="150"/>
    <x v="7"/>
    <n v="0.02"/>
    <x v="3"/>
    <n v="21"/>
  </r>
  <r>
    <s v="Ord-ID-1003"/>
    <x v="6"/>
    <x v="0"/>
    <x v="0"/>
    <n v="17"/>
    <n v="80"/>
    <x v="29"/>
    <n v="7.0000000000000007E-2"/>
    <x v="4"/>
    <n v="95.2"/>
  </r>
  <r>
    <s v="Ord-ID-1004"/>
    <x v="6"/>
    <x v="4"/>
    <x v="1"/>
    <n v="20"/>
    <n v="150"/>
    <x v="8"/>
    <n v="0.09"/>
    <x v="5"/>
    <n v="270"/>
  </r>
  <r>
    <s v="Ord-ID-1005"/>
    <x v="6"/>
    <x v="2"/>
    <x v="3"/>
    <n v="23"/>
    <n v="230"/>
    <x v="32"/>
    <n v="0.06"/>
    <x v="6"/>
    <n v="317.39999999999998"/>
  </r>
  <r>
    <s v="Ord-ID-1006"/>
    <x v="6"/>
    <x v="0"/>
    <x v="1"/>
    <n v="16"/>
    <n v="80"/>
    <x v="19"/>
    <n v="0.04"/>
    <x v="7"/>
    <n v="51.2"/>
  </r>
  <r>
    <s v="Ord-ID-1007"/>
    <x v="6"/>
    <x v="2"/>
    <x v="4"/>
    <n v="22"/>
    <n v="230"/>
    <x v="2"/>
    <n v="0.1"/>
    <x v="8"/>
    <n v="506"/>
  </r>
  <r>
    <s v="Ord-ID-1008"/>
    <x v="6"/>
    <x v="2"/>
    <x v="2"/>
    <n v="15"/>
    <n v="230"/>
    <x v="13"/>
    <n v="0.11"/>
    <x v="9"/>
    <n v="379.5"/>
  </r>
  <r>
    <s v="Ord-ID-1009"/>
    <x v="6"/>
    <x v="1"/>
    <x v="1"/>
    <n v="15"/>
    <n v="40"/>
    <x v="39"/>
    <n v="0.04"/>
    <x v="10"/>
    <n v="24"/>
  </r>
  <r>
    <s v="Ord-ID-1010"/>
    <x v="6"/>
    <x v="0"/>
    <x v="1"/>
    <n v="2"/>
    <n v="80"/>
    <x v="31"/>
    <n v="7.0000000000000007E-2"/>
    <x v="11"/>
    <n v="11.200000000000001"/>
  </r>
  <r>
    <s v="Ord-ID-1011"/>
    <x v="7"/>
    <x v="4"/>
    <x v="0"/>
    <n v="22"/>
    <n v="150"/>
    <x v="41"/>
    <n v="0.05"/>
    <x v="0"/>
    <n v="165"/>
  </r>
  <r>
    <s v="Ord-ID-1012"/>
    <x v="7"/>
    <x v="1"/>
    <x v="4"/>
    <n v="20"/>
    <n v="40"/>
    <x v="20"/>
    <n v="7.0000000000000007E-2"/>
    <x v="1"/>
    <n v="56.000000000000007"/>
  </r>
  <r>
    <s v="Ord-ID-1013"/>
    <x v="7"/>
    <x v="2"/>
    <x v="3"/>
    <n v="2"/>
    <n v="230"/>
    <x v="56"/>
    <n v="0.09"/>
    <x v="2"/>
    <n v="41.4"/>
  </r>
  <r>
    <s v="Ord-ID-1014"/>
    <x v="7"/>
    <x v="1"/>
    <x v="3"/>
    <n v="7"/>
    <n v="40"/>
    <x v="69"/>
    <n v="0.11"/>
    <x v="3"/>
    <n v="30.8"/>
  </r>
  <r>
    <s v="Ord-ID-1015"/>
    <x v="7"/>
    <x v="1"/>
    <x v="3"/>
    <n v="9"/>
    <n v="40"/>
    <x v="18"/>
    <n v="0.06"/>
    <x v="5"/>
    <n v="21.599999999999998"/>
  </r>
  <r>
    <s v="Ord-ID-1016"/>
    <x v="7"/>
    <x v="1"/>
    <x v="0"/>
    <n v="18"/>
    <n v="40"/>
    <x v="11"/>
    <n v="0.11"/>
    <x v="1"/>
    <n v="79.2"/>
  </r>
  <r>
    <s v="Ord-ID-1017"/>
    <x v="7"/>
    <x v="2"/>
    <x v="0"/>
    <n v="20"/>
    <n v="230"/>
    <x v="36"/>
    <n v="0.04"/>
    <x v="2"/>
    <n v="184"/>
  </r>
  <r>
    <s v="Ord-ID-1018"/>
    <x v="7"/>
    <x v="0"/>
    <x v="2"/>
    <n v="23"/>
    <n v="80"/>
    <x v="3"/>
    <n v="0.05"/>
    <x v="3"/>
    <n v="92"/>
  </r>
  <r>
    <s v="Ord-ID-1019"/>
    <x v="7"/>
    <x v="4"/>
    <x v="4"/>
    <n v="11"/>
    <n v="150"/>
    <x v="45"/>
    <n v="0.09"/>
    <x v="4"/>
    <n v="148.5"/>
  </r>
  <r>
    <s v="Ord-ID-1020"/>
    <x v="7"/>
    <x v="4"/>
    <x v="0"/>
    <n v="17"/>
    <n v="150"/>
    <x v="55"/>
    <n v="0.12"/>
    <x v="5"/>
    <n v="306"/>
  </r>
  <r>
    <s v="Ord-ID-1021"/>
    <x v="7"/>
    <x v="2"/>
    <x v="4"/>
    <n v="2"/>
    <n v="230"/>
    <x v="56"/>
    <n v="0.08"/>
    <x v="6"/>
    <n v="36.800000000000004"/>
  </r>
  <r>
    <s v="Ord-ID-1022"/>
    <x v="7"/>
    <x v="0"/>
    <x v="2"/>
    <n v="10"/>
    <n v="80"/>
    <x v="20"/>
    <n v="0.11"/>
    <x v="7"/>
    <n v="88"/>
  </r>
  <r>
    <s v="Ord-ID-1023"/>
    <x v="8"/>
    <x v="3"/>
    <x v="3"/>
    <n v="22"/>
    <n v="16"/>
    <x v="14"/>
    <n v="0.03"/>
    <x v="8"/>
    <n v="10.559999999999999"/>
  </r>
  <r>
    <s v="Ord-ID-1024"/>
    <x v="8"/>
    <x v="3"/>
    <x v="2"/>
    <n v="9"/>
    <n v="16"/>
    <x v="72"/>
    <n v="0.05"/>
    <x v="9"/>
    <n v="7.2"/>
  </r>
  <r>
    <s v="Ord-ID-1025"/>
    <x v="8"/>
    <x v="1"/>
    <x v="2"/>
    <n v="4"/>
    <n v="40"/>
    <x v="31"/>
    <n v="0.1"/>
    <x v="10"/>
    <n v="16"/>
  </r>
  <r>
    <s v="Ord-ID-1026"/>
    <x v="8"/>
    <x v="0"/>
    <x v="4"/>
    <n v="9"/>
    <n v="80"/>
    <x v="11"/>
    <n v="0.02"/>
    <x v="11"/>
    <n v="14.4"/>
  </r>
  <r>
    <s v="Ord-ID-1027"/>
    <x v="8"/>
    <x v="2"/>
    <x v="2"/>
    <n v="6"/>
    <n v="230"/>
    <x v="38"/>
    <n v="0.05"/>
    <x v="0"/>
    <n v="69"/>
  </r>
  <r>
    <s v="Ord-ID-1028"/>
    <x v="8"/>
    <x v="0"/>
    <x v="3"/>
    <n v="14"/>
    <n v="80"/>
    <x v="42"/>
    <n v="0.05"/>
    <x v="1"/>
    <n v="56"/>
  </r>
  <r>
    <s v="Ord-ID-1029"/>
    <x v="8"/>
    <x v="3"/>
    <x v="4"/>
    <n v="17"/>
    <n v="16"/>
    <x v="6"/>
    <n v="0.08"/>
    <x v="2"/>
    <n v="21.76"/>
  </r>
  <r>
    <s v="Ord-ID-1030"/>
    <x v="8"/>
    <x v="4"/>
    <x v="1"/>
    <n v="22"/>
    <n v="150"/>
    <x v="41"/>
    <n v="0.02"/>
    <x v="3"/>
    <n v="66"/>
  </r>
  <r>
    <s v="Ord-ID-1031"/>
    <x v="8"/>
    <x v="1"/>
    <x v="4"/>
    <n v="17"/>
    <n v="40"/>
    <x v="83"/>
    <n v="0.02"/>
    <x v="4"/>
    <n v="13.6"/>
  </r>
  <r>
    <s v="Ord-ID-1032"/>
    <x v="8"/>
    <x v="0"/>
    <x v="4"/>
    <n v="17"/>
    <n v="80"/>
    <x v="29"/>
    <n v="7.0000000000000007E-2"/>
    <x v="5"/>
    <n v="95.2"/>
  </r>
  <r>
    <s v="Ord-ID-1033"/>
    <x v="8"/>
    <x v="4"/>
    <x v="3"/>
    <n v="4"/>
    <n v="150"/>
    <x v="39"/>
    <n v="0.12"/>
    <x v="1"/>
    <n v="72"/>
  </r>
  <r>
    <s v="Ord-ID-1034"/>
    <x v="8"/>
    <x v="3"/>
    <x v="3"/>
    <n v="14"/>
    <n v="16"/>
    <x v="27"/>
    <n v="0.12"/>
    <x v="2"/>
    <n v="26.88"/>
  </r>
  <r>
    <s v="Ord-ID-1035"/>
    <x v="8"/>
    <x v="3"/>
    <x v="0"/>
    <n v="18"/>
    <n v="16"/>
    <x v="53"/>
    <n v="0.11"/>
    <x v="3"/>
    <n v="31.68"/>
  </r>
  <r>
    <s v="Ord-ID-1036"/>
    <x v="8"/>
    <x v="0"/>
    <x v="4"/>
    <n v="22"/>
    <n v="80"/>
    <x v="24"/>
    <n v="0.09"/>
    <x v="4"/>
    <n v="158.4"/>
  </r>
  <r>
    <s v="Ord-ID-1037"/>
    <x v="8"/>
    <x v="2"/>
    <x v="1"/>
    <n v="12"/>
    <n v="230"/>
    <x v="4"/>
    <n v="0.03"/>
    <x v="5"/>
    <n v="82.8"/>
  </r>
  <r>
    <s v="Ord-ID-1038"/>
    <x v="8"/>
    <x v="1"/>
    <x v="1"/>
    <n v="12"/>
    <n v="40"/>
    <x v="0"/>
    <n v="0.1"/>
    <x v="6"/>
    <n v="48"/>
  </r>
  <r>
    <s v="Ord-ID-1039"/>
    <x v="9"/>
    <x v="1"/>
    <x v="4"/>
    <n v="7"/>
    <n v="40"/>
    <x v="69"/>
    <n v="0.12"/>
    <x v="7"/>
    <n v="33.6"/>
  </r>
  <r>
    <s v="Ord-ID-1040"/>
    <x v="9"/>
    <x v="0"/>
    <x v="0"/>
    <n v="12"/>
    <n v="80"/>
    <x v="85"/>
    <n v="0.04"/>
    <x v="8"/>
    <n v="38.4"/>
  </r>
  <r>
    <s v="Ord-ID-1041"/>
    <x v="9"/>
    <x v="3"/>
    <x v="4"/>
    <n v="17"/>
    <n v="16"/>
    <x v="6"/>
    <n v="0.1"/>
    <x v="9"/>
    <n v="27.200000000000003"/>
  </r>
  <r>
    <s v="Ord-ID-1042"/>
    <x v="9"/>
    <x v="2"/>
    <x v="1"/>
    <n v="6"/>
    <n v="230"/>
    <x v="38"/>
    <n v="0.1"/>
    <x v="10"/>
    <n v="138"/>
  </r>
  <r>
    <s v="Ord-ID-1043"/>
    <x v="9"/>
    <x v="1"/>
    <x v="0"/>
    <n v="11"/>
    <n v="40"/>
    <x v="49"/>
    <n v="0.04"/>
    <x v="11"/>
    <n v="17.600000000000001"/>
  </r>
  <r>
    <s v="Ord-ID-1044"/>
    <x v="9"/>
    <x v="3"/>
    <x v="3"/>
    <n v="10"/>
    <n v="16"/>
    <x v="31"/>
    <n v="0.04"/>
    <x v="0"/>
    <n v="6.4"/>
  </r>
  <r>
    <s v="Ord-ID-1045"/>
    <x v="9"/>
    <x v="0"/>
    <x v="0"/>
    <n v="6"/>
    <n v="80"/>
    <x v="0"/>
    <n v="7.0000000000000007E-2"/>
    <x v="1"/>
    <n v="33.6"/>
  </r>
  <r>
    <s v="Ord-ID-1046"/>
    <x v="9"/>
    <x v="1"/>
    <x v="3"/>
    <n v="11"/>
    <n v="40"/>
    <x v="49"/>
    <n v="0.09"/>
    <x v="2"/>
    <n v="39.6"/>
  </r>
  <r>
    <s v="Ord-ID-1047"/>
    <x v="9"/>
    <x v="0"/>
    <x v="4"/>
    <n v="16"/>
    <n v="80"/>
    <x v="19"/>
    <n v="0.09"/>
    <x v="3"/>
    <n v="115.19999999999999"/>
  </r>
  <r>
    <s v="Ord-ID-1048"/>
    <x v="9"/>
    <x v="1"/>
    <x v="3"/>
    <n v="13"/>
    <n v="40"/>
    <x v="26"/>
    <n v="0.09"/>
    <x v="4"/>
    <n v="46.8"/>
  </r>
  <r>
    <s v="Ord-ID-1049"/>
    <x v="9"/>
    <x v="2"/>
    <x v="0"/>
    <n v="5"/>
    <n v="230"/>
    <x v="61"/>
    <n v="0.1"/>
    <x v="5"/>
    <n v="115"/>
  </r>
  <r>
    <s v="Ord-ID-1050"/>
    <x v="10"/>
    <x v="1"/>
    <x v="4"/>
    <n v="7"/>
    <n v="40"/>
    <x v="69"/>
    <n v="0.05"/>
    <x v="1"/>
    <n v="14"/>
  </r>
  <r>
    <s v="Ord-ID-1051"/>
    <x v="10"/>
    <x v="0"/>
    <x v="2"/>
    <n v="14"/>
    <n v="80"/>
    <x v="42"/>
    <n v="0.1"/>
    <x v="2"/>
    <n v="112"/>
  </r>
  <r>
    <s v="Ord-ID-1052"/>
    <x v="10"/>
    <x v="3"/>
    <x v="4"/>
    <n v="12"/>
    <n v="16"/>
    <x v="21"/>
    <n v="0.04"/>
    <x v="3"/>
    <n v="7.68"/>
  </r>
  <r>
    <s v="Ord-ID-1053"/>
    <x v="10"/>
    <x v="2"/>
    <x v="2"/>
    <n v="14"/>
    <n v="230"/>
    <x v="80"/>
    <n v="0.03"/>
    <x v="4"/>
    <n v="96.6"/>
  </r>
  <r>
    <s v="Ord-ID-1054"/>
    <x v="10"/>
    <x v="0"/>
    <x v="4"/>
    <n v="21"/>
    <n v="80"/>
    <x v="40"/>
    <n v="0.09"/>
    <x v="5"/>
    <n v="151.19999999999999"/>
  </r>
  <r>
    <s v="Ord-ID-1055"/>
    <x v="10"/>
    <x v="2"/>
    <x v="2"/>
    <n v="5"/>
    <n v="230"/>
    <x v="61"/>
    <n v="0.1"/>
    <x v="6"/>
    <n v="115"/>
  </r>
  <r>
    <s v="Ord-ID-1056"/>
    <x v="10"/>
    <x v="1"/>
    <x v="4"/>
    <n v="16"/>
    <n v="40"/>
    <x v="12"/>
    <n v="0.09"/>
    <x v="7"/>
    <n v="57.599999999999994"/>
  </r>
  <r>
    <s v="Ord-ID-1057"/>
    <x v="10"/>
    <x v="4"/>
    <x v="1"/>
    <n v="15"/>
    <n v="150"/>
    <x v="37"/>
    <n v="0.12"/>
    <x v="8"/>
    <n v="270"/>
  </r>
  <r>
    <s v="Ord-ID-1058"/>
    <x v="10"/>
    <x v="3"/>
    <x v="4"/>
    <n v="23"/>
    <n v="16"/>
    <x v="35"/>
    <n v="0.01"/>
    <x v="9"/>
    <n v="3.68"/>
  </r>
  <r>
    <s v="Ord-ID-1059"/>
    <x v="10"/>
    <x v="3"/>
    <x v="1"/>
    <n v="22"/>
    <n v="16"/>
    <x v="14"/>
    <n v="0.04"/>
    <x v="10"/>
    <n v="14.08"/>
  </r>
  <r>
    <s v="Ord-ID-1060"/>
    <x v="10"/>
    <x v="0"/>
    <x v="0"/>
    <n v="20"/>
    <n v="80"/>
    <x v="16"/>
    <n v="0.01"/>
    <x v="11"/>
    <n v="16"/>
  </r>
  <r>
    <s v="Ord-ID-1061"/>
    <x v="10"/>
    <x v="1"/>
    <x v="3"/>
    <n v="6"/>
    <n v="40"/>
    <x v="71"/>
    <n v="7.0000000000000007E-2"/>
    <x v="0"/>
    <n v="16.8"/>
  </r>
  <r>
    <s v="Ord-ID-1062"/>
    <x v="11"/>
    <x v="4"/>
    <x v="1"/>
    <n v="10"/>
    <n v="150"/>
    <x v="77"/>
    <n v="0.01"/>
    <x v="1"/>
    <n v="15"/>
  </r>
  <r>
    <s v="Ord-ID-1063"/>
    <x v="11"/>
    <x v="0"/>
    <x v="3"/>
    <n v="17"/>
    <n v="80"/>
    <x v="29"/>
    <n v="0.05"/>
    <x v="2"/>
    <n v="68"/>
  </r>
  <r>
    <s v="Ord-ID-1064"/>
    <x v="11"/>
    <x v="4"/>
    <x v="0"/>
    <n v="13"/>
    <n v="150"/>
    <x v="34"/>
    <n v="0.05"/>
    <x v="3"/>
    <n v="97.5"/>
  </r>
  <r>
    <s v="Ord-ID-1065"/>
    <x v="11"/>
    <x v="2"/>
    <x v="3"/>
    <n v="8"/>
    <n v="230"/>
    <x v="3"/>
    <n v="0.05"/>
    <x v="4"/>
    <n v="92"/>
  </r>
  <r>
    <s v="Ord-ID-1066"/>
    <x v="11"/>
    <x v="3"/>
    <x v="0"/>
    <n v="10"/>
    <n v="16"/>
    <x v="31"/>
    <n v="0.08"/>
    <x v="5"/>
    <n v="12.8"/>
  </r>
  <r>
    <s v="Ord-ID-1067"/>
    <x v="11"/>
    <x v="1"/>
    <x v="1"/>
    <n v="4"/>
    <n v="40"/>
    <x v="31"/>
    <n v="0.06"/>
    <x v="1"/>
    <n v="9.6"/>
  </r>
  <r>
    <s v="Ord-ID-1068"/>
    <x v="11"/>
    <x v="1"/>
    <x v="4"/>
    <n v="18"/>
    <n v="40"/>
    <x v="11"/>
    <n v="0.06"/>
    <x v="2"/>
    <n v="43.199999999999996"/>
  </r>
  <r>
    <s v="Ord-ID-1069"/>
    <x v="11"/>
    <x v="4"/>
    <x v="3"/>
    <n v="15"/>
    <n v="150"/>
    <x v="37"/>
    <n v="0.05"/>
    <x v="3"/>
    <n v="112.5"/>
  </r>
  <r>
    <s v="Ord-ID-1070"/>
    <x v="11"/>
    <x v="4"/>
    <x v="3"/>
    <n v="3"/>
    <n v="150"/>
    <x v="75"/>
    <n v="0.01"/>
    <x v="4"/>
    <n v="4.5"/>
  </r>
  <r>
    <s v="Ord-ID-1071"/>
    <x v="11"/>
    <x v="3"/>
    <x v="0"/>
    <n v="12"/>
    <n v="16"/>
    <x v="21"/>
    <n v="0.11"/>
    <x v="5"/>
    <n v="21.12"/>
  </r>
  <r>
    <s v="Ord-ID-1072"/>
    <x v="12"/>
    <x v="0"/>
    <x v="4"/>
    <n v="17"/>
    <n v="80"/>
    <x v="29"/>
    <n v="7.0000000000000007E-2"/>
    <x v="6"/>
    <n v="95.2"/>
  </r>
  <r>
    <s v="Ord-ID-1073"/>
    <x v="12"/>
    <x v="2"/>
    <x v="0"/>
    <n v="3"/>
    <n v="230"/>
    <x v="33"/>
    <n v="0.06"/>
    <x v="7"/>
    <n v="41.4"/>
  </r>
  <r>
    <s v="Ord-ID-1074"/>
    <x v="12"/>
    <x v="0"/>
    <x v="2"/>
    <n v="20"/>
    <n v="80"/>
    <x v="16"/>
    <n v="7.0000000000000007E-2"/>
    <x v="8"/>
    <n v="112.00000000000001"/>
  </r>
  <r>
    <s v="Ord-ID-1075"/>
    <x v="12"/>
    <x v="2"/>
    <x v="1"/>
    <n v="14"/>
    <n v="230"/>
    <x v="80"/>
    <n v="0.05"/>
    <x v="9"/>
    <n v="161"/>
  </r>
  <r>
    <s v="Ord-ID-1076"/>
    <x v="12"/>
    <x v="1"/>
    <x v="4"/>
    <n v="16"/>
    <n v="40"/>
    <x v="12"/>
    <n v="0.09"/>
    <x v="10"/>
    <n v="57.599999999999994"/>
  </r>
  <r>
    <s v="Ord-ID-1077"/>
    <x v="12"/>
    <x v="3"/>
    <x v="1"/>
    <n v="7"/>
    <n v="16"/>
    <x v="25"/>
    <n v="0.08"/>
    <x v="11"/>
    <n v="8.9600000000000009"/>
  </r>
  <r>
    <s v="Ord-ID-1078"/>
    <x v="12"/>
    <x v="1"/>
    <x v="1"/>
    <n v="19"/>
    <n v="40"/>
    <x v="52"/>
    <n v="0.1"/>
    <x v="0"/>
    <n v="76"/>
  </r>
  <r>
    <s v="Ord-ID-1079"/>
    <x v="12"/>
    <x v="2"/>
    <x v="3"/>
    <n v="7"/>
    <n v="230"/>
    <x v="10"/>
    <n v="0.06"/>
    <x v="1"/>
    <n v="96.6"/>
  </r>
  <r>
    <s v="Ord-ID-1080"/>
    <x v="12"/>
    <x v="1"/>
    <x v="4"/>
    <n v="20"/>
    <n v="40"/>
    <x v="20"/>
    <n v="0.03"/>
    <x v="2"/>
    <n v="24"/>
  </r>
  <r>
    <s v="Ord-ID-1081"/>
    <x v="12"/>
    <x v="3"/>
    <x v="2"/>
    <n v="11"/>
    <n v="16"/>
    <x v="23"/>
    <n v="0.12"/>
    <x v="3"/>
    <n v="21.119999999999997"/>
  </r>
  <r>
    <s v="Ord-ID-1082"/>
    <x v="12"/>
    <x v="0"/>
    <x v="4"/>
    <n v="16"/>
    <n v="80"/>
    <x v="19"/>
    <n v="0.09"/>
    <x v="4"/>
    <n v="115.19999999999999"/>
  </r>
  <r>
    <s v="Ord-ID-1083"/>
    <x v="12"/>
    <x v="3"/>
    <x v="0"/>
    <n v="21"/>
    <n v="16"/>
    <x v="9"/>
    <n v="0.09"/>
    <x v="5"/>
    <n v="30.24"/>
  </r>
  <r>
    <s v="Ord-ID-1084"/>
    <x v="12"/>
    <x v="3"/>
    <x v="0"/>
    <n v="22"/>
    <n v="16"/>
    <x v="14"/>
    <n v="0.01"/>
    <x v="1"/>
    <n v="3.52"/>
  </r>
  <r>
    <s v="Ord-ID-1085"/>
    <x v="12"/>
    <x v="2"/>
    <x v="3"/>
    <n v="23"/>
    <n v="230"/>
    <x v="32"/>
    <n v="0.06"/>
    <x v="2"/>
    <n v="317.39999999999998"/>
  </r>
  <r>
    <s v="Ord-ID-1086"/>
    <x v="12"/>
    <x v="4"/>
    <x v="0"/>
    <n v="9"/>
    <n v="150"/>
    <x v="46"/>
    <n v="0.1"/>
    <x v="3"/>
    <n v="135"/>
  </r>
  <r>
    <s v="Ord-ID-1087"/>
    <x v="12"/>
    <x v="4"/>
    <x v="2"/>
    <n v="9"/>
    <n v="150"/>
    <x v="46"/>
    <n v="0.06"/>
    <x v="4"/>
    <n v="81"/>
  </r>
  <r>
    <s v="Ord-ID-1088"/>
    <x v="13"/>
    <x v="2"/>
    <x v="0"/>
    <n v="9"/>
    <n v="230"/>
    <x v="68"/>
    <n v="7.0000000000000007E-2"/>
    <x v="5"/>
    <n v="144.9"/>
  </r>
  <r>
    <s v="Ord-ID-1089"/>
    <x v="13"/>
    <x v="0"/>
    <x v="2"/>
    <n v="10"/>
    <n v="80"/>
    <x v="20"/>
    <n v="0.08"/>
    <x v="6"/>
    <n v="64"/>
  </r>
  <r>
    <s v="Ord-ID-1090"/>
    <x v="13"/>
    <x v="3"/>
    <x v="2"/>
    <n v="23"/>
    <n v="16"/>
    <x v="35"/>
    <n v="0.11"/>
    <x v="7"/>
    <n v="40.479999999999997"/>
  </r>
  <r>
    <s v="Ord-ID-1091"/>
    <x v="13"/>
    <x v="0"/>
    <x v="3"/>
    <n v="22"/>
    <n v="80"/>
    <x v="24"/>
    <n v="0.03"/>
    <x v="8"/>
    <n v="52.8"/>
  </r>
  <r>
    <s v="Ord-ID-1092"/>
    <x v="13"/>
    <x v="0"/>
    <x v="3"/>
    <n v="4"/>
    <n v="80"/>
    <x v="60"/>
    <n v="0.11"/>
    <x v="9"/>
    <n v="35.200000000000003"/>
  </r>
  <r>
    <s v="Ord-ID-1093"/>
    <x v="13"/>
    <x v="3"/>
    <x v="0"/>
    <n v="22"/>
    <n v="16"/>
    <x v="14"/>
    <n v="0.06"/>
    <x v="10"/>
    <n v="21.119999999999997"/>
  </r>
  <r>
    <s v="Ord-ID-1094"/>
    <x v="13"/>
    <x v="1"/>
    <x v="1"/>
    <n v="15"/>
    <n v="40"/>
    <x v="39"/>
    <n v="0.02"/>
    <x v="11"/>
    <n v="12"/>
  </r>
  <r>
    <s v="Ord-ID-1095"/>
    <x v="13"/>
    <x v="1"/>
    <x v="4"/>
    <n v="7"/>
    <n v="40"/>
    <x v="69"/>
    <n v="0.04"/>
    <x v="0"/>
    <n v="11.200000000000001"/>
  </r>
  <r>
    <s v="Ord-ID-1096"/>
    <x v="13"/>
    <x v="3"/>
    <x v="4"/>
    <n v="2"/>
    <n v="16"/>
    <x v="86"/>
    <n v="0.04"/>
    <x v="1"/>
    <n v="1.28"/>
  </r>
  <r>
    <s v="Ord-ID-1097"/>
    <x v="13"/>
    <x v="0"/>
    <x v="3"/>
    <n v="7"/>
    <n v="80"/>
    <x v="1"/>
    <n v="0.02"/>
    <x v="2"/>
    <n v="11.200000000000001"/>
  </r>
  <r>
    <s v="Ord-ID-1098"/>
    <x v="14"/>
    <x v="3"/>
    <x v="4"/>
    <n v="22"/>
    <n v="16"/>
    <x v="14"/>
    <n v="0.12"/>
    <x v="3"/>
    <n v="42.239999999999995"/>
  </r>
  <r>
    <s v="Ord-ID-1099"/>
    <x v="14"/>
    <x v="1"/>
    <x v="1"/>
    <n v="21"/>
    <n v="40"/>
    <x v="54"/>
    <n v="0.03"/>
    <x v="4"/>
    <n v="25.2"/>
  </r>
  <r>
    <s v="Ord-ID-1100"/>
    <x v="14"/>
    <x v="0"/>
    <x v="0"/>
    <n v="6"/>
    <n v="80"/>
    <x v="0"/>
    <n v="0.01"/>
    <x v="5"/>
    <n v="4.8"/>
  </r>
  <r>
    <s v="Ord-ID-1101"/>
    <x v="14"/>
    <x v="0"/>
    <x v="4"/>
    <n v="13"/>
    <n v="80"/>
    <x v="73"/>
    <n v="0.05"/>
    <x v="1"/>
    <n v="52"/>
  </r>
  <r>
    <s v="Ord-ID-1102"/>
    <x v="14"/>
    <x v="0"/>
    <x v="3"/>
    <n v="11"/>
    <n v="80"/>
    <x v="17"/>
    <n v="0.01"/>
    <x v="2"/>
    <n v="8.8000000000000007"/>
  </r>
  <r>
    <s v="Ord-ID-1103"/>
    <x v="14"/>
    <x v="1"/>
    <x v="0"/>
    <n v="18"/>
    <n v="40"/>
    <x v="11"/>
    <n v="0.06"/>
    <x v="3"/>
    <n v="43.199999999999996"/>
  </r>
  <r>
    <s v="Ord-ID-1104"/>
    <x v="14"/>
    <x v="4"/>
    <x v="3"/>
    <n v="7"/>
    <n v="150"/>
    <x v="7"/>
    <n v="0.05"/>
    <x v="4"/>
    <n v="52.5"/>
  </r>
  <r>
    <s v="Ord-ID-1105"/>
    <x v="14"/>
    <x v="1"/>
    <x v="0"/>
    <n v="2"/>
    <n v="40"/>
    <x v="64"/>
    <n v="0.12"/>
    <x v="5"/>
    <n v="9.6"/>
  </r>
  <r>
    <s v="Ord-ID-1106"/>
    <x v="14"/>
    <x v="0"/>
    <x v="1"/>
    <n v="14"/>
    <n v="80"/>
    <x v="42"/>
    <n v="0.06"/>
    <x v="6"/>
    <n v="67.2"/>
  </r>
  <r>
    <s v="Ord-ID-1107"/>
    <x v="14"/>
    <x v="4"/>
    <x v="4"/>
    <n v="7"/>
    <n v="150"/>
    <x v="7"/>
    <n v="0.03"/>
    <x v="7"/>
    <n v="31.5"/>
  </r>
  <r>
    <s v="Ord-ID-1108"/>
    <x v="14"/>
    <x v="3"/>
    <x v="3"/>
    <n v="10"/>
    <n v="16"/>
    <x v="31"/>
    <n v="0.01"/>
    <x v="8"/>
    <n v="1.6"/>
  </r>
  <r>
    <s v="Ord-ID-1109"/>
    <x v="15"/>
    <x v="1"/>
    <x v="1"/>
    <n v="7"/>
    <n v="40"/>
    <x v="69"/>
    <n v="0.01"/>
    <x v="9"/>
    <n v="2.8000000000000003"/>
  </r>
  <r>
    <s v="Ord-ID-1110"/>
    <x v="15"/>
    <x v="3"/>
    <x v="3"/>
    <n v="7"/>
    <n v="16"/>
    <x v="25"/>
    <n v="0.08"/>
    <x v="10"/>
    <n v="8.9600000000000009"/>
  </r>
  <r>
    <s v="Ord-ID-1111"/>
    <x v="15"/>
    <x v="4"/>
    <x v="2"/>
    <n v="15"/>
    <n v="150"/>
    <x v="37"/>
    <n v="0.05"/>
    <x v="11"/>
    <n v="112.5"/>
  </r>
  <r>
    <s v="Ord-ID-1112"/>
    <x v="15"/>
    <x v="0"/>
    <x v="0"/>
    <n v="7"/>
    <n v="80"/>
    <x v="1"/>
    <n v="0.02"/>
    <x v="0"/>
    <n v="11.200000000000001"/>
  </r>
  <r>
    <s v="Ord-ID-1113"/>
    <x v="15"/>
    <x v="1"/>
    <x v="2"/>
    <n v="6"/>
    <n v="40"/>
    <x v="71"/>
    <n v="0.06"/>
    <x v="1"/>
    <n v="14.399999999999999"/>
  </r>
  <r>
    <s v="Ord-ID-1114"/>
    <x v="15"/>
    <x v="2"/>
    <x v="0"/>
    <n v="3"/>
    <n v="230"/>
    <x v="33"/>
    <n v="0.06"/>
    <x v="2"/>
    <n v="41.4"/>
  </r>
  <r>
    <s v="Ord-ID-1115"/>
    <x v="15"/>
    <x v="4"/>
    <x v="2"/>
    <n v="20"/>
    <n v="150"/>
    <x v="8"/>
    <n v="0.04"/>
    <x v="3"/>
    <n v="120"/>
  </r>
  <r>
    <s v="Ord-ID-1116"/>
    <x v="15"/>
    <x v="2"/>
    <x v="2"/>
    <n v="20"/>
    <n v="230"/>
    <x v="36"/>
    <n v="0.06"/>
    <x v="4"/>
    <n v="276"/>
  </r>
  <r>
    <s v="Ord-ID-1117"/>
    <x v="15"/>
    <x v="3"/>
    <x v="2"/>
    <n v="14"/>
    <n v="16"/>
    <x v="27"/>
    <n v="0.01"/>
    <x v="5"/>
    <n v="2.2400000000000002"/>
  </r>
  <r>
    <s v="Ord-ID-1118"/>
    <x v="15"/>
    <x v="4"/>
    <x v="2"/>
    <n v="20"/>
    <n v="150"/>
    <x v="8"/>
    <n v="0.04"/>
    <x v="1"/>
    <n v="120"/>
  </r>
  <r>
    <s v="Ord-ID-1119"/>
    <x v="15"/>
    <x v="0"/>
    <x v="0"/>
    <n v="17"/>
    <n v="80"/>
    <x v="29"/>
    <n v="0.09"/>
    <x v="2"/>
    <n v="122.39999999999999"/>
  </r>
  <r>
    <s v="Ord-ID-1120"/>
    <x v="16"/>
    <x v="4"/>
    <x v="2"/>
    <n v="20"/>
    <n v="150"/>
    <x v="8"/>
    <n v="0.12"/>
    <x v="3"/>
    <n v="360"/>
  </r>
  <r>
    <s v="Ord-ID-1121"/>
    <x v="16"/>
    <x v="3"/>
    <x v="2"/>
    <n v="11"/>
    <n v="16"/>
    <x v="23"/>
    <n v="0.04"/>
    <x v="4"/>
    <n v="7.04"/>
  </r>
  <r>
    <s v="Ord-ID-1122"/>
    <x v="16"/>
    <x v="2"/>
    <x v="4"/>
    <n v="7"/>
    <n v="230"/>
    <x v="10"/>
    <n v="0.05"/>
    <x v="5"/>
    <n v="80.5"/>
  </r>
  <r>
    <s v="Ord-ID-1123"/>
    <x v="16"/>
    <x v="1"/>
    <x v="1"/>
    <n v="14"/>
    <n v="40"/>
    <x v="1"/>
    <n v="0.06"/>
    <x v="6"/>
    <n v="33.6"/>
  </r>
  <r>
    <s v="Ord-ID-1124"/>
    <x v="16"/>
    <x v="0"/>
    <x v="1"/>
    <n v="13"/>
    <n v="80"/>
    <x v="73"/>
    <n v="0.06"/>
    <x v="7"/>
    <n v="62.4"/>
  </r>
  <r>
    <s v="Ord-ID-1125"/>
    <x v="16"/>
    <x v="3"/>
    <x v="2"/>
    <n v="17"/>
    <n v="16"/>
    <x v="6"/>
    <n v="0.05"/>
    <x v="8"/>
    <n v="13.600000000000001"/>
  </r>
  <r>
    <s v="Ord-ID-1126"/>
    <x v="16"/>
    <x v="2"/>
    <x v="2"/>
    <n v="12"/>
    <n v="230"/>
    <x v="4"/>
    <n v="0.03"/>
    <x v="9"/>
    <n v="82.8"/>
  </r>
  <r>
    <s v="Ord-ID-1127"/>
    <x v="16"/>
    <x v="1"/>
    <x v="1"/>
    <n v="4"/>
    <n v="40"/>
    <x v="31"/>
    <n v="0.12"/>
    <x v="10"/>
    <n v="19.2"/>
  </r>
  <r>
    <s v="Ord-ID-1128"/>
    <x v="16"/>
    <x v="3"/>
    <x v="0"/>
    <n v="20"/>
    <n v="16"/>
    <x v="60"/>
    <n v="0.01"/>
    <x v="11"/>
    <n v="3.2"/>
  </r>
  <r>
    <s v="Ord-ID-1129"/>
    <x v="16"/>
    <x v="0"/>
    <x v="3"/>
    <n v="8"/>
    <n v="80"/>
    <x v="12"/>
    <n v="0.06"/>
    <x v="0"/>
    <n v="38.4"/>
  </r>
  <r>
    <s v="Ord-ID-1130"/>
    <x v="16"/>
    <x v="0"/>
    <x v="0"/>
    <n v="18"/>
    <n v="80"/>
    <x v="47"/>
    <n v="0.02"/>
    <x v="1"/>
    <n v="28.8"/>
  </r>
  <r>
    <s v="Ord-ID-1131"/>
    <x v="16"/>
    <x v="3"/>
    <x v="2"/>
    <n v="6"/>
    <n v="16"/>
    <x v="67"/>
    <n v="0.06"/>
    <x v="2"/>
    <n v="5.76"/>
  </r>
  <r>
    <s v="Ord-ID-1132"/>
    <x v="16"/>
    <x v="0"/>
    <x v="0"/>
    <n v="9"/>
    <n v="80"/>
    <x v="11"/>
    <n v="0.04"/>
    <x v="3"/>
    <n v="28.8"/>
  </r>
  <r>
    <s v="Ord-ID-1133"/>
    <x v="17"/>
    <x v="0"/>
    <x v="2"/>
    <n v="8"/>
    <n v="80"/>
    <x v="12"/>
    <n v="0.02"/>
    <x v="4"/>
    <n v="12.8"/>
  </r>
  <r>
    <s v="Ord-ID-1134"/>
    <x v="17"/>
    <x v="4"/>
    <x v="3"/>
    <n v="6"/>
    <n v="150"/>
    <x v="22"/>
    <n v="0.03"/>
    <x v="5"/>
    <n v="27"/>
  </r>
  <r>
    <s v="Ord-ID-1135"/>
    <x v="17"/>
    <x v="3"/>
    <x v="3"/>
    <n v="14"/>
    <n v="16"/>
    <x v="27"/>
    <n v="0.12"/>
    <x v="1"/>
    <n v="26.88"/>
  </r>
  <r>
    <s v="Ord-ID-1136"/>
    <x v="17"/>
    <x v="0"/>
    <x v="2"/>
    <n v="6"/>
    <n v="80"/>
    <x v="0"/>
    <n v="0.09"/>
    <x v="2"/>
    <n v="43.199999999999996"/>
  </r>
  <r>
    <s v="Ord-ID-1137"/>
    <x v="17"/>
    <x v="1"/>
    <x v="4"/>
    <n v="23"/>
    <n v="40"/>
    <x v="15"/>
    <n v="0.04"/>
    <x v="3"/>
    <n v="36.800000000000004"/>
  </r>
  <r>
    <s v="Ord-ID-1138"/>
    <x v="17"/>
    <x v="1"/>
    <x v="2"/>
    <n v="12"/>
    <n v="40"/>
    <x v="0"/>
    <n v="0.02"/>
    <x v="4"/>
    <n v="9.6"/>
  </r>
  <r>
    <s v="Ord-ID-1139"/>
    <x v="17"/>
    <x v="1"/>
    <x v="3"/>
    <n v="22"/>
    <n v="40"/>
    <x v="17"/>
    <n v="0.01"/>
    <x v="5"/>
    <n v="8.8000000000000007"/>
  </r>
  <r>
    <s v="Ord-ID-1140"/>
    <x v="17"/>
    <x v="4"/>
    <x v="3"/>
    <n v="6"/>
    <n v="150"/>
    <x v="22"/>
    <n v="0.03"/>
    <x v="6"/>
    <n v="27"/>
  </r>
  <r>
    <s v="Ord-ID-1141"/>
    <x v="17"/>
    <x v="3"/>
    <x v="4"/>
    <n v="19"/>
    <n v="16"/>
    <x v="66"/>
    <n v="0.02"/>
    <x v="7"/>
    <n v="6.08"/>
  </r>
  <r>
    <s v="Ord-ID-1142"/>
    <x v="17"/>
    <x v="1"/>
    <x v="2"/>
    <n v="2"/>
    <n v="40"/>
    <x v="64"/>
    <n v="0.02"/>
    <x v="8"/>
    <n v="1.6"/>
  </r>
  <r>
    <s v="Ord-ID-1143"/>
    <x v="18"/>
    <x v="1"/>
    <x v="3"/>
    <n v="22"/>
    <n v="40"/>
    <x v="17"/>
    <n v="0.01"/>
    <x v="9"/>
    <n v="8.8000000000000007"/>
  </r>
  <r>
    <s v="Ord-ID-1144"/>
    <x v="18"/>
    <x v="2"/>
    <x v="3"/>
    <n v="3"/>
    <n v="230"/>
    <x v="33"/>
    <n v="0.01"/>
    <x v="10"/>
    <n v="6.9"/>
  </r>
  <r>
    <s v="Ord-ID-1145"/>
    <x v="18"/>
    <x v="1"/>
    <x v="3"/>
    <n v="23"/>
    <n v="40"/>
    <x v="15"/>
    <n v="0.06"/>
    <x v="11"/>
    <n v="55.199999999999996"/>
  </r>
  <r>
    <s v="Ord-ID-1146"/>
    <x v="18"/>
    <x v="1"/>
    <x v="4"/>
    <n v="5"/>
    <n v="40"/>
    <x v="70"/>
    <n v="0.03"/>
    <x v="0"/>
    <n v="6"/>
  </r>
  <r>
    <s v="Ord-ID-1147"/>
    <x v="18"/>
    <x v="0"/>
    <x v="0"/>
    <n v="8"/>
    <n v="80"/>
    <x v="12"/>
    <n v="0.08"/>
    <x v="1"/>
    <n v="51.2"/>
  </r>
  <r>
    <s v="Ord-ID-1148"/>
    <x v="18"/>
    <x v="1"/>
    <x v="2"/>
    <n v="18"/>
    <n v="40"/>
    <x v="11"/>
    <n v="0.03"/>
    <x v="2"/>
    <n v="21.599999999999998"/>
  </r>
  <r>
    <s v="Ord-ID-1149"/>
    <x v="18"/>
    <x v="1"/>
    <x v="4"/>
    <n v="20"/>
    <n v="40"/>
    <x v="20"/>
    <n v="0.1"/>
    <x v="3"/>
    <n v="80"/>
  </r>
  <r>
    <s v="Ord-ID-1150"/>
    <x v="18"/>
    <x v="1"/>
    <x v="2"/>
    <n v="2"/>
    <n v="40"/>
    <x v="64"/>
    <n v="0.03"/>
    <x v="4"/>
    <n v="2.4"/>
  </r>
  <r>
    <s v="Ord-ID-1151"/>
    <x v="18"/>
    <x v="2"/>
    <x v="0"/>
    <n v="15"/>
    <n v="230"/>
    <x v="13"/>
    <n v="0.05"/>
    <x v="5"/>
    <n v="172.5"/>
  </r>
  <r>
    <s v="Ord-ID-1152"/>
    <x v="18"/>
    <x v="4"/>
    <x v="3"/>
    <n v="15"/>
    <n v="150"/>
    <x v="37"/>
    <n v="0.08"/>
    <x v="1"/>
    <n v="180"/>
  </r>
  <r>
    <s v="Ord-ID-1153"/>
    <x v="18"/>
    <x v="4"/>
    <x v="3"/>
    <n v="22"/>
    <n v="150"/>
    <x v="41"/>
    <n v="0.05"/>
    <x v="2"/>
    <n v="165"/>
  </r>
  <r>
    <s v="Ord-ID-1154"/>
    <x v="18"/>
    <x v="2"/>
    <x v="1"/>
    <n v="19"/>
    <n v="230"/>
    <x v="30"/>
    <n v="0.11"/>
    <x v="3"/>
    <n v="480.7"/>
  </r>
  <r>
    <s v="Ord-ID-1155"/>
    <x v="18"/>
    <x v="0"/>
    <x v="1"/>
    <n v="10"/>
    <n v="80"/>
    <x v="20"/>
    <n v="0.11"/>
    <x v="4"/>
    <n v="88"/>
  </r>
  <r>
    <s v="Ord-ID-1156"/>
    <x v="18"/>
    <x v="1"/>
    <x v="3"/>
    <n v="18"/>
    <n v="40"/>
    <x v="11"/>
    <n v="0.06"/>
    <x v="5"/>
    <n v="43.199999999999996"/>
  </r>
  <r>
    <s v="Ord-ID-1157"/>
    <x v="18"/>
    <x v="0"/>
    <x v="3"/>
    <n v="16"/>
    <n v="80"/>
    <x v="19"/>
    <n v="0.05"/>
    <x v="6"/>
    <n v="64"/>
  </r>
  <r>
    <s v="Ord-ID-1158"/>
    <x v="18"/>
    <x v="4"/>
    <x v="4"/>
    <n v="17"/>
    <n v="150"/>
    <x v="55"/>
    <n v="0.02"/>
    <x v="7"/>
    <n v="51"/>
  </r>
  <r>
    <s v="Ord-ID-1159"/>
    <x v="19"/>
    <x v="2"/>
    <x v="0"/>
    <n v="8"/>
    <n v="230"/>
    <x v="3"/>
    <n v="0.03"/>
    <x v="8"/>
    <n v="55.199999999999996"/>
  </r>
  <r>
    <s v="Ord-ID-1160"/>
    <x v="19"/>
    <x v="0"/>
    <x v="3"/>
    <n v="11"/>
    <n v="80"/>
    <x v="17"/>
    <n v="0.01"/>
    <x v="9"/>
    <n v="8.8000000000000007"/>
  </r>
  <r>
    <s v="Ord-ID-1161"/>
    <x v="19"/>
    <x v="1"/>
    <x v="0"/>
    <n v="5"/>
    <n v="40"/>
    <x v="70"/>
    <n v="0.06"/>
    <x v="10"/>
    <n v="12"/>
  </r>
  <r>
    <s v="Ord-ID-1162"/>
    <x v="19"/>
    <x v="1"/>
    <x v="4"/>
    <n v="11"/>
    <n v="40"/>
    <x v="49"/>
    <n v="0.05"/>
    <x v="11"/>
    <n v="22"/>
  </r>
  <r>
    <s v="Ord-ID-1163"/>
    <x v="19"/>
    <x v="4"/>
    <x v="3"/>
    <n v="20"/>
    <n v="150"/>
    <x v="8"/>
    <n v="0.1"/>
    <x v="0"/>
    <n v="300"/>
  </r>
  <r>
    <s v="Ord-ID-1164"/>
    <x v="19"/>
    <x v="4"/>
    <x v="2"/>
    <n v="11"/>
    <n v="150"/>
    <x v="45"/>
    <n v="0.11"/>
    <x v="1"/>
    <n v="181.5"/>
  </r>
  <r>
    <s v="Ord-ID-1165"/>
    <x v="19"/>
    <x v="0"/>
    <x v="3"/>
    <n v="2"/>
    <n v="80"/>
    <x v="31"/>
    <n v="0.08"/>
    <x v="2"/>
    <n v="12.8"/>
  </r>
  <r>
    <s v="Ord-ID-1166"/>
    <x v="19"/>
    <x v="4"/>
    <x v="1"/>
    <n v="16"/>
    <n v="150"/>
    <x v="28"/>
    <n v="0.08"/>
    <x v="3"/>
    <n v="192"/>
  </r>
  <r>
    <s v="Ord-ID-1167"/>
    <x v="19"/>
    <x v="3"/>
    <x v="0"/>
    <n v="20"/>
    <n v="16"/>
    <x v="60"/>
    <n v="0.11"/>
    <x v="4"/>
    <n v="35.200000000000003"/>
  </r>
  <r>
    <s v="Ord-ID-1168"/>
    <x v="19"/>
    <x v="2"/>
    <x v="2"/>
    <n v="2"/>
    <n v="230"/>
    <x v="56"/>
    <n v="0.09"/>
    <x v="5"/>
    <n v="41.4"/>
  </r>
  <r>
    <s v="Ord-ID-1169"/>
    <x v="19"/>
    <x v="4"/>
    <x v="0"/>
    <n v="20"/>
    <n v="150"/>
    <x v="8"/>
    <n v="0.04"/>
    <x v="1"/>
    <n v="120"/>
  </r>
  <r>
    <s v="Ord-ID-1170"/>
    <x v="19"/>
    <x v="4"/>
    <x v="0"/>
    <n v="22"/>
    <n v="150"/>
    <x v="41"/>
    <n v="7.0000000000000007E-2"/>
    <x v="2"/>
    <n v="231.00000000000003"/>
  </r>
  <r>
    <s v="Ord-ID-1171"/>
    <x v="19"/>
    <x v="4"/>
    <x v="2"/>
    <n v="22"/>
    <n v="150"/>
    <x v="41"/>
    <n v="0.04"/>
    <x v="3"/>
    <n v="132"/>
  </r>
  <r>
    <s v="Ord-ID-1172"/>
    <x v="19"/>
    <x v="1"/>
    <x v="0"/>
    <n v="23"/>
    <n v="40"/>
    <x v="15"/>
    <n v="7.0000000000000007E-2"/>
    <x v="4"/>
    <n v="64.400000000000006"/>
  </r>
  <r>
    <s v="Ord-ID-1173"/>
    <x v="20"/>
    <x v="3"/>
    <x v="2"/>
    <n v="11"/>
    <n v="16"/>
    <x v="23"/>
    <n v="0.04"/>
    <x v="5"/>
    <n v="7.04"/>
  </r>
  <r>
    <s v="Ord-ID-1174"/>
    <x v="20"/>
    <x v="2"/>
    <x v="1"/>
    <n v="11"/>
    <n v="230"/>
    <x v="76"/>
    <n v="0.1"/>
    <x v="6"/>
    <n v="253"/>
  </r>
  <r>
    <s v="Ord-ID-1175"/>
    <x v="20"/>
    <x v="2"/>
    <x v="0"/>
    <n v="7"/>
    <n v="230"/>
    <x v="10"/>
    <n v="0.08"/>
    <x v="7"/>
    <n v="128.80000000000001"/>
  </r>
  <r>
    <s v="Ord-ID-1176"/>
    <x v="20"/>
    <x v="2"/>
    <x v="3"/>
    <n v="16"/>
    <n v="230"/>
    <x v="81"/>
    <n v="0.11"/>
    <x v="9"/>
    <n v="404.8"/>
  </r>
  <r>
    <s v="Ord-ID-1177"/>
    <x v="20"/>
    <x v="2"/>
    <x v="4"/>
    <n v="20"/>
    <n v="230"/>
    <x v="36"/>
    <n v="0.09"/>
    <x v="10"/>
    <n v="414"/>
  </r>
  <r>
    <s v="Ord-ID-1178"/>
    <x v="20"/>
    <x v="1"/>
    <x v="2"/>
    <n v="20"/>
    <n v="40"/>
    <x v="20"/>
    <n v="0.01"/>
    <x v="11"/>
    <n v="8"/>
  </r>
  <r>
    <s v="Ord-ID-1179"/>
    <x v="20"/>
    <x v="0"/>
    <x v="0"/>
    <n v="20"/>
    <n v="80"/>
    <x v="16"/>
    <n v="0.01"/>
    <x v="0"/>
    <n v="16"/>
  </r>
  <r>
    <s v="Ord-ID-1180"/>
    <x v="20"/>
    <x v="4"/>
    <x v="0"/>
    <n v="5"/>
    <n v="150"/>
    <x v="43"/>
    <n v="0.11"/>
    <x v="1"/>
    <n v="82.5"/>
  </r>
  <r>
    <s v="Ord-ID-1181"/>
    <x v="21"/>
    <x v="1"/>
    <x v="2"/>
    <n v="4"/>
    <n v="40"/>
    <x v="31"/>
    <n v="0.11"/>
    <x v="2"/>
    <n v="17.600000000000001"/>
  </r>
  <r>
    <s v="Ord-ID-1182"/>
    <x v="21"/>
    <x v="3"/>
    <x v="0"/>
    <n v="7"/>
    <n v="16"/>
    <x v="25"/>
    <n v="0.12"/>
    <x v="3"/>
    <n v="13.44"/>
  </r>
  <r>
    <s v="Ord-ID-1183"/>
    <x v="21"/>
    <x v="3"/>
    <x v="1"/>
    <n v="22"/>
    <n v="16"/>
    <x v="14"/>
    <n v="0.01"/>
    <x v="4"/>
    <n v="3.52"/>
  </r>
  <r>
    <s v="Ord-ID-1184"/>
    <x v="21"/>
    <x v="1"/>
    <x v="3"/>
    <n v="15"/>
    <n v="40"/>
    <x v="39"/>
    <n v="0.03"/>
    <x v="5"/>
    <n v="18"/>
  </r>
  <r>
    <s v="Ord-ID-1185"/>
    <x v="21"/>
    <x v="0"/>
    <x v="1"/>
    <n v="14"/>
    <n v="80"/>
    <x v="42"/>
    <n v="0.11"/>
    <x v="1"/>
    <n v="123.2"/>
  </r>
  <r>
    <s v="Ord-ID-1186"/>
    <x v="21"/>
    <x v="3"/>
    <x v="1"/>
    <n v="15"/>
    <n v="16"/>
    <x v="71"/>
    <n v="0.02"/>
    <x v="2"/>
    <n v="4.8"/>
  </r>
  <r>
    <s v="Ord-ID-1187"/>
    <x v="22"/>
    <x v="0"/>
    <x v="3"/>
    <n v="19"/>
    <n v="80"/>
    <x v="5"/>
    <n v="0.02"/>
    <x v="3"/>
    <n v="30.400000000000002"/>
  </r>
  <r>
    <s v="Ord-ID-1188"/>
    <x v="22"/>
    <x v="1"/>
    <x v="4"/>
    <n v="20"/>
    <n v="40"/>
    <x v="20"/>
    <n v="0.05"/>
    <x v="4"/>
    <n v="40"/>
  </r>
  <r>
    <s v="Ord-ID-1189"/>
    <x v="22"/>
    <x v="1"/>
    <x v="3"/>
    <n v="11"/>
    <n v="40"/>
    <x v="49"/>
    <n v="0.06"/>
    <x v="5"/>
    <n v="26.4"/>
  </r>
  <r>
    <s v="Ord-ID-1190"/>
    <x v="22"/>
    <x v="4"/>
    <x v="2"/>
    <n v="11"/>
    <n v="150"/>
    <x v="45"/>
    <n v="0.05"/>
    <x v="6"/>
    <n v="82.5"/>
  </r>
  <r>
    <s v="Ord-ID-1191"/>
    <x v="22"/>
    <x v="0"/>
    <x v="3"/>
    <n v="23"/>
    <n v="80"/>
    <x v="3"/>
    <n v="0.11"/>
    <x v="7"/>
    <n v="202.4"/>
  </r>
  <r>
    <s v="Ord-ID-1192"/>
    <x v="22"/>
    <x v="0"/>
    <x v="0"/>
    <n v="8"/>
    <n v="80"/>
    <x v="12"/>
    <n v="0.09"/>
    <x v="8"/>
    <n v="57.599999999999994"/>
  </r>
  <r>
    <s v="Ord-ID-1193"/>
    <x v="22"/>
    <x v="1"/>
    <x v="3"/>
    <n v="9"/>
    <n v="40"/>
    <x v="18"/>
    <n v="0.06"/>
    <x v="9"/>
    <n v="21.599999999999998"/>
  </r>
  <r>
    <s v="Ord-ID-1194"/>
    <x v="22"/>
    <x v="2"/>
    <x v="4"/>
    <n v="13"/>
    <n v="230"/>
    <x v="79"/>
    <n v="0.06"/>
    <x v="10"/>
    <n v="179.4"/>
  </r>
  <r>
    <s v="Ord-ID-1195"/>
    <x v="22"/>
    <x v="1"/>
    <x v="3"/>
    <n v="22"/>
    <n v="40"/>
    <x v="17"/>
    <n v="0.01"/>
    <x v="11"/>
    <n v="8.8000000000000007"/>
  </r>
  <r>
    <s v="Ord-ID-1196"/>
    <x v="22"/>
    <x v="3"/>
    <x v="4"/>
    <n v="14"/>
    <n v="16"/>
    <x v="27"/>
    <n v="0.06"/>
    <x v="0"/>
    <n v="13.44"/>
  </r>
  <r>
    <s v="Ord-ID-1197"/>
    <x v="23"/>
    <x v="0"/>
    <x v="1"/>
    <n v="5"/>
    <n v="80"/>
    <x v="65"/>
    <n v="0.04"/>
    <x v="1"/>
    <n v="16"/>
  </r>
  <r>
    <s v="Ord-ID-1198"/>
    <x v="23"/>
    <x v="4"/>
    <x v="4"/>
    <n v="18"/>
    <n v="150"/>
    <x v="44"/>
    <n v="0.12"/>
    <x v="2"/>
    <n v="324"/>
  </r>
  <r>
    <s v="Ord-ID-1199"/>
    <x v="23"/>
    <x v="2"/>
    <x v="2"/>
    <n v="14"/>
    <n v="230"/>
    <x v="80"/>
    <n v="0.12"/>
    <x v="3"/>
    <n v="386.4"/>
  </r>
  <r>
    <s v="Ord-ID-1200"/>
    <x v="23"/>
    <x v="2"/>
    <x v="4"/>
    <n v="20"/>
    <n v="230"/>
    <x v="36"/>
    <n v="0.11"/>
    <x v="4"/>
    <n v="506"/>
  </r>
  <r>
    <s v="Ord-ID-1201"/>
    <x v="23"/>
    <x v="3"/>
    <x v="4"/>
    <n v="3"/>
    <n v="16"/>
    <x v="78"/>
    <n v="0.03"/>
    <x v="5"/>
    <n v="1.44"/>
  </r>
  <r>
    <s v="Ord-ID-1202"/>
    <x v="23"/>
    <x v="2"/>
    <x v="2"/>
    <n v="20"/>
    <n v="230"/>
    <x v="36"/>
    <n v="0.06"/>
    <x v="1"/>
    <n v="276"/>
  </r>
  <r>
    <s v="Ord-ID-1203"/>
    <x v="23"/>
    <x v="0"/>
    <x v="4"/>
    <n v="9"/>
    <n v="80"/>
    <x v="11"/>
    <n v="0.02"/>
    <x v="2"/>
    <n v="14.4"/>
  </r>
  <r>
    <s v="Ord-ID-1204"/>
    <x v="23"/>
    <x v="3"/>
    <x v="3"/>
    <n v="22"/>
    <n v="16"/>
    <x v="14"/>
    <n v="0.03"/>
    <x v="3"/>
    <n v="10.559999999999999"/>
  </r>
  <r>
    <s v="Ord-ID-1205"/>
    <x v="23"/>
    <x v="0"/>
    <x v="1"/>
    <n v="15"/>
    <n v="80"/>
    <x v="74"/>
    <n v="0.12"/>
    <x v="4"/>
    <n v="144"/>
  </r>
  <r>
    <s v="Ord-ID-1206"/>
    <x v="23"/>
    <x v="4"/>
    <x v="0"/>
    <n v="11"/>
    <n v="150"/>
    <x v="45"/>
    <n v="0.05"/>
    <x v="5"/>
    <n v="82.5"/>
  </r>
  <r>
    <s v="Ord-ID-1207"/>
    <x v="23"/>
    <x v="2"/>
    <x v="3"/>
    <n v="11"/>
    <n v="230"/>
    <x v="76"/>
    <n v="0.12"/>
    <x v="6"/>
    <n v="303.59999999999997"/>
  </r>
  <r>
    <s v="Ord-ID-1208"/>
    <x v="23"/>
    <x v="4"/>
    <x v="0"/>
    <n v="20"/>
    <n v="150"/>
    <x v="8"/>
    <n v="0.01"/>
    <x v="7"/>
    <n v="30"/>
  </r>
  <r>
    <s v="Ord-ID-1209"/>
    <x v="23"/>
    <x v="1"/>
    <x v="2"/>
    <n v="11"/>
    <n v="40"/>
    <x v="49"/>
    <n v="0.12"/>
    <x v="8"/>
    <n v="52.8"/>
  </r>
  <r>
    <s v="Ord-ID-1210"/>
    <x v="24"/>
    <x v="2"/>
    <x v="2"/>
    <n v="12"/>
    <n v="230"/>
    <x v="4"/>
    <n v="0.06"/>
    <x v="9"/>
    <n v="165.6"/>
  </r>
  <r>
    <s v="Ord-ID-1211"/>
    <x v="24"/>
    <x v="1"/>
    <x v="0"/>
    <n v="15"/>
    <n v="40"/>
    <x v="39"/>
    <n v="0.06"/>
    <x v="10"/>
    <n v="36"/>
  </r>
  <r>
    <s v="Ord-ID-1212"/>
    <x v="24"/>
    <x v="1"/>
    <x v="3"/>
    <n v="13"/>
    <n v="40"/>
    <x v="26"/>
    <n v="0.09"/>
    <x v="11"/>
    <n v="46.8"/>
  </r>
  <r>
    <s v="Ord-ID-1213"/>
    <x v="24"/>
    <x v="1"/>
    <x v="4"/>
    <n v="4"/>
    <n v="40"/>
    <x v="31"/>
    <n v="0.09"/>
    <x v="0"/>
    <n v="14.399999999999999"/>
  </r>
  <r>
    <s v="Ord-ID-1214"/>
    <x v="24"/>
    <x v="2"/>
    <x v="3"/>
    <n v="18"/>
    <n v="230"/>
    <x v="82"/>
    <n v="0.01"/>
    <x v="1"/>
    <n v="41.4"/>
  </r>
  <r>
    <s v="Ord-ID-1215"/>
    <x v="24"/>
    <x v="3"/>
    <x v="0"/>
    <n v="7"/>
    <n v="16"/>
    <x v="25"/>
    <n v="0.02"/>
    <x v="2"/>
    <n v="2.2400000000000002"/>
  </r>
  <r>
    <s v="Ord-ID-1216"/>
    <x v="24"/>
    <x v="3"/>
    <x v="2"/>
    <n v="6"/>
    <n v="16"/>
    <x v="67"/>
    <n v="7.0000000000000007E-2"/>
    <x v="3"/>
    <n v="6.7200000000000006"/>
  </r>
  <r>
    <s v="Ord-ID-1217"/>
    <x v="24"/>
    <x v="2"/>
    <x v="3"/>
    <n v="8"/>
    <n v="230"/>
    <x v="3"/>
    <n v="0.05"/>
    <x v="4"/>
    <n v="92"/>
  </r>
  <r>
    <s v="Ord-ID-1218"/>
    <x v="24"/>
    <x v="3"/>
    <x v="2"/>
    <n v="12"/>
    <n v="16"/>
    <x v="21"/>
    <n v="0.11"/>
    <x v="5"/>
    <n v="21.12"/>
  </r>
  <r>
    <s v="Ord-ID-1219"/>
    <x v="24"/>
    <x v="2"/>
    <x v="0"/>
    <n v="11"/>
    <n v="230"/>
    <x v="76"/>
    <n v="0.02"/>
    <x v="1"/>
    <n v="50.6"/>
  </r>
  <r>
    <s v="Ord-ID-1220"/>
    <x v="24"/>
    <x v="3"/>
    <x v="2"/>
    <n v="3"/>
    <n v="16"/>
    <x v="78"/>
    <n v="0.05"/>
    <x v="2"/>
    <n v="2.4000000000000004"/>
  </r>
  <r>
    <s v="Ord-ID-1221"/>
    <x v="25"/>
    <x v="4"/>
    <x v="1"/>
    <n v="16"/>
    <n v="150"/>
    <x v="28"/>
    <n v="0.05"/>
    <x v="3"/>
    <n v="120"/>
  </r>
  <r>
    <s v="Ord-ID-1222"/>
    <x v="25"/>
    <x v="2"/>
    <x v="3"/>
    <n v="8"/>
    <n v="230"/>
    <x v="3"/>
    <n v="0.01"/>
    <x v="4"/>
    <n v="18.400000000000002"/>
  </r>
  <r>
    <s v="Ord-ID-1223"/>
    <x v="25"/>
    <x v="0"/>
    <x v="2"/>
    <n v="16"/>
    <n v="80"/>
    <x v="19"/>
    <n v="0.04"/>
    <x v="5"/>
    <n v="51.2"/>
  </r>
  <r>
    <s v="Ord-ID-1224"/>
    <x v="25"/>
    <x v="3"/>
    <x v="3"/>
    <n v="18"/>
    <n v="16"/>
    <x v="53"/>
    <n v="0.04"/>
    <x v="6"/>
    <n v="11.52"/>
  </r>
  <r>
    <s v="Ord-ID-1225"/>
    <x v="25"/>
    <x v="1"/>
    <x v="4"/>
    <n v="14"/>
    <n v="40"/>
    <x v="1"/>
    <n v="0.11"/>
    <x v="7"/>
    <n v="61.6"/>
  </r>
  <r>
    <s v="Ord-ID-1226"/>
    <x v="25"/>
    <x v="3"/>
    <x v="1"/>
    <n v="21"/>
    <n v="16"/>
    <x v="9"/>
    <n v="0.02"/>
    <x v="8"/>
    <n v="6.72"/>
  </r>
  <r>
    <s v="Ord-ID-1227"/>
    <x v="25"/>
    <x v="3"/>
    <x v="1"/>
    <n v="7"/>
    <n v="16"/>
    <x v="25"/>
    <n v="0.08"/>
    <x v="9"/>
    <n v="8.9600000000000009"/>
  </r>
  <r>
    <s v="Ord-ID-1228"/>
    <x v="25"/>
    <x v="0"/>
    <x v="2"/>
    <n v="7"/>
    <n v="80"/>
    <x v="1"/>
    <n v="0.05"/>
    <x v="10"/>
    <n v="28"/>
  </r>
  <r>
    <s v="Ord-ID-1229"/>
    <x v="25"/>
    <x v="1"/>
    <x v="4"/>
    <n v="16"/>
    <n v="40"/>
    <x v="12"/>
    <n v="0.09"/>
    <x v="11"/>
    <n v="57.599999999999994"/>
  </r>
  <r>
    <s v="Ord-ID-1230"/>
    <x v="25"/>
    <x v="2"/>
    <x v="4"/>
    <n v="22"/>
    <n v="230"/>
    <x v="2"/>
    <n v="0.1"/>
    <x v="0"/>
    <n v="506"/>
  </r>
  <r>
    <s v="Ord-ID-1231"/>
    <x v="25"/>
    <x v="1"/>
    <x v="1"/>
    <n v="4"/>
    <n v="40"/>
    <x v="31"/>
    <n v="0.03"/>
    <x v="1"/>
    <n v="4.8"/>
  </r>
  <r>
    <s v="Ord-ID-1232"/>
    <x v="25"/>
    <x v="2"/>
    <x v="4"/>
    <n v="3"/>
    <n v="230"/>
    <x v="33"/>
    <n v="0.1"/>
    <x v="2"/>
    <n v="69"/>
  </r>
  <r>
    <s v="Ord-ID-1233"/>
    <x v="25"/>
    <x v="0"/>
    <x v="1"/>
    <n v="14"/>
    <n v="80"/>
    <x v="42"/>
    <n v="0.11"/>
    <x v="3"/>
    <n v="123.2"/>
  </r>
  <r>
    <s v="Ord-ID-1234"/>
    <x v="26"/>
    <x v="1"/>
    <x v="4"/>
    <n v="21"/>
    <n v="40"/>
    <x v="54"/>
    <n v="0.01"/>
    <x v="4"/>
    <n v="8.4"/>
  </r>
  <r>
    <s v="Ord-ID-1235"/>
    <x v="26"/>
    <x v="3"/>
    <x v="1"/>
    <n v="20"/>
    <n v="16"/>
    <x v="60"/>
    <n v="0.06"/>
    <x v="5"/>
    <n v="19.2"/>
  </r>
  <r>
    <s v="Ord-ID-1236"/>
    <x v="26"/>
    <x v="0"/>
    <x v="4"/>
    <n v="22"/>
    <n v="80"/>
    <x v="24"/>
    <n v="0.11"/>
    <x v="1"/>
    <n v="193.6"/>
  </r>
  <r>
    <s v="Ord-ID-1237"/>
    <x v="26"/>
    <x v="1"/>
    <x v="0"/>
    <n v="7"/>
    <n v="40"/>
    <x v="69"/>
    <n v="0.1"/>
    <x v="2"/>
    <n v="28"/>
  </r>
  <r>
    <s v="Ord-ID-1238"/>
    <x v="26"/>
    <x v="4"/>
    <x v="1"/>
    <n v="16"/>
    <n v="150"/>
    <x v="28"/>
    <n v="0.05"/>
    <x v="3"/>
    <n v="120"/>
  </r>
  <r>
    <s v="Ord-ID-1239"/>
    <x v="26"/>
    <x v="2"/>
    <x v="1"/>
    <n v="7"/>
    <n v="230"/>
    <x v="10"/>
    <n v="0.05"/>
    <x v="4"/>
    <n v="80.5"/>
  </r>
  <r>
    <s v="Ord-ID-1240"/>
    <x v="26"/>
    <x v="4"/>
    <x v="0"/>
    <n v="20"/>
    <n v="150"/>
    <x v="8"/>
    <n v="0.03"/>
    <x v="5"/>
    <n v="90"/>
  </r>
  <r>
    <s v="Ord-ID-1241"/>
    <x v="26"/>
    <x v="4"/>
    <x v="1"/>
    <n v="16"/>
    <n v="150"/>
    <x v="28"/>
    <n v="0.03"/>
    <x v="6"/>
    <n v="72"/>
  </r>
  <r>
    <s v="Ord-ID-1242"/>
    <x v="26"/>
    <x v="3"/>
    <x v="3"/>
    <n v="10"/>
    <n v="16"/>
    <x v="31"/>
    <n v="0.04"/>
    <x v="7"/>
    <n v="6.4"/>
  </r>
  <r>
    <s v="Ord-ID-1243"/>
    <x v="26"/>
    <x v="0"/>
    <x v="4"/>
    <n v="6"/>
    <n v="80"/>
    <x v="0"/>
    <n v="0.09"/>
    <x v="8"/>
    <n v="43.199999999999996"/>
  </r>
  <r>
    <s v="Ord-ID-1244"/>
    <x v="26"/>
    <x v="0"/>
    <x v="0"/>
    <n v="17"/>
    <n v="80"/>
    <x v="29"/>
    <n v="0.09"/>
    <x v="9"/>
    <n v="122.39999999999999"/>
  </r>
  <r>
    <s v="Ord-ID-1245"/>
    <x v="26"/>
    <x v="1"/>
    <x v="0"/>
    <n v="19"/>
    <n v="40"/>
    <x v="52"/>
    <n v="0.04"/>
    <x v="10"/>
    <n v="30.400000000000002"/>
  </r>
  <r>
    <s v="Ord-ID-1246"/>
    <x v="26"/>
    <x v="1"/>
    <x v="4"/>
    <n v="16"/>
    <n v="40"/>
    <x v="12"/>
    <n v="0.09"/>
    <x v="11"/>
    <n v="57.599999999999994"/>
  </r>
  <r>
    <s v="Ord-ID-1247"/>
    <x v="26"/>
    <x v="3"/>
    <x v="0"/>
    <n v="4"/>
    <n v="16"/>
    <x v="50"/>
    <n v="0.12"/>
    <x v="0"/>
    <n v="7.68"/>
  </r>
  <r>
    <s v="Ord-ID-1248"/>
    <x v="26"/>
    <x v="4"/>
    <x v="3"/>
    <n v="9"/>
    <n v="150"/>
    <x v="46"/>
    <n v="0.02"/>
    <x v="1"/>
    <n v="27"/>
  </r>
  <r>
    <s v="Ord-ID-1249"/>
    <x v="26"/>
    <x v="3"/>
    <x v="0"/>
    <n v="11"/>
    <n v="16"/>
    <x v="23"/>
    <n v="0.09"/>
    <x v="2"/>
    <n v="15.84"/>
  </r>
  <r>
    <s v="Ord-ID-1250"/>
    <x v="26"/>
    <x v="0"/>
    <x v="1"/>
    <n v="17"/>
    <n v="80"/>
    <x v="29"/>
    <n v="0.03"/>
    <x v="3"/>
    <n v="40.799999999999997"/>
  </r>
  <r>
    <s v="Ord-ID-1251"/>
    <x v="27"/>
    <x v="4"/>
    <x v="0"/>
    <n v="3"/>
    <n v="150"/>
    <x v="75"/>
    <n v="0.03"/>
    <x v="4"/>
    <n v="13.5"/>
  </r>
  <r>
    <s v="Ord-ID-1252"/>
    <x v="27"/>
    <x v="2"/>
    <x v="3"/>
    <n v="2"/>
    <n v="230"/>
    <x v="56"/>
    <n v="0.08"/>
    <x v="5"/>
    <n v="36.800000000000004"/>
  </r>
  <r>
    <s v="Ord-ID-1253"/>
    <x v="27"/>
    <x v="2"/>
    <x v="3"/>
    <n v="17"/>
    <n v="230"/>
    <x v="59"/>
    <n v="0.12"/>
    <x v="1"/>
    <n v="469.2"/>
  </r>
  <r>
    <s v="Ord-ID-1254"/>
    <x v="27"/>
    <x v="4"/>
    <x v="1"/>
    <n v="2"/>
    <n v="150"/>
    <x v="63"/>
    <n v="0.09"/>
    <x v="2"/>
    <n v="27"/>
  </r>
  <r>
    <s v="Ord-ID-1255"/>
    <x v="27"/>
    <x v="1"/>
    <x v="3"/>
    <n v="18"/>
    <n v="40"/>
    <x v="11"/>
    <n v="0.06"/>
    <x v="3"/>
    <n v="43.199999999999996"/>
  </r>
  <r>
    <s v="Ord-ID-1256"/>
    <x v="27"/>
    <x v="4"/>
    <x v="2"/>
    <n v="18"/>
    <n v="150"/>
    <x v="44"/>
    <n v="0.06"/>
    <x v="4"/>
    <n v="162"/>
  </r>
  <r>
    <s v="Ord-ID-1257"/>
    <x v="27"/>
    <x v="1"/>
    <x v="1"/>
    <n v="12"/>
    <n v="40"/>
    <x v="0"/>
    <n v="0.1"/>
    <x v="5"/>
    <n v="48"/>
  </r>
  <r>
    <s v="Ord-ID-1258"/>
    <x v="27"/>
    <x v="0"/>
    <x v="0"/>
    <n v="21"/>
    <n v="80"/>
    <x v="40"/>
    <n v="0.04"/>
    <x v="6"/>
    <n v="67.2"/>
  </r>
  <r>
    <s v="Ord-ID-1259"/>
    <x v="27"/>
    <x v="1"/>
    <x v="4"/>
    <n v="3"/>
    <n v="40"/>
    <x v="57"/>
    <n v="0.03"/>
    <x v="7"/>
    <n v="3.5999999999999996"/>
  </r>
  <r>
    <s v="Ord-ID-1260"/>
    <x v="27"/>
    <x v="0"/>
    <x v="4"/>
    <n v="22"/>
    <n v="80"/>
    <x v="24"/>
    <n v="0.1"/>
    <x v="8"/>
    <n v="176"/>
  </r>
  <r>
    <s v="Ord-ID-1261"/>
    <x v="27"/>
    <x v="1"/>
    <x v="4"/>
    <n v="16"/>
    <n v="40"/>
    <x v="12"/>
    <n v="0.11"/>
    <x v="9"/>
    <n v="70.400000000000006"/>
  </r>
  <r>
    <s v="Ord-ID-1262"/>
    <x v="27"/>
    <x v="3"/>
    <x v="0"/>
    <n v="11"/>
    <n v="16"/>
    <x v="23"/>
    <n v="0.09"/>
    <x v="10"/>
    <n v="15.84"/>
  </r>
  <r>
    <s v="Ord-ID-1263"/>
    <x v="28"/>
    <x v="0"/>
    <x v="2"/>
    <n v="10"/>
    <n v="80"/>
    <x v="20"/>
    <n v="0.08"/>
    <x v="11"/>
    <n v="64"/>
  </r>
  <r>
    <s v="Ord-ID-1264"/>
    <x v="28"/>
    <x v="3"/>
    <x v="2"/>
    <n v="12"/>
    <n v="16"/>
    <x v="21"/>
    <n v="0.03"/>
    <x v="0"/>
    <n v="5.76"/>
  </r>
  <r>
    <s v="Ord-ID-1265"/>
    <x v="28"/>
    <x v="4"/>
    <x v="0"/>
    <n v="8"/>
    <n v="150"/>
    <x v="74"/>
    <n v="0.09"/>
    <x v="1"/>
    <n v="108"/>
  </r>
  <r>
    <s v="Ord-ID-1266"/>
    <x v="28"/>
    <x v="1"/>
    <x v="4"/>
    <n v="10"/>
    <n v="40"/>
    <x v="65"/>
    <n v="0.03"/>
    <x v="2"/>
    <n v="12"/>
  </r>
  <r>
    <s v="Ord-ID-1267"/>
    <x v="28"/>
    <x v="4"/>
    <x v="0"/>
    <n v="7"/>
    <n v="150"/>
    <x v="7"/>
    <n v="0.02"/>
    <x v="3"/>
    <n v="21"/>
  </r>
  <r>
    <s v="Ord-ID-1268"/>
    <x v="28"/>
    <x v="3"/>
    <x v="2"/>
    <n v="6"/>
    <n v="16"/>
    <x v="67"/>
    <n v="0.01"/>
    <x v="4"/>
    <n v="0.96"/>
  </r>
  <r>
    <s v="Ord-ID-1269"/>
    <x v="28"/>
    <x v="0"/>
    <x v="3"/>
    <n v="15"/>
    <n v="80"/>
    <x v="74"/>
    <n v="0.08"/>
    <x v="5"/>
    <n v="96"/>
  </r>
  <r>
    <s v="Ord-ID-1270"/>
    <x v="28"/>
    <x v="3"/>
    <x v="4"/>
    <n v="13"/>
    <n v="16"/>
    <x v="84"/>
    <n v="7.0000000000000007E-2"/>
    <x v="1"/>
    <n v="14.560000000000002"/>
  </r>
  <r>
    <s v="Ord-ID-1271"/>
    <x v="28"/>
    <x v="2"/>
    <x v="3"/>
    <n v="19"/>
    <n v="230"/>
    <x v="30"/>
    <n v="0.06"/>
    <x v="2"/>
    <n v="262.2"/>
  </r>
  <r>
    <s v="Ord-ID-1272"/>
    <x v="28"/>
    <x v="0"/>
    <x v="3"/>
    <n v="21"/>
    <n v="80"/>
    <x v="40"/>
    <n v="0.05"/>
    <x v="3"/>
    <n v="84"/>
  </r>
  <r>
    <s v="Ord-ID-1273"/>
    <x v="28"/>
    <x v="0"/>
    <x v="1"/>
    <n v="5"/>
    <n v="80"/>
    <x v="65"/>
    <n v="7.0000000000000007E-2"/>
    <x v="4"/>
    <n v="28.000000000000004"/>
  </r>
  <r>
    <s v="Ord-ID-1274"/>
    <x v="28"/>
    <x v="3"/>
    <x v="2"/>
    <n v="8"/>
    <n v="16"/>
    <x v="48"/>
    <n v="0.03"/>
    <x v="5"/>
    <n v="3.84"/>
  </r>
  <r>
    <s v="Ord-ID-1275"/>
    <x v="28"/>
    <x v="3"/>
    <x v="2"/>
    <n v="12"/>
    <n v="16"/>
    <x v="21"/>
    <n v="0.11"/>
    <x v="6"/>
    <n v="21.12"/>
  </r>
  <r>
    <s v="Ord-ID-1276"/>
    <x v="28"/>
    <x v="0"/>
    <x v="3"/>
    <n v="22"/>
    <n v="80"/>
    <x v="24"/>
    <n v="0.03"/>
    <x v="7"/>
    <n v="52.8"/>
  </r>
  <r>
    <s v="Ord-ID-1277"/>
    <x v="28"/>
    <x v="1"/>
    <x v="0"/>
    <n v="5"/>
    <n v="40"/>
    <x v="70"/>
    <n v="0.09"/>
    <x v="8"/>
    <n v="18"/>
  </r>
  <r>
    <s v="Ord-ID-1278"/>
    <x v="29"/>
    <x v="4"/>
    <x v="1"/>
    <n v="23"/>
    <n v="150"/>
    <x v="13"/>
    <n v="0.11"/>
    <x v="9"/>
    <n v="379.5"/>
  </r>
  <r>
    <s v="Ord-ID-1279"/>
    <x v="29"/>
    <x v="0"/>
    <x v="0"/>
    <n v="16"/>
    <n v="80"/>
    <x v="19"/>
    <n v="0.03"/>
    <x v="10"/>
    <n v="38.4"/>
  </r>
  <r>
    <s v="Ord-ID-1280"/>
    <x v="29"/>
    <x v="4"/>
    <x v="4"/>
    <n v="15"/>
    <n v="150"/>
    <x v="37"/>
    <n v="7.0000000000000007E-2"/>
    <x v="11"/>
    <n v="157.50000000000003"/>
  </r>
  <r>
    <s v="Ord-ID-1281"/>
    <x v="29"/>
    <x v="1"/>
    <x v="0"/>
    <n v="20"/>
    <n v="40"/>
    <x v="20"/>
    <n v="0.04"/>
    <x v="0"/>
    <n v="32"/>
  </r>
  <r>
    <s v="Ord-ID-1282"/>
    <x v="29"/>
    <x v="2"/>
    <x v="2"/>
    <n v="10"/>
    <n v="230"/>
    <x v="51"/>
    <n v="0.02"/>
    <x v="1"/>
    <n v="46"/>
  </r>
  <r>
    <s v="Ord-ID-1283"/>
    <x v="29"/>
    <x v="0"/>
    <x v="1"/>
    <n v="9"/>
    <n v="80"/>
    <x v="11"/>
    <n v="0.03"/>
    <x v="2"/>
    <n v="21.599999999999998"/>
  </r>
  <r>
    <s v="Ord-ID-1284"/>
    <x v="29"/>
    <x v="2"/>
    <x v="0"/>
    <n v="16"/>
    <n v="230"/>
    <x v="81"/>
    <n v="7.0000000000000007E-2"/>
    <x v="3"/>
    <n v="257.60000000000002"/>
  </r>
  <r>
    <s v="Ord-ID-1285"/>
    <x v="29"/>
    <x v="0"/>
    <x v="1"/>
    <n v="21"/>
    <n v="80"/>
    <x v="40"/>
    <n v="0.04"/>
    <x v="4"/>
    <n v="67.2"/>
  </r>
  <r>
    <s v="Ord-ID-1286"/>
    <x v="29"/>
    <x v="0"/>
    <x v="1"/>
    <n v="9"/>
    <n v="80"/>
    <x v="11"/>
    <n v="0.03"/>
    <x v="5"/>
    <n v="21.599999999999998"/>
  </r>
  <r>
    <s v="Ord-ID-1287"/>
    <x v="29"/>
    <x v="1"/>
    <x v="1"/>
    <n v="4"/>
    <n v="40"/>
    <x v="31"/>
    <n v="0.12"/>
    <x v="1"/>
    <n v="19.2"/>
  </r>
  <r>
    <s v="Ord-ID-1288"/>
    <x v="29"/>
    <x v="2"/>
    <x v="2"/>
    <n v="5"/>
    <n v="230"/>
    <x v="61"/>
    <n v="0.01"/>
    <x v="2"/>
    <n v="11.5"/>
  </r>
  <r>
    <s v="Ord-ID-1289"/>
    <x v="29"/>
    <x v="3"/>
    <x v="0"/>
    <n v="18"/>
    <n v="16"/>
    <x v="53"/>
    <n v="0.05"/>
    <x v="3"/>
    <n v="14.4"/>
  </r>
  <r>
    <s v="Ord-ID-1290"/>
    <x v="30"/>
    <x v="0"/>
    <x v="2"/>
    <n v="6"/>
    <n v="80"/>
    <x v="0"/>
    <n v="0.01"/>
    <x v="4"/>
    <n v="4.8"/>
  </r>
  <r>
    <s v="Ord-ID-1291"/>
    <x v="30"/>
    <x v="4"/>
    <x v="4"/>
    <n v="4"/>
    <n v="150"/>
    <x v="39"/>
    <n v="0.05"/>
    <x v="5"/>
    <n v="30"/>
  </r>
  <r>
    <s v="Ord-ID-1292"/>
    <x v="30"/>
    <x v="2"/>
    <x v="4"/>
    <n v="21"/>
    <n v="230"/>
    <x v="58"/>
    <n v="0.05"/>
    <x v="6"/>
    <n v="241.5"/>
  </r>
  <r>
    <s v="Ord-ID-1293"/>
    <x v="30"/>
    <x v="4"/>
    <x v="0"/>
    <n v="4"/>
    <n v="150"/>
    <x v="39"/>
    <n v="0.06"/>
    <x v="7"/>
    <n v="36"/>
  </r>
  <r>
    <s v="Ord-ID-1294"/>
    <x v="30"/>
    <x v="0"/>
    <x v="1"/>
    <n v="2"/>
    <n v="80"/>
    <x v="31"/>
    <n v="0.04"/>
    <x v="8"/>
    <n v="6.4"/>
  </r>
  <r>
    <s v="Ord-ID-1295"/>
    <x v="30"/>
    <x v="3"/>
    <x v="1"/>
    <n v="5"/>
    <n v="16"/>
    <x v="64"/>
    <n v="0.11"/>
    <x v="9"/>
    <n v="8.8000000000000007"/>
  </r>
  <r>
    <s v="Ord-ID-1296"/>
    <x v="30"/>
    <x v="4"/>
    <x v="4"/>
    <n v="23"/>
    <n v="150"/>
    <x v="13"/>
    <n v="0.08"/>
    <x v="10"/>
    <n v="276"/>
  </r>
  <r>
    <s v="Ord-ID-1297"/>
    <x v="30"/>
    <x v="0"/>
    <x v="1"/>
    <n v="3"/>
    <n v="80"/>
    <x v="71"/>
    <n v="0.02"/>
    <x v="11"/>
    <n v="4.8"/>
  </r>
  <r>
    <s v="Ord-ID-1298"/>
    <x v="30"/>
    <x v="2"/>
    <x v="4"/>
    <n v="17"/>
    <n v="230"/>
    <x v="59"/>
    <n v="0.11"/>
    <x v="0"/>
    <n v="430.1"/>
  </r>
  <r>
    <s v="Ord-ID-1299"/>
    <x v="30"/>
    <x v="1"/>
    <x v="2"/>
    <n v="11"/>
    <n v="40"/>
    <x v="49"/>
    <n v="0.05"/>
    <x v="1"/>
    <n v="22"/>
  </r>
  <r>
    <s v="Ord-ID-1300"/>
    <x v="30"/>
    <x v="1"/>
    <x v="2"/>
    <n v="13"/>
    <n v="40"/>
    <x v="26"/>
    <n v="0.02"/>
    <x v="3"/>
    <n v="1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 ID-1"/>
    <x v="0"/>
    <x v="0"/>
    <x v="0"/>
    <x v="0"/>
    <x v="0"/>
    <x v="0"/>
    <d v="2016-04-08T00:00:00"/>
    <n v="141604"/>
    <n v="162845"/>
    <n v="0.15"/>
    <x v="0"/>
    <x v="0"/>
    <d v="2021-10-16T00:00:00"/>
    <x v="0"/>
  </r>
  <r>
    <s v="Emp ID-2"/>
    <x v="1"/>
    <x v="0"/>
    <x v="1"/>
    <x v="1"/>
    <x v="1"/>
    <x v="0"/>
    <d v="1997-11-29T00:00:00"/>
    <n v="99975"/>
    <n v="99975"/>
    <n v="0"/>
    <x v="1"/>
    <x v="1"/>
    <m/>
    <x v="1"/>
  </r>
  <r>
    <s v="Emp ID-3"/>
    <x v="2"/>
    <x v="0"/>
    <x v="2"/>
    <x v="0"/>
    <x v="2"/>
    <x v="1"/>
    <d v="2006-10-26T00:00:00"/>
    <n v="163099"/>
    <n v="195719"/>
    <n v="0.2"/>
    <x v="0"/>
    <x v="2"/>
    <m/>
    <x v="1"/>
  </r>
  <r>
    <s v="Emp ID-4"/>
    <x v="3"/>
    <x v="0"/>
    <x v="1"/>
    <x v="0"/>
    <x v="3"/>
    <x v="2"/>
    <d v="2019-09-27T00:00:00"/>
    <n v="84913"/>
    <n v="90857"/>
    <n v="7.0000000000000007E-2"/>
    <x v="0"/>
    <x v="2"/>
    <m/>
    <x v="1"/>
  </r>
  <r>
    <s v="Emp ID-5"/>
    <x v="4"/>
    <x v="0"/>
    <x v="1"/>
    <x v="1"/>
    <x v="0"/>
    <x v="0"/>
    <d v="1995-11-20T00:00:00"/>
    <n v="95409"/>
    <n v="95409"/>
    <n v="0"/>
    <x v="0"/>
    <x v="3"/>
    <m/>
    <x v="1"/>
  </r>
  <r>
    <s v="Emp ID-6"/>
    <x v="5"/>
    <x v="1"/>
    <x v="3"/>
    <x v="1"/>
    <x v="4"/>
    <x v="0"/>
    <d v="2017-01-24T00:00:00"/>
    <n v="50994"/>
    <n v="50994"/>
    <n v="0"/>
    <x v="1"/>
    <x v="1"/>
    <m/>
    <x v="1"/>
  </r>
  <r>
    <s v="Emp ID-7"/>
    <x v="6"/>
    <x v="0"/>
    <x v="3"/>
    <x v="0"/>
    <x v="5"/>
    <x v="2"/>
    <d v="2020-07-01T00:00:00"/>
    <n v="119746"/>
    <n v="131721"/>
    <n v="0.1"/>
    <x v="0"/>
    <x v="3"/>
    <m/>
    <x v="1"/>
  </r>
  <r>
    <s v="Emp ID-8"/>
    <x v="7"/>
    <x v="2"/>
    <x v="1"/>
    <x v="1"/>
    <x v="6"/>
    <x v="2"/>
    <d v="2020-05-16T00:00:00"/>
    <n v="41336"/>
    <n v="41336"/>
    <n v="0"/>
    <x v="0"/>
    <x v="4"/>
    <d v="2021-05-20T00:00:00"/>
    <x v="0"/>
  </r>
  <r>
    <s v="Emp ID-9"/>
    <x v="6"/>
    <x v="3"/>
    <x v="1"/>
    <x v="1"/>
    <x v="7"/>
    <x v="2"/>
    <d v="2019-01-25T00:00:00"/>
    <n v="113527"/>
    <n v="120339"/>
    <n v="0.06"/>
    <x v="0"/>
    <x v="5"/>
    <m/>
    <x v="1"/>
  </r>
  <r>
    <s v="Emp ID-10"/>
    <x v="4"/>
    <x v="2"/>
    <x v="2"/>
    <x v="0"/>
    <x v="8"/>
    <x v="2"/>
    <d v="2018-06-13T00:00:00"/>
    <n v="77203"/>
    <n v="77203"/>
    <n v="0"/>
    <x v="0"/>
    <x v="2"/>
    <m/>
    <x v="1"/>
  </r>
  <r>
    <s v="Emp ID-11"/>
    <x v="0"/>
    <x v="4"/>
    <x v="1"/>
    <x v="0"/>
    <x v="9"/>
    <x v="3"/>
    <d v="2009-02-11T00:00:00"/>
    <n v="157333"/>
    <n v="180933"/>
    <n v="0.15"/>
    <x v="0"/>
    <x v="4"/>
    <m/>
    <x v="1"/>
  </r>
  <r>
    <s v="Emp ID-12"/>
    <x v="8"/>
    <x v="5"/>
    <x v="2"/>
    <x v="0"/>
    <x v="5"/>
    <x v="2"/>
    <d v="2021-10-21T00:00:00"/>
    <n v="109851"/>
    <n v="109851"/>
    <n v="0"/>
    <x v="0"/>
    <x v="0"/>
    <m/>
    <x v="1"/>
  </r>
  <r>
    <s v="Emp ID-13"/>
    <x v="6"/>
    <x v="4"/>
    <x v="1"/>
    <x v="1"/>
    <x v="1"/>
    <x v="0"/>
    <d v="1999-03-14T00:00:00"/>
    <n v="105086"/>
    <n v="114544"/>
    <n v="0.09"/>
    <x v="0"/>
    <x v="5"/>
    <m/>
    <x v="1"/>
  </r>
  <r>
    <s v="Emp ID-14"/>
    <x v="0"/>
    <x v="2"/>
    <x v="0"/>
    <x v="0"/>
    <x v="10"/>
    <x v="1"/>
    <d v="2021-06-10T00:00:00"/>
    <n v="146742"/>
    <n v="161416"/>
    <n v="0.1"/>
    <x v="1"/>
    <x v="6"/>
    <m/>
    <x v="1"/>
  </r>
  <r>
    <s v="Emp ID-15"/>
    <x v="4"/>
    <x v="3"/>
    <x v="2"/>
    <x v="1"/>
    <x v="11"/>
    <x v="2"/>
    <d v="2017-11-04T00:00:00"/>
    <n v="97078"/>
    <n v="97078"/>
    <n v="0"/>
    <x v="0"/>
    <x v="5"/>
    <d v="2020-03-09T00:00:00"/>
    <x v="0"/>
  </r>
  <r>
    <s v="Emp ID-16"/>
    <x v="9"/>
    <x v="6"/>
    <x v="0"/>
    <x v="0"/>
    <x v="12"/>
    <x v="3"/>
    <d v="2013-03-13T00:00:00"/>
    <n v="249270"/>
    <n v="324051"/>
    <n v="0.3"/>
    <x v="0"/>
    <x v="0"/>
    <m/>
    <x v="1"/>
  </r>
  <r>
    <s v="Emp ID-17"/>
    <x v="2"/>
    <x v="2"/>
    <x v="0"/>
    <x v="0"/>
    <x v="13"/>
    <x v="4"/>
    <d v="2002-03-04T00:00:00"/>
    <n v="175837"/>
    <n v="211004"/>
    <n v="0.2"/>
    <x v="0"/>
    <x v="3"/>
    <m/>
    <x v="1"/>
  </r>
  <r>
    <s v="Emp ID-18"/>
    <x v="0"/>
    <x v="6"/>
    <x v="2"/>
    <x v="0"/>
    <x v="14"/>
    <x v="0"/>
    <d v="2003-12-01T00:00:00"/>
    <n v="154828"/>
    <n v="174956"/>
    <n v="0.13"/>
    <x v="0"/>
    <x v="0"/>
    <m/>
    <x v="1"/>
  </r>
  <r>
    <s v="Emp ID-19"/>
    <x v="2"/>
    <x v="0"/>
    <x v="3"/>
    <x v="1"/>
    <x v="14"/>
    <x v="0"/>
    <d v="2013-11-03T00:00:00"/>
    <n v="186503"/>
    <n v="231264"/>
    <n v="0.24"/>
    <x v="0"/>
    <x v="7"/>
    <m/>
    <x v="1"/>
  </r>
  <r>
    <s v="Emp ID-20"/>
    <x v="2"/>
    <x v="1"/>
    <x v="0"/>
    <x v="1"/>
    <x v="15"/>
    <x v="1"/>
    <d v="2002-07-09T00:00:00"/>
    <n v="166331"/>
    <n v="196271"/>
    <n v="0.18"/>
    <x v="1"/>
    <x v="1"/>
    <m/>
    <x v="1"/>
  </r>
  <r>
    <s v="Emp ID-21"/>
    <x v="0"/>
    <x v="0"/>
    <x v="1"/>
    <x v="1"/>
    <x v="16"/>
    <x v="0"/>
    <d v="2012-01-09T00:00:00"/>
    <n v="146140"/>
    <n v="160754"/>
    <n v="0.1"/>
    <x v="2"/>
    <x v="8"/>
    <m/>
    <x v="1"/>
  </r>
  <r>
    <s v="Emp ID-22"/>
    <x v="2"/>
    <x v="1"/>
    <x v="1"/>
    <x v="0"/>
    <x v="9"/>
    <x v="3"/>
    <d v="2021-04-02T00:00:00"/>
    <n v="151703"/>
    <n v="183561"/>
    <n v="0.21"/>
    <x v="0"/>
    <x v="4"/>
    <m/>
    <x v="1"/>
  </r>
  <r>
    <s v="Emp ID-23"/>
    <x v="2"/>
    <x v="0"/>
    <x v="0"/>
    <x v="1"/>
    <x v="1"/>
    <x v="0"/>
    <d v="2002-05-24T00:00:00"/>
    <n v="172787"/>
    <n v="221167"/>
    <n v="0.28000000000000003"/>
    <x v="2"/>
    <x v="9"/>
    <m/>
    <x v="1"/>
  </r>
  <r>
    <s v="Emp ID-24"/>
    <x v="7"/>
    <x v="1"/>
    <x v="2"/>
    <x v="1"/>
    <x v="17"/>
    <x v="3"/>
    <d v="2019-09-05T00:00:00"/>
    <n v="49998"/>
    <n v="49998"/>
    <n v="0"/>
    <x v="0"/>
    <x v="0"/>
    <m/>
    <x v="1"/>
  </r>
  <r>
    <s v="Emp ID-25"/>
    <x v="9"/>
    <x v="1"/>
    <x v="2"/>
    <x v="1"/>
    <x v="18"/>
    <x v="3"/>
    <d v="2014-03-02T00:00:00"/>
    <n v="207172"/>
    <n v="271395"/>
    <n v="0.31"/>
    <x v="1"/>
    <x v="1"/>
    <m/>
    <x v="1"/>
  </r>
  <r>
    <s v="Emp ID-26"/>
    <x v="2"/>
    <x v="4"/>
    <x v="2"/>
    <x v="1"/>
    <x v="12"/>
    <x v="3"/>
    <d v="2015-04-17T00:00:00"/>
    <n v="152239"/>
    <n v="187254"/>
    <n v="0.23"/>
    <x v="0"/>
    <x v="7"/>
    <m/>
    <x v="1"/>
  </r>
  <r>
    <s v="Emp ID-27"/>
    <x v="10"/>
    <x v="5"/>
    <x v="3"/>
    <x v="0"/>
    <x v="16"/>
    <x v="0"/>
    <d v="2005-02-05T00:00:00"/>
    <n v="98581"/>
    <n v="98581"/>
    <n v="0"/>
    <x v="2"/>
    <x v="9"/>
    <m/>
    <x v="1"/>
  </r>
  <r>
    <s v="Emp ID-28"/>
    <x v="9"/>
    <x v="5"/>
    <x v="2"/>
    <x v="1"/>
    <x v="19"/>
    <x v="3"/>
    <d v="2004-06-07T00:00:00"/>
    <n v="246231"/>
    <n v="322563"/>
    <n v="0.31"/>
    <x v="0"/>
    <x v="0"/>
    <m/>
    <x v="1"/>
  </r>
  <r>
    <s v="Emp ID-29"/>
    <x v="11"/>
    <x v="5"/>
    <x v="2"/>
    <x v="1"/>
    <x v="14"/>
    <x v="0"/>
    <d v="1996-12-04T00:00:00"/>
    <n v="99354"/>
    <n v="111276"/>
    <n v="0.12"/>
    <x v="1"/>
    <x v="10"/>
    <m/>
    <x v="1"/>
  </r>
  <r>
    <s v="Emp ID-30"/>
    <x v="9"/>
    <x v="0"/>
    <x v="3"/>
    <x v="1"/>
    <x v="20"/>
    <x v="0"/>
    <d v="2012-05-11T00:00:00"/>
    <n v="231141"/>
    <n v="309729"/>
    <n v="0.34"/>
    <x v="1"/>
    <x v="10"/>
    <m/>
    <x v="1"/>
  </r>
  <r>
    <s v="Emp ID-31"/>
    <x v="12"/>
    <x v="0"/>
    <x v="0"/>
    <x v="1"/>
    <x v="21"/>
    <x v="2"/>
    <d v="2017-06-25T00:00:00"/>
    <n v="54775"/>
    <n v="54775"/>
    <n v="0"/>
    <x v="0"/>
    <x v="7"/>
    <m/>
    <x v="1"/>
  </r>
  <r>
    <s v="Emp ID-32"/>
    <x v="7"/>
    <x v="2"/>
    <x v="1"/>
    <x v="1"/>
    <x v="13"/>
    <x v="4"/>
    <d v="2004-05-16T00:00:00"/>
    <n v="55499"/>
    <n v="55499"/>
    <n v="0"/>
    <x v="2"/>
    <x v="8"/>
    <m/>
    <x v="1"/>
  </r>
  <r>
    <s v="Emp ID-33"/>
    <x v="13"/>
    <x v="1"/>
    <x v="0"/>
    <x v="1"/>
    <x v="22"/>
    <x v="0"/>
    <d v="2008-07-11T00:00:00"/>
    <n v="66521"/>
    <n v="66521"/>
    <n v="0"/>
    <x v="0"/>
    <x v="0"/>
    <m/>
    <x v="1"/>
  </r>
  <r>
    <s v="Emp ID-34"/>
    <x v="5"/>
    <x v="1"/>
    <x v="2"/>
    <x v="1"/>
    <x v="23"/>
    <x v="2"/>
    <d v="2016-09-29T00:00:00"/>
    <n v="59100"/>
    <n v="59100"/>
    <n v="0"/>
    <x v="1"/>
    <x v="1"/>
    <m/>
    <x v="1"/>
  </r>
  <r>
    <s v="Emp ID-35"/>
    <x v="7"/>
    <x v="2"/>
    <x v="0"/>
    <x v="0"/>
    <x v="5"/>
    <x v="2"/>
    <d v="2018-05-06T00:00:00"/>
    <n v="49011"/>
    <n v="49011"/>
    <n v="0"/>
    <x v="0"/>
    <x v="2"/>
    <m/>
    <x v="1"/>
  </r>
  <r>
    <s v="Emp ID-36"/>
    <x v="14"/>
    <x v="0"/>
    <x v="1"/>
    <x v="0"/>
    <x v="24"/>
    <x v="2"/>
    <d v="2014-02-11T00:00:00"/>
    <n v="99575"/>
    <n v="99575"/>
    <n v="0"/>
    <x v="0"/>
    <x v="5"/>
    <m/>
    <x v="1"/>
  </r>
  <r>
    <s v="Emp ID-37"/>
    <x v="8"/>
    <x v="5"/>
    <x v="1"/>
    <x v="0"/>
    <x v="8"/>
    <x v="2"/>
    <d v="2019-12-16T00:00:00"/>
    <n v="99989"/>
    <n v="99989"/>
    <n v="0"/>
    <x v="1"/>
    <x v="11"/>
    <m/>
    <x v="1"/>
  </r>
  <r>
    <s v="Emp ID-38"/>
    <x v="9"/>
    <x v="6"/>
    <x v="0"/>
    <x v="1"/>
    <x v="5"/>
    <x v="2"/>
    <d v="2019-10-20T00:00:00"/>
    <n v="256420"/>
    <n v="333346"/>
    <n v="0.3"/>
    <x v="0"/>
    <x v="3"/>
    <m/>
    <x v="1"/>
  </r>
  <r>
    <s v="Emp ID-39"/>
    <x v="1"/>
    <x v="0"/>
    <x v="1"/>
    <x v="0"/>
    <x v="25"/>
    <x v="3"/>
    <d v="2013-05-15T00:00:00"/>
    <n v="78940"/>
    <n v="78940"/>
    <n v="0"/>
    <x v="0"/>
    <x v="4"/>
    <m/>
    <x v="1"/>
  </r>
  <r>
    <s v="Emp ID-40"/>
    <x v="14"/>
    <x v="0"/>
    <x v="3"/>
    <x v="0"/>
    <x v="4"/>
    <x v="0"/>
    <d v="1994-01-03T00:00:00"/>
    <n v="82872"/>
    <n v="82872"/>
    <n v="0"/>
    <x v="2"/>
    <x v="8"/>
    <m/>
    <x v="1"/>
  </r>
  <r>
    <s v="Emp ID-41"/>
    <x v="15"/>
    <x v="4"/>
    <x v="2"/>
    <x v="1"/>
    <x v="23"/>
    <x v="2"/>
    <d v="2017-05-29T00:00:00"/>
    <n v="86317"/>
    <n v="86317"/>
    <n v="0"/>
    <x v="1"/>
    <x v="11"/>
    <d v="2017-07-16T00:00:00"/>
    <x v="0"/>
  </r>
  <r>
    <s v="Emp ID-42"/>
    <x v="6"/>
    <x v="6"/>
    <x v="2"/>
    <x v="0"/>
    <x v="26"/>
    <x v="1"/>
    <d v="2013-11-23T00:00:00"/>
    <n v="113135"/>
    <n v="118792"/>
    <n v="0.05"/>
    <x v="0"/>
    <x v="5"/>
    <m/>
    <x v="1"/>
  </r>
  <r>
    <s v="Emp ID-43"/>
    <x v="9"/>
    <x v="0"/>
    <x v="2"/>
    <x v="1"/>
    <x v="27"/>
    <x v="1"/>
    <d v="2005-11-08T00:00:00"/>
    <n v="199808"/>
    <n v="263747"/>
    <n v="0.32"/>
    <x v="0"/>
    <x v="0"/>
    <m/>
    <x v="1"/>
  </r>
  <r>
    <s v="Emp ID-44"/>
    <x v="5"/>
    <x v="1"/>
    <x v="2"/>
    <x v="1"/>
    <x v="17"/>
    <x v="3"/>
    <d v="2013-11-14T00:00:00"/>
    <n v="56037"/>
    <n v="56037"/>
    <n v="0"/>
    <x v="1"/>
    <x v="6"/>
    <m/>
    <x v="1"/>
  </r>
  <r>
    <s v="Emp ID-45"/>
    <x v="0"/>
    <x v="6"/>
    <x v="0"/>
    <x v="0"/>
    <x v="7"/>
    <x v="2"/>
    <d v="2019-05-24T00:00:00"/>
    <n v="122350"/>
    <n v="137032"/>
    <n v="0.12"/>
    <x v="0"/>
    <x v="3"/>
    <m/>
    <x v="1"/>
  </r>
  <r>
    <s v="Emp ID-46"/>
    <x v="14"/>
    <x v="0"/>
    <x v="0"/>
    <x v="1"/>
    <x v="28"/>
    <x v="3"/>
    <d v="2010-11-04T00:00:00"/>
    <n v="92952"/>
    <n v="92952"/>
    <n v="0"/>
    <x v="0"/>
    <x v="0"/>
    <m/>
    <x v="1"/>
  </r>
  <r>
    <s v="Emp ID-47"/>
    <x v="3"/>
    <x v="0"/>
    <x v="3"/>
    <x v="1"/>
    <x v="24"/>
    <x v="2"/>
    <d v="2013-03-20T00:00:00"/>
    <n v="79921"/>
    <n v="83917"/>
    <n v="0.05"/>
    <x v="0"/>
    <x v="5"/>
    <m/>
    <x v="1"/>
  </r>
  <r>
    <s v="Emp ID-48"/>
    <x v="2"/>
    <x v="0"/>
    <x v="0"/>
    <x v="0"/>
    <x v="17"/>
    <x v="3"/>
    <d v="2009-09-20T00:00:00"/>
    <n v="167199"/>
    <n v="200639"/>
    <n v="0.2"/>
    <x v="0"/>
    <x v="0"/>
    <m/>
    <x v="1"/>
  </r>
  <r>
    <s v="Emp ID-49"/>
    <x v="10"/>
    <x v="5"/>
    <x v="0"/>
    <x v="1"/>
    <x v="27"/>
    <x v="1"/>
    <d v="2012-10-17T00:00:00"/>
    <n v="71476"/>
    <n v="71476"/>
    <n v="0"/>
    <x v="0"/>
    <x v="3"/>
    <m/>
    <x v="1"/>
  </r>
  <r>
    <s v="Emp ID-50"/>
    <x v="2"/>
    <x v="5"/>
    <x v="1"/>
    <x v="0"/>
    <x v="15"/>
    <x v="1"/>
    <d v="2014-10-29T00:00:00"/>
    <n v="189420"/>
    <n v="227304"/>
    <n v="0.2"/>
    <x v="0"/>
    <x v="0"/>
    <m/>
    <x v="1"/>
  </r>
  <r>
    <s v="Emp ID-51"/>
    <x v="16"/>
    <x v="4"/>
    <x v="0"/>
    <x v="0"/>
    <x v="14"/>
    <x v="0"/>
    <d v="2001-10-20T00:00:00"/>
    <n v="64057"/>
    <n v="64057"/>
    <n v="0"/>
    <x v="0"/>
    <x v="3"/>
    <m/>
    <x v="1"/>
  </r>
  <r>
    <s v="Emp ID-52"/>
    <x v="13"/>
    <x v="6"/>
    <x v="1"/>
    <x v="0"/>
    <x v="5"/>
    <x v="2"/>
    <d v="2021-09-21T00:00:00"/>
    <n v="68728"/>
    <n v="68728"/>
    <n v="0"/>
    <x v="0"/>
    <x v="3"/>
    <m/>
    <x v="1"/>
  </r>
  <r>
    <s v="Emp ID-53"/>
    <x v="0"/>
    <x v="0"/>
    <x v="1"/>
    <x v="0"/>
    <x v="6"/>
    <x v="2"/>
    <d v="2021-07-02T00:00:00"/>
    <n v="125633"/>
    <n v="139453"/>
    <n v="0.11"/>
    <x v="1"/>
    <x v="10"/>
    <m/>
    <x v="1"/>
  </r>
  <r>
    <s v="Emp ID-54"/>
    <x v="13"/>
    <x v="6"/>
    <x v="1"/>
    <x v="1"/>
    <x v="25"/>
    <x v="3"/>
    <d v="2011-05-15T00:00:00"/>
    <n v="66889"/>
    <n v="66889"/>
    <n v="0"/>
    <x v="0"/>
    <x v="7"/>
    <m/>
    <x v="1"/>
  </r>
  <r>
    <s v="Emp ID-55"/>
    <x v="2"/>
    <x v="3"/>
    <x v="0"/>
    <x v="0"/>
    <x v="9"/>
    <x v="3"/>
    <d v="2015-09-29T00:00:00"/>
    <n v="178700"/>
    <n v="230523"/>
    <n v="0.28999999999999998"/>
    <x v="0"/>
    <x v="0"/>
    <m/>
    <x v="1"/>
  </r>
  <r>
    <s v="Emp ID-56"/>
    <x v="17"/>
    <x v="5"/>
    <x v="0"/>
    <x v="0"/>
    <x v="29"/>
    <x v="2"/>
    <d v="2018-12-22T00:00:00"/>
    <n v="83990"/>
    <n v="83990"/>
    <n v="0"/>
    <x v="0"/>
    <x v="2"/>
    <m/>
    <x v="1"/>
  </r>
  <r>
    <s v="Emp ID-57"/>
    <x v="18"/>
    <x v="5"/>
    <x v="3"/>
    <x v="0"/>
    <x v="27"/>
    <x v="1"/>
    <d v="2005-12-10T00:00:00"/>
    <n v="102043"/>
    <n v="102043"/>
    <n v="0"/>
    <x v="0"/>
    <x v="2"/>
    <m/>
    <x v="1"/>
  </r>
  <r>
    <s v="Emp ID-58"/>
    <x v="19"/>
    <x v="5"/>
    <x v="1"/>
    <x v="0"/>
    <x v="30"/>
    <x v="1"/>
    <d v="2001-05-30T00:00:00"/>
    <n v="90678"/>
    <n v="90678"/>
    <n v="0"/>
    <x v="0"/>
    <x v="7"/>
    <m/>
    <x v="1"/>
  </r>
  <r>
    <s v="Emp ID-59"/>
    <x v="20"/>
    <x v="4"/>
    <x v="1"/>
    <x v="0"/>
    <x v="30"/>
    <x v="1"/>
    <d v="2008-08-21T00:00:00"/>
    <n v="59067"/>
    <n v="59067"/>
    <n v="0"/>
    <x v="0"/>
    <x v="4"/>
    <m/>
    <x v="1"/>
  </r>
  <r>
    <s v="Emp ID-60"/>
    <x v="0"/>
    <x v="6"/>
    <x v="0"/>
    <x v="1"/>
    <x v="15"/>
    <x v="1"/>
    <d v="2021-03-11T00:00:00"/>
    <n v="135062"/>
    <n v="155321"/>
    <n v="0.15"/>
    <x v="1"/>
    <x v="11"/>
    <m/>
    <x v="1"/>
  </r>
  <r>
    <s v="Emp ID-61"/>
    <x v="0"/>
    <x v="0"/>
    <x v="3"/>
    <x v="0"/>
    <x v="0"/>
    <x v="0"/>
    <d v="2006-08-16T00:00:00"/>
    <n v="159044"/>
    <n v="174948"/>
    <n v="0.1"/>
    <x v="2"/>
    <x v="8"/>
    <m/>
    <x v="1"/>
  </r>
  <r>
    <s v="Emp ID-62"/>
    <x v="4"/>
    <x v="3"/>
    <x v="1"/>
    <x v="0"/>
    <x v="18"/>
    <x v="3"/>
    <d v="2019-01-02T00:00:00"/>
    <n v="74691"/>
    <n v="74691"/>
    <n v="0"/>
    <x v="2"/>
    <x v="8"/>
    <d v="2020-07-08T00:00:00"/>
    <x v="0"/>
  </r>
  <r>
    <s v="Emp ID-63"/>
    <x v="11"/>
    <x v="5"/>
    <x v="3"/>
    <x v="0"/>
    <x v="18"/>
    <x v="3"/>
    <d v="2008-12-18T00:00:00"/>
    <n v="92753"/>
    <n v="104811"/>
    <n v="0.13"/>
    <x v="0"/>
    <x v="5"/>
    <d v="2021-06-24T00:00:00"/>
    <x v="0"/>
  </r>
  <r>
    <s v="Emp ID-64"/>
    <x v="9"/>
    <x v="4"/>
    <x v="2"/>
    <x v="1"/>
    <x v="15"/>
    <x v="1"/>
    <d v="2013-08-07T00:00:00"/>
    <n v="236946"/>
    <n v="324616"/>
    <n v="0.37"/>
    <x v="0"/>
    <x v="0"/>
    <m/>
    <x v="1"/>
  </r>
  <r>
    <s v="Emp ID-65"/>
    <x v="7"/>
    <x v="2"/>
    <x v="3"/>
    <x v="0"/>
    <x v="9"/>
    <x v="3"/>
    <d v="2021-08-27T00:00:00"/>
    <n v="48906"/>
    <n v="48906"/>
    <n v="0"/>
    <x v="0"/>
    <x v="4"/>
    <m/>
    <x v="1"/>
  </r>
  <r>
    <s v="Emp ID-66"/>
    <x v="4"/>
    <x v="1"/>
    <x v="3"/>
    <x v="0"/>
    <x v="31"/>
    <x v="3"/>
    <d v="2008-01-27T00:00:00"/>
    <n v="80024"/>
    <n v="80024"/>
    <n v="0"/>
    <x v="0"/>
    <x v="7"/>
    <m/>
    <x v="1"/>
  </r>
  <r>
    <s v="Emp ID-67"/>
    <x v="16"/>
    <x v="4"/>
    <x v="2"/>
    <x v="0"/>
    <x v="12"/>
    <x v="3"/>
    <d v="2009-10-23T00:00:00"/>
    <n v="54415"/>
    <n v="54415"/>
    <n v="0"/>
    <x v="0"/>
    <x v="0"/>
    <d v="2014-01-22T00:00:00"/>
    <x v="0"/>
  </r>
  <r>
    <s v="Emp ID-68"/>
    <x v="6"/>
    <x v="6"/>
    <x v="0"/>
    <x v="0"/>
    <x v="23"/>
    <x v="2"/>
    <d v="2016-04-24T00:00:00"/>
    <n v="120341"/>
    <n v="128765"/>
    <n v="7.0000000000000007E-2"/>
    <x v="0"/>
    <x v="0"/>
    <m/>
    <x v="1"/>
  </r>
  <r>
    <s v="Emp ID-69"/>
    <x v="9"/>
    <x v="0"/>
    <x v="2"/>
    <x v="0"/>
    <x v="19"/>
    <x v="3"/>
    <d v="2009-08-04T00:00:00"/>
    <n v="208415"/>
    <n v="281360"/>
    <n v="0.35"/>
    <x v="0"/>
    <x v="0"/>
    <m/>
    <x v="1"/>
  </r>
  <r>
    <s v="Emp ID-70"/>
    <x v="21"/>
    <x v="0"/>
    <x v="2"/>
    <x v="0"/>
    <x v="24"/>
    <x v="2"/>
    <d v="2020-01-05T00:00:00"/>
    <n v="78844"/>
    <n v="78844"/>
    <n v="0"/>
    <x v="0"/>
    <x v="0"/>
    <m/>
    <x v="1"/>
  </r>
  <r>
    <s v="Emp ID-71"/>
    <x v="17"/>
    <x v="5"/>
    <x v="1"/>
    <x v="1"/>
    <x v="32"/>
    <x v="0"/>
    <d v="2002-05-23T00:00:00"/>
    <n v="76354"/>
    <n v="76354"/>
    <n v="0"/>
    <x v="0"/>
    <x v="3"/>
    <d v="2021-09-26T00:00:00"/>
    <x v="0"/>
  </r>
  <r>
    <s v="Emp ID-72"/>
    <x v="2"/>
    <x v="2"/>
    <x v="2"/>
    <x v="0"/>
    <x v="17"/>
    <x v="3"/>
    <d v="2019-01-28T00:00:00"/>
    <n v="165927"/>
    <n v="199112"/>
    <n v="0.2"/>
    <x v="0"/>
    <x v="3"/>
    <m/>
    <x v="1"/>
  </r>
  <r>
    <s v="Emp ID-73"/>
    <x v="6"/>
    <x v="3"/>
    <x v="2"/>
    <x v="0"/>
    <x v="31"/>
    <x v="3"/>
    <d v="2021-11-16T00:00:00"/>
    <n v="109812"/>
    <n v="119695"/>
    <n v="0.09"/>
    <x v="2"/>
    <x v="8"/>
    <m/>
    <x v="1"/>
  </r>
  <r>
    <s v="Emp ID-74"/>
    <x v="8"/>
    <x v="5"/>
    <x v="3"/>
    <x v="1"/>
    <x v="0"/>
    <x v="0"/>
    <d v="1998-09-03T00:00:00"/>
    <n v="86299"/>
    <n v="86299"/>
    <n v="0"/>
    <x v="0"/>
    <x v="0"/>
    <m/>
    <x v="1"/>
  </r>
  <r>
    <s v="Emp ID-75"/>
    <x v="9"/>
    <x v="6"/>
    <x v="0"/>
    <x v="1"/>
    <x v="4"/>
    <x v="0"/>
    <d v="2003-07-26T00:00:00"/>
    <n v="206624"/>
    <n v="289274"/>
    <n v="0.4"/>
    <x v="2"/>
    <x v="12"/>
    <m/>
    <x v="1"/>
  </r>
  <r>
    <s v="Emp ID-76"/>
    <x v="12"/>
    <x v="0"/>
    <x v="1"/>
    <x v="1"/>
    <x v="9"/>
    <x v="3"/>
    <d v="2010-12-23T00:00:00"/>
    <n v="53215"/>
    <n v="53215"/>
    <n v="0"/>
    <x v="2"/>
    <x v="12"/>
    <d v="2014-03-27T00:00:00"/>
    <x v="0"/>
  </r>
  <r>
    <s v="Emp ID-77"/>
    <x v="22"/>
    <x v="5"/>
    <x v="0"/>
    <x v="0"/>
    <x v="23"/>
    <x v="2"/>
    <d v="2017-05-22T00:00:00"/>
    <n v="86858"/>
    <n v="86858"/>
    <n v="0"/>
    <x v="1"/>
    <x v="1"/>
    <d v="2017-10-08T00:00:00"/>
    <x v="0"/>
  </r>
  <r>
    <s v="Emp ID-78"/>
    <x v="3"/>
    <x v="0"/>
    <x v="1"/>
    <x v="1"/>
    <x v="28"/>
    <x v="3"/>
    <d v="2007-07-02T00:00:00"/>
    <n v="93971"/>
    <n v="101489"/>
    <n v="0.08"/>
    <x v="1"/>
    <x v="1"/>
    <m/>
    <x v="1"/>
  </r>
  <r>
    <s v="Emp ID-79"/>
    <x v="13"/>
    <x v="2"/>
    <x v="3"/>
    <x v="1"/>
    <x v="8"/>
    <x v="2"/>
    <d v="2015-06-27T00:00:00"/>
    <n v="57008"/>
    <n v="57008"/>
    <n v="0"/>
    <x v="0"/>
    <x v="3"/>
    <m/>
    <x v="1"/>
  </r>
  <r>
    <s v="Emp ID-80"/>
    <x v="0"/>
    <x v="2"/>
    <x v="1"/>
    <x v="1"/>
    <x v="33"/>
    <x v="0"/>
    <d v="2015-09-23T00:00:00"/>
    <n v="141899"/>
    <n v="163184"/>
    <n v="0.15"/>
    <x v="0"/>
    <x v="3"/>
    <m/>
    <x v="1"/>
  </r>
  <r>
    <s v="Emp ID-81"/>
    <x v="13"/>
    <x v="6"/>
    <x v="3"/>
    <x v="1"/>
    <x v="12"/>
    <x v="3"/>
    <d v="2016-09-13T00:00:00"/>
    <n v="64847"/>
    <n v="64847"/>
    <n v="0"/>
    <x v="0"/>
    <x v="4"/>
    <m/>
    <x v="1"/>
  </r>
  <r>
    <s v="Emp ID-82"/>
    <x v="11"/>
    <x v="5"/>
    <x v="0"/>
    <x v="1"/>
    <x v="26"/>
    <x v="1"/>
    <d v="1992-04-08T00:00:00"/>
    <n v="116878"/>
    <n v="129735"/>
    <n v="0.11"/>
    <x v="0"/>
    <x v="4"/>
    <m/>
    <x v="1"/>
  </r>
  <r>
    <s v="Emp ID-83"/>
    <x v="10"/>
    <x v="5"/>
    <x v="2"/>
    <x v="1"/>
    <x v="15"/>
    <x v="1"/>
    <d v="2005-02-05T00:00:00"/>
    <n v="70505"/>
    <n v="70505"/>
    <n v="0"/>
    <x v="0"/>
    <x v="5"/>
    <m/>
    <x v="1"/>
  </r>
  <r>
    <s v="Emp ID-84"/>
    <x v="2"/>
    <x v="5"/>
    <x v="0"/>
    <x v="0"/>
    <x v="23"/>
    <x v="2"/>
    <d v="2016-05-22T00:00:00"/>
    <n v="189702"/>
    <n v="242819"/>
    <n v="0.28000000000000003"/>
    <x v="2"/>
    <x v="8"/>
    <d v="2020-12-21T00:00:00"/>
    <x v="0"/>
  </r>
  <r>
    <s v="Emp ID-85"/>
    <x v="2"/>
    <x v="3"/>
    <x v="2"/>
    <x v="1"/>
    <x v="3"/>
    <x v="2"/>
    <d v="2020-07-28T00:00:00"/>
    <n v="180664"/>
    <n v="229443"/>
    <n v="0.27"/>
    <x v="0"/>
    <x v="2"/>
    <m/>
    <x v="1"/>
  </r>
  <r>
    <s v="Emp ID-86"/>
    <x v="20"/>
    <x v="4"/>
    <x v="1"/>
    <x v="0"/>
    <x v="15"/>
    <x v="1"/>
    <d v="2003-12-17T00:00:00"/>
    <n v="48345"/>
    <n v="48345"/>
    <n v="0"/>
    <x v="1"/>
    <x v="11"/>
    <m/>
    <x v="1"/>
  </r>
  <r>
    <s v="Emp ID-87"/>
    <x v="2"/>
    <x v="4"/>
    <x v="1"/>
    <x v="1"/>
    <x v="34"/>
    <x v="3"/>
    <d v="2014-01-16T00:00:00"/>
    <n v="152214"/>
    <n v="197878"/>
    <n v="0.3"/>
    <x v="1"/>
    <x v="10"/>
    <m/>
    <x v="1"/>
  </r>
  <r>
    <s v="Emp ID-88"/>
    <x v="21"/>
    <x v="0"/>
    <x v="3"/>
    <x v="0"/>
    <x v="12"/>
    <x v="3"/>
    <d v="2009-04-28T00:00:00"/>
    <n v="69803"/>
    <n v="69803"/>
    <n v="0"/>
    <x v="2"/>
    <x v="8"/>
    <m/>
    <x v="1"/>
  </r>
  <r>
    <s v="Emp ID-89"/>
    <x v="23"/>
    <x v="0"/>
    <x v="3"/>
    <x v="0"/>
    <x v="35"/>
    <x v="1"/>
    <d v="2019-07-04T00:00:00"/>
    <n v="76588"/>
    <n v="76588"/>
    <n v="0"/>
    <x v="2"/>
    <x v="9"/>
    <m/>
    <x v="1"/>
  </r>
  <r>
    <s v="Emp ID-90"/>
    <x v="24"/>
    <x v="0"/>
    <x v="1"/>
    <x v="1"/>
    <x v="7"/>
    <x v="2"/>
    <d v="2018-12-10T00:00:00"/>
    <n v="84596"/>
    <n v="84596"/>
    <n v="0"/>
    <x v="0"/>
    <x v="4"/>
    <m/>
    <x v="1"/>
  </r>
  <r>
    <s v="Emp ID-91"/>
    <x v="6"/>
    <x v="6"/>
    <x v="0"/>
    <x v="1"/>
    <x v="5"/>
    <x v="2"/>
    <d v="2018-09-25T00:00:00"/>
    <n v="114441"/>
    <n v="125885"/>
    <n v="0.1"/>
    <x v="1"/>
    <x v="1"/>
    <d v="2019-12-22T00:00:00"/>
    <x v="0"/>
  </r>
  <r>
    <s v="Emp ID-92"/>
    <x v="0"/>
    <x v="2"/>
    <x v="2"/>
    <x v="0"/>
    <x v="29"/>
    <x v="2"/>
    <d v="2018-04-21T00:00:00"/>
    <n v="140402"/>
    <n v="161462"/>
    <n v="0.15"/>
    <x v="1"/>
    <x v="10"/>
    <m/>
    <x v="1"/>
  </r>
  <r>
    <s v="Emp ID-93"/>
    <x v="13"/>
    <x v="2"/>
    <x v="3"/>
    <x v="0"/>
    <x v="3"/>
    <x v="2"/>
    <d v="2019-04-23T00:00:00"/>
    <n v="59817"/>
    <n v="59817"/>
    <n v="0"/>
    <x v="2"/>
    <x v="12"/>
    <m/>
    <x v="1"/>
  </r>
  <r>
    <s v="Emp ID-94"/>
    <x v="5"/>
    <x v="1"/>
    <x v="1"/>
    <x v="1"/>
    <x v="11"/>
    <x v="2"/>
    <d v="2017-07-22T00:00:00"/>
    <n v="55854"/>
    <n v="55854"/>
    <n v="0"/>
    <x v="0"/>
    <x v="5"/>
    <m/>
    <x v="1"/>
  </r>
  <r>
    <s v="Emp ID-95"/>
    <x v="15"/>
    <x v="4"/>
    <x v="0"/>
    <x v="1"/>
    <x v="26"/>
    <x v="1"/>
    <d v="2002-11-16T00:00:00"/>
    <n v="95998"/>
    <n v="95998"/>
    <n v="0"/>
    <x v="0"/>
    <x v="0"/>
    <m/>
    <x v="1"/>
  </r>
  <r>
    <s v="Emp ID-96"/>
    <x v="0"/>
    <x v="1"/>
    <x v="1"/>
    <x v="0"/>
    <x v="8"/>
    <x v="2"/>
    <d v="2015-04-22T00:00:00"/>
    <n v="154941"/>
    <n v="175083"/>
    <n v="0.13"/>
    <x v="0"/>
    <x v="3"/>
    <m/>
    <x v="1"/>
  </r>
  <r>
    <s v="Emp ID-97"/>
    <x v="9"/>
    <x v="2"/>
    <x v="2"/>
    <x v="0"/>
    <x v="36"/>
    <x v="1"/>
    <d v="2011-07-10T00:00:00"/>
    <n v="247022"/>
    <n v="321129"/>
    <n v="0.3"/>
    <x v="1"/>
    <x v="10"/>
    <m/>
    <x v="1"/>
  </r>
  <r>
    <s v="Emp ID-98"/>
    <x v="23"/>
    <x v="0"/>
    <x v="1"/>
    <x v="0"/>
    <x v="24"/>
    <x v="2"/>
    <d v="2021-10-05T00:00:00"/>
    <n v="88072"/>
    <n v="88072"/>
    <n v="0"/>
    <x v="2"/>
    <x v="12"/>
    <m/>
    <x v="1"/>
  </r>
  <r>
    <s v="Emp ID-99"/>
    <x v="3"/>
    <x v="0"/>
    <x v="0"/>
    <x v="1"/>
    <x v="21"/>
    <x v="2"/>
    <d v="2020-05-26T00:00:00"/>
    <n v="67925"/>
    <n v="73359"/>
    <n v="0.08"/>
    <x v="1"/>
    <x v="6"/>
    <m/>
    <x v="1"/>
  </r>
  <r>
    <s v="Emp ID-100"/>
    <x v="9"/>
    <x v="1"/>
    <x v="1"/>
    <x v="0"/>
    <x v="11"/>
    <x v="2"/>
    <d v="2020-08-20T00:00:00"/>
    <n v="219693"/>
    <n v="285601"/>
    <n v="0.3"/>
    <x v="0"/>
    <x v="5"/>
    <m/>
    <x v="1"/>
  </r>
  <r>
    <s v="Emp ID-101"/>
    <x v="22"/>
    <x v="5"/>
    <x v="0"/>
    <x v="0"/>
    <x v="15"/>
    <x v="1"/>
    <d v="2013-04-22T00:00:00"/>
    <n v="61773"/>
    <n v="61773"/>
    <n v="0"/>
    <x v="0"/>
    <x v="0"/>
    <m/>
    <x v="1"/>
  </r>
  <r>
    <s v="Emp ID-102"/>
    <x v="3"/>
    <x v="0"/>
    <x v="2"/>
    <x v="0"/>
    <x v="35"/>
    <x v="1"/>
    <d v="2007-01-09T00:00:00"/>
    <n v="74546"/>
    <n v="81255"/>
    <n v="0.09"/>
    <x v="0"/>
    <x v="0"/>
    <m/>
    <x v="1"/>
  </r>
  <r>
    <s v="Emp ID-103"/>
    <x v="25"/>
    <x v="5"/>
    <x v="2"/>
    <x v="1"/>
    <x v="16"/>
    <x v="0"/>
    <d v="2015-01-27T00:00:00"/>
    <n v="62575"/>
    <n v="62575"/>
    <n v="0"/>
    <x v="0"/>
    <x v="4"/>
    <m/>
    <x v="1"/>
  </r>
  <r>
    <s v="Emp ID-104"/>
    <x v="2"/>
    <x v="4"/>
    <x v="3"/>
    <x v="0"/>
    <x v="5"/>
    <x v="2"/>
    <d v="2021-02-23T00:00:00"/>
    <n v="199041"/>
    <n v="230888"/>
    <n v="0.16"/>
    <x v="1"/>
    <x v="10"/>
    <m/>
    <x v="1"/>
  </r>
  <r>
    <s v="Emp ID-105"/>
    <x v="13"/>
    <x v="3"/>
    <x v="2"/>
    <x v="1"/>
    <x v="0"/>
    <x v="0"/>
    <d v="2007-04-05T00:00:00"/>
    <n v="52310"/>
    <n v="52310"/>
    <n v="0"/>
    <x v="0"/>
    <x v="4"/>
    <d v="2018-10-12T00:00:00"/>
    <x v="0"/>
  </r>
  <r>
    <s v="Emp ID-106"/>
    <x v="0"/>
    <x v="2"/>
    <x v="2"/>
    <x v="1"/>
    <x v="14"/>
    <x v="0"/>
    <d v="2013-06-29T00:00:00"/>
    <n v="159571"/>
    <n v="175528"/>
    <n v="0.1"/>
    <x v="0"/>
    <x v="7"/>
    <m/>
    <x v="1"/>
  </r>
  <r>
    <s v="Emp ID-107"/>
    <x v="17"/>
    <x v="5"/>
    <x v="0"/>
    <x v="0"/>
    <x v="2"/>
    <x v="1"/>
    <d v="1997-10-23T00:00:00"/>
    <n v="91763"/>
    <n v="91763"/>
    <n v="0"/>
    <x v="0"/>
    <x v="5"/>
    <m/>
    <x v="1"/>
  </r>
  <r>
    <s v="Emp ID-108"/>
    <x v="25"/>
    <x v="5"/>
    <x v="3"/>
    <x v="0"/>
    <x v="10"/>
    <x v="1"/>
    <d v="1995-12-22T00:00:00"/>
    <n v="96475"/>
    <n v="96475"/>
    <n v="0"/>
    <x v="0"/>
    <x v="5"/>
    <m/>
    <x v="1"/>
  </r>
  <r>
    <s v="Emp ID-109"/>
    <x v="8"/>
    <x v="5"/>
    <x v="1"/>
    <x v="1"/>
    <x v="9"/>
    <x v="3"/>
    <d v="2016-12-02T00:00:00"/>
    <n v="113781"/>
    <n v="113781"/>
    <n v="0"/>
    <x v="0"/>
    <x v="7"/>
    <m/>
    <x v="1"/>
  </r>
  <r>
    <s v="Emp ID-110"/>
    <x v="2"/>
    <x v="2"/>
    <x v="0"/>
    <x v="1"/>
    <x v="34"/>
    <x v="3"/>
    <d v="2003-01-15T00:00:00"/>
    <n v="166599"/>
    <n v="209915"/>
    <n v="0.26"/>
    <x v="0"/>
    <x v="0"/>
    <m/>
    <x v="1"/>
  </r>
  <r>
    <s v="Emp ID-111"/>
    <x v="26"/>
    <x v="1"/>
    <x v="3"/>
    <x v="0"/>
    <x v="12"/>
    <x v="3"/>
    <d v="2005-02-15T00:00:00"/>
    <n v="95372"/>
    <n v="95372"/>
    <n v="0"/>
    <x v="1"/>
    <x v="6"/>
    <m/>
    <x v="1"/>
  </r>
  <r>
    <s v="Emp ID-112"/>
    <x v="2"/>
    <x v="0"/>
    <x v="0"/>
    <x v="0"/>
    <x v="7"/>
    <x v="2"/>
    <d v="2020-08-09T00:00:00"/>
    <n v="161203"/>
    <n v="185383"/>
    <n v="0.15"/>
    <x v="1"/>
    <x v="11"/>
    <m/>
    <x v="1"/>
  </r>
  <r>
    <s v="Emp ID-113"/>
    <x v="27"/>
    <x v="0"/>
    <x v="1"/>
    <x v="0"/>
    <x v="18"/>
    <x v="3"/>
    <d v="2006-12-13T00:00:00"/>
    <n v="74738"/>
    <n v="74738"/>
    <n v="0"/>
    <x v="0"/>
    <x v="4"/>
    <m/>
    <x v="1"/>
  </r>
  <r>
    <s v="Emp ID-114"/>
    <x v="2"/>
    <x v="1"/>
    <x v="0"/>
    <x v="0"/>
    <x v="12"/>
    <x v="3"/>
    <d v="2018-08-10T00:00:00"/>
    <n v="171173"/>
    <n v="207119"/>
    <n v="0.21"/>
    <x v="0"/>
    <x v="7"/>
    <m/>
    <x v="1"/>
  </r>
  <r>
    <s v="Emp ID-115"/>
    <x v="9"/>
    <x v="1"/>
    <x v="3"/>
    <x v="1"/>
    <x v="22"/>
    <x v="0"/>
    <d v="2019-09-24T00:00:00"/>
    <n v="201464"/>
    <n v="276006"/>
    <n v="0.37"/>
    <x v="0"/>
    <x v="2"/>
    <m/>
    <x v="1"/>
  </r>
  <r>
    <s v="Emp ID-116"/>
    <x v="2"/>
    <x v="4"/>
    <x v="3"/>
    <x v="1"/>
    <x v="2"/>
    <x v="1"/>
    <d v="1998-07-22T00:00:00"/>
    <n v="174895"/>
    <n v="201129"/>
    <n v="0.15"/>
    <x v="0"/>
    <x v="2"/>
    <m/>
    <x v="1"/>
  </r>
  <r>
    <s v="Emp ID-117"/>
    <x v="0"/>
    <x v="0"/>
    <x v="1"/>
    <x v="0"/>
    <x v="37"/>
    <x v="1"/>
    <d v="2006-04-18T00:00:00"/>
    <n v="134486"/>
    <n v="153314"/>
    <n v="0.14000000000000001"/>
    <x v="0"/>
    <x v="5"/>
    <m/>
    <x v="1"/>
  </r>
  <r>
    <s v="Emp ID-118"/>
    <x v="4"/>
    <x v="2"/>
    <x v="1"/>
    <x v="0"/>
    <x v="33"/>
    <x v="0"/>
    <d v="2007-02-24T00:00:00"/>
    <n v="71699"/>
    <n v="71699"/>
    <n v="0"/>
    <x v="2"/>
    <x v="8"/>
    <m/>
    <x v="1"/>
  </r>
  <r>
    <s v="Emp ID-119"/>
    <x v="4"/>
    <x v="6"/>
    <x v="3"/>
    <x v="0"/>
    <x v="34"/>
    <x v="3"/>
    <d v="2021-01-02T00:00:00"/>
    <n v="94430"/>
    <n v="94430"/>
    <n v="0"/>
    <x v="0"/>
    <x v="0"/>
    <m/>
    <x v="1"/>
  </r>
  <r>
    <s v="Emp ID-120"/>
    <x v="6"/>
    <x v="2"/>
    <x v="3"/>
    <x v="1"/>
    <x v="38"/>
    <x v="3"/>
    <d v="2010-01-14T00:00:00"/>
    <n v="103504"/>
    <n v="110749"/>
    <n v="7.0000000000000007E-2"/>
    <x v="1"/>
    <x v="11"/>
    <m/>
    <x v="1"/>
  </r>
  <r>
    <s v="Emp ID-121"/>
    <x v="14"/>
    <x v="0"/>
    <x v="1"/>
    <x v="0"/>
    <x v="0"/>
    <x v="0"/>
    <d v="2005-08-09T00:00:00"/>
    <n v="92771"/>
    <n v="92771"/>
    <n v="0"/>
    <x v="0"/>
    <x v="4"/>
    <m/>
    <x v="1"/>
  </r>
  <r>
    <s v="Emp ID-122"/>
    <x v="13"/>
    <x v="2"/>
    <x v="2"/>
    <x v="0"/>
    <x v="38"/>
    <x v="3"/>
    <d v="2006-04-06T00:00:00"/>
    <n v="71531"/>
    <n v="71531"/>
    <n v="0"/>
    <x v="0"/>
    <x v="7"/>
    <m/>
    <x v="1"/>
  </r>
  <r>
    <s v="Emp ID-123"/>
    <x v="21"/>
    <x v="0"/>
    <x v="2"/>
    <x v="1"/>
    <x v="21"/>
    <x v="2"/>
    <d v="2019-03-06T00:00:00"/>
    <n v="90304"/>
    <n v="90304"/>
    <n v="0"/>
    <x v="0"/>
    <x v="2"/>
    <m/>
    <x v="1"/>
  </r>
  <r>
    <s v="Emp ID-124"/>
    <x v="6"/>
    <x v="6"/>
    <x v="1"/>
    <x v="0"/>
    <x v="13"/>
    <x v="4"/>
    <d v="2011-09-07T00:00:00"/>
    <n v="104903"/>
    <n v="115393"/>
    <n v="0.1"/>
    <x v="0"/>
    <x v="7"/>
    <m/>
    <x v="1"/>
  </r>
  <r>
    <s v="Emp ID-125"/>
    <x v="7"/>
    <x v="2"/>
    <x v="3"/>
    <x v="0"/>
    <x v="27"/>
    <x v="1"/>
    <d v="2019-02-19T00:00:00"/>
    <n v="55859"/>
    <n v="55859"/>
    <n v="0"/>
    <x v="1"/>
    <x v="10"/>
    <m/>
    <x v="1"/>
  </r>
  <r>
    <s v="Emp ID-126"/>
    <x v="19"/>
    <x v="5"/>
    <x v="3"/>
    <x v="0"/>
    <x v="39"/>
    <x v="0"/>
    <d v="2006-10-12T00:00:00"/>
    <n v="79785"/>
    <n v="79785"/>
    <n v="0"/>
    <x v="0"/>
    <x v="5"/>
    <m/>
    <x v="1"/>
  </r>
  <r>
    <s v="Emp ID-127"/>
    <x v="4"/>
    <x v="6"/>
    <x v="3"/>
    <x v="0"/>
    <x v="38"/>
    <x v="3"/>
    <d v="2007-11-05T00:00:00"/>
    <n v="99017"/>
    <n v="99017"/>
    <n v="0"/>
    <x v="1"/>
    <x v="10"/>
    <m/>
    <x v="1"/>
  </r>
  <r>
    <s v="Emp ID-128"/>
    <x v="28"/>
    <x v="0"/>
    <x v="1"/>
    <x v="0"/>
    <x v="20"/>
    <x v="0"/>
    <d v="1992-04-01T00:00:00"/>
    <n v="53809"/>
    <n v="53809"/>
    <n v="0"/>
    <x v="0"/>
    <x v="3"/>
    <m/>
    <x v="1"/>
  </r>
  <r>
    <s v="Emp ID-129"/>
    <x v="17"/>
    <x v="5"/>
    <x v="2"/>
    <x v="1"/>
    <x v="5"/>
    <x v="2"/>
    <d v="2020-04-16T00:00:00"/>
    <n v="71864"/>
    <n v="71864"/>
    <n v="0"/>
    <x v="1"/>
    <x v="11"/>
    <m/>
    <x v="1"/>
  </r>
  <r>
    <s v="Emp ID-130"/>
    <x v="9"/>
    <x v="2"/>
    <x v="3"/>
    <x v="0"/>
    <x v="17"/>
    <x v="3"/>
    <d v="2011-12-06T00:00:00"/>
    <n v="225558"/>
    <n v="299992"/>
    <n v="0.33"/>
    <x v="1"/>
    <x v="6"/>
    <m/>
    <x v="1"/>
  </r>
  <r>
    <s v="Emp ID-131"/>
    <x v="0"/>
    <x v="0"/>
    <x v="1"/>
    <x v="1"/>
    <x v="17"/>
    <x v="3"/>
    <d v="2014-02-25T00:00:00"/>
    <n v="128984"/>
    <n v="144462"/>
    <n v="0.12"/>
    <x v="0"/>
    <x v="4"/>
    <d v="2021-05-01T00:00:00"/>
    <x v="0"/>
  </r>
  <r>
    <s v="Emp ID-132"/>
    <x v="17"/>
    <x v="5"/>
    <x v="2"/>
    <x v="1"/>
    <x v="30"/>
    <x v="1"/>
    <d v="1999-06-20T00:00:00"/>
    <n v="96997"/>
    <n v="96997"/>
    <n v="0"/>
    <x v="2"/>
    <x v="12"/>
    <m/>
    <x v="1"/>
  </r>
  <r>
    <s v="Emp ID-133"/>
    <x v="2"/>
    <x v="4"/>
    <x v="1"/>
    <x v="0"/>
    <x v="36"/>
    <x v="1"/>
    <d v="2018-01-22T00:00:00"/>
    <n v="176294"/>
    <n v="225656"/>
    <n v="0.28000000000000003"/>
    <x v="0"/>
    <x v="5"/>
    <m/>
    <x v="1"/>
  </r>
  <r>
    <s v="Emp ID-134"/>
    <x v="7"/>
    <x v="1"/>
    <x v="0"/>
    <x v="0"/>
    <x v="23"/>
    <x v="2"/>
    <d v="2021-02-14T00:00:00"/>
    <n v="48340"/>
    <n v="48340"/>
    <n v="0"/>
    <x v="1"/>
    <x v="10"/>
    <m/>
    <x v="1"/>
  </r>
  <r>
    <s v="Emp ID-135"/>
    <x v="9"/>
    <x v="5"/>
    <x v="3"/>
    <x v="0"/>
    <x v="21"/>
    <x v="2"/>
    <d v="2017-07-06T00:00:00"/>
    <n v="240488"/>
    <n v="336683"/>
    <n v="0.4"/>
    <x v="2"/>
    <x v="9"/>
    <m/>
    <x v="1"/>
  </r>
  <r>
    <s v="Emp ID-136"/>
    <x v="14"/>
    <x v="0"/>
    <x v="1"/>
    <x v="1"/>
    <x v="28"/>
    <x v="3"/>
    <d v="2011-01-22T00:00:00"/>
    <n v="97339"/>
    <n v="97339"/>
    <n v="0"/>
    <x v="0"/>
    <x v="5"/>
    <m/>
    <x v="1"/>
  </r>
  <r>
    <s v="Emp ID-137"/>
    <x v="9"/>
    <x v="4"/>
    <x v="1"/>
    <x v="0"/>
    <x v="37"/>
    <x v="1"/>
    <d v="2003-02-28T00:00:00"/>
    <n v="211291"/>
    <n v="289469"/>
    <n v="0.37"/>
    <x v="1"/>
    <x v="1"/>
    <m/>
    <x v="1"/>
  </r>
  <r>
    <s v="Emp ID-138"/>
    <x v="9"/>
    <x v="1"/>
    <x v="0"/>
    <x v="1"/>
    <x v="38"/>
    <x v="3"/>
    <d v="2011-08-23T00:00:00"/>
    <n v="249506"/>
    <n v="324358"/>
    <n v="0.3"/>
    <x v="2"/>
    <x v="9"/>
    <m/>
    <x v="1"/>
  </r>
  <r>
    <s v="Emp ID-139"/>
    <x v="10"/>
    <x v="5"/>
    <x v="2"/>
    <x v="1"/>
    <x v="22"/>
    <x v="0"/>
    <d v="2002-11-22T00:00:00"/>
    <n v="80950"/>
    <n v="80950"/>
    <n v="0"/>
    <x v="1"/>
    <x v="1"/>
    <m/>
    <x v="1"/>
  </r>
  <r>
    <s v="Emp ID-140"/>
    <x v="18"/>
    <x v="5"/>
    <x v="0"/>
    <x v="0"/>
    <x v="30"/>
    <x v="1"/>
    <d v="2021-01-10T00:00:00"/>
    <n v="86538"/>
    <n v="86538"/>
    <n v="0"/>
    <x v="1"/>
    <x v="11"/>
    <m/>
    <x v="1"/>
  </r>
  <r>
    <s v="Emp ID-141"/>
    <x v="4"/>
    <x v="6"/>
    <x v="2"/>
    <x v="0"/>
    <x v="25"/>
    <x v="3"/>
    <d v="2019-09-07T00:00:00"/>
    <n v="70992"/>
    <n v="70992"/>
    <n v="0"/>
    <x v="0"/>
    <x v="5"/>
    <m/>
    <x v="1"/>
  </r>
  <r>
    <s v="Emp ID-142"/>
    <x v="9"/>
    <x v="5"/>
    <x v="3"/>
    <x v="1"/>
    <x v="29"/>
    <x v="2"/>
    <d v="2015-06-18T00:00:00"/>
    <n v="205314"/>
    <n v="266908"/>
    <n v="0.3"/>
    <x v="0"/>
    <x v="7"/>
    <m/>
    <x v="1"/>
  </r>
  <r>
    <s v="Emp ID-143"/>
    <x v="9"/>
    <x v="4"/>
    <x v="3"/>
    <x v="0"/>
    <x v="22"/>
    <x v="0"/>
    <d v="2017-03-10T00:00:00"/>
    <n v="196951"/>
    <n v="261945"/>
    <n v="0.33"/>
    <x v="1"/>
    <x v="10"/>
    <m/>
    <x v="1"/>
  </r>
  <r>
    <s v="Emp ID-144"/>
    <x v="24"/>
    <x v="0"/>
    <x v="2"/>
    <x v="1"/>
    <x v="15"/>
    <x v="1"/>
    <d v="2005-09-18T00:00:00"/>
    <n v="67686"/>
    <n v="67686"/>
    <n v="0"/>
    <x v="1"/>
    <x v="10"/>
    <m/>
    <x v="1"/>
  </r>
  <r>
    <s v="Emp ID-145"/>
    <x v="1"/>
    <x v="0"/>
    <x v="0"/>
    <x v="1"/>
    <x v="10"/>
    <x v="1"/>
    <d v="2008-04-15T00:00:00"/>
    <n v="86431"/>
    <n v="86431"/>
    <n v="0"/>
    <x v="0"/>
    <x v="7"/>
    <m/>
    <x v="1"/>
  </r>
  <r>
    <s v="Emp ID-146"/>
    <x v="6"/>
    <x v="4"/>
    <x v="1"/>
    <x v="1"/>
    <x v="0"/>
    <x v="0"/>
    <d v="1995-11-16T00:00:00"/>
    <n v="125936"/>
    <n v="136011"/>
    <n v="0.08"/>
    <x v="1"/>
    <x v="1"/>
    <m/>
    <x v="1"/>
  </r>
  <r>
    <s v="Emp ID-147"/>
    <x v="0"/>
    <x v="1"/>
    <x v="3"/>
    <x v="0"/>
    <x v="30"/>
    <x v="1"/>
    <d v="2013-07-18T00:00:00"/>
    <n v="149712"/>
    <n v="170672"/>
    <n v="0.14000000000000001"/>
    <x v="0"/>
    <x v="7"/>
    <m/>
    <x v="1"/>
  </r>
  <r>
    <s v="Emp ID-148"/>
    <x v="17"/>
    <x v="5"/>
    <x v="2"/>
    <x v="1"/>
    <x v="23"/>
    <x v="2"/>
    <d v="2021-10-02T00:00:00"/>
    <n v="88758"/>
    <n v="88758"/>
    <n v="0"/>
    <x v="0"/>
    <x v="0"/>
    <m/>
    <x v="1"/>
  </r>
  <r>
    <s v="Emp ID-149"/>
    <x v="29"/>
    <x v="0"/>
    <x v="0"/>
    <x v="1"/>
    <x v="36"/>
    <x v="1"/>
    <d v="2013-07-13T00:00:00"/>
    <n v="83639"/>
    <n v="83639"/>
    <n v="0"/>
    <x v="1"/>
    <x v="10"/>
    <m/>
    <x v="1"/>
  </r>
  <r>
    <s v="Emp ID-150"/>
    <x v="23"/>
    <x v="0"/>
    <x v="0"/>
    <x v="0"/>
    <x v="36"/>
    <x v="1"/>
    <d v="1998-05-18T00:00:00"/>
    <n v="68268"/>
    <n v="68268"/>
    <n v="0"/>
    <x v="0"/>
    <x v="3"/>
    <m/>
    <x v="1"/>
  </r>
  <r>
    <s v="Emp ID-151"/>
    <x v="17"/>
    <x v="5"/>
    <x v="1"/>
    <x v="1"/>
    <x v="15"/>
    <x v="1"/>
    <d v="2002-02-26T00:00:00"/>
    <n v="75819"/>
    <n v="75819"/>
    <n v="0"/>
    <x v="2"/>
    <x v="12"/>
    <m/>
    <x v="1"/>
  </r>
  <r>
    <s v="Emp ID-152"/>
    <x v="4"/>
    <x v="1"/>
    <x v="2"/>
    <x v="0"/>
    <x v="37"/>
    <x v="1"/>
    <d v="1996-05-15T00:00:00"/>
    <n v="86658"/>
    <n v="86658"/>
    <n v="0"/>
    <x v="0"/>
    <x v="3"/>
    <m/>
    <x v="1"/>
  </r>
  <r>
    <s v="Emp ID-153"/>
    <x v="13"/>
    <x v="2"/>
    <x v="0"/>
    <x v="1"/>
    <x v="0"/>
    <x v="0"/>
    <d v="2014-03-16T00:00:00"/>
    <n v="74552"/>
    <n v="74552"/>
    <n v="0"/>
    <x v="1"/>
    <x v="11"/>
    <m/>
    <x v="1"/>
  </r>
  <r>
    <s v="Emp ID-154"/>
    <x v="14"/>
    <x v="0"/>
    <x v="1"/>
    <x v="0"/>
    <x v="39"/>
    <x v="0"/>
    <d v="2009-03-15T00:00:00"/>
    <n v="82839"/>
    <n v="82839"/>
    <n v="0"/>
    <x v="0"/>
    <x v="4"/>
    <m/>
    <x v="1"/>
  </r>
  <r>
    <s v="Emp ID-155"/>
    <x v="23"/>
    <x v="0"/>
    <x v="2"/>
    <x v="0"/>
    <x v="21"/>
    <x v="2"/>
    <d v="2021-10-08T00:00:00"/>
    <n v="64475"/>
    <n v="64475"/>
    <n v="0"/>
    <x v="0"/>
    <x v="3"/>
    <m/>
    <x v="1"/>
  </r>
  <r>
    <s v="Emp ID-156"/>
    <x v="23"/>
    <x v="0"/>
    <x v="1"/>
    <x v="1"/>
    <x v="29"/>
    <x v="2"/>
    <d v="2020-07-24T00:00:00"/>
    <n v="69453"/>
    <n v="69453"/>
    <n v="0"/>
    <x v="1"/>
    <x v="11"/>
    <m/>
    <x v="1"/>
  </r>
  <r>
    <s v="Emp ID-157"/>
    <x v="6"/>
    <x v="0"/>
    <x v="3"/>
    <x v="1"/>
    <x v="24"/>
    <x v="2"/>
    <d v="2014-01-03T00:00:00"/>
    <n v="127148"/>
    <n v="139863"/>
    <n v="0.1"/>
    <x v="0"/>
    <x v="4"/>
    <m/>
    <x v="1"/>
  </r>
  <r>
    <s v="Emp ID-158"/>
    <x v="9"/>
    <x v="2"/>
    <x v="2"/>
    <x v="0"/>
    <x v="24"/>
    <x v="2"/>
    <d v="2018-01-02T00:00:00"/>
    <n v="190253"/>
    <n v="253036"/>
    <n v="0.33"/>
    <x v="0"/>
    <x v="5"/>
    <m/>
    <x v="1"/>
  </r>
  <r>
    <s v="Emp ID-159"/>
    <x v="6"/>
    <x v="3"/>
    <x v="0"/>
    <x v="1"/>
    <x v="0"/>
    <x v="0"/>
    <d v="2000-04-28T00:00:00"/>
    <n v="115798"/>
    <n v="121588"/>
    <n v="0.05"/>
    <x v="0"/>
    <x v="4"/>
    <m/>
    <x v="1"/>
  </r>
  <r>
    <s v="Emp ID-160"/>
    <x v="15"/>
    <x v="4"/>
    <x v="0"/>
    <x v="0"/>
    <x v="32"/>
    <x v="0"/>
    <d v="1994-08-21T00:00:00"/>
    <n v="93102"/>
    <n v="93102"/>
    <n v="0"/>
    <x v="0"/>
    <x v="0"/>
    <d v="2013-12-13T00:00:00"/>
    <x v="0"/>
  </r>
  <r>
    <s v="Emp ID-161"/>
    <x v="11"/>
    <x v="5"/>
    <x v="2"/>
    <x v="1"/>
    <x v="8"/>
    <x v="2"/>
    <d v="2017-11-16T00:00:00"/>
    <n v="110054"/>
    <n v="126562"/>
    <n v="0.15"/>
    <x v="0"/>
    <x v="4"/>
    <m/>
    <x v="1"/>
  </r>
  <r>
    <s v="Emp ID-162"/>
    <x v="10"/>
    <x v="5"/>
    <x v="0"/>
    <x v="0"/>
    <x v="5"/>
    <x v="2"/>
    <d v="2021-01-28T00:00:00"/>
    <n v="95786"/>
    <n v="95786"/>
    <n v="0"/>
    <x v="0"/>
    <x v="2"/>
    <m/>
    <x v="1"/>
  </r>
  <r>
    <s v="Emp ID-163"/>
    <x v="4"/>
    <x v="1"/>
    <x v="2"/>
    <x v="1"/>
    <x v="22"/>
    <x v="0"/>
    <d v="2017-05-03T00:00:00"/>
    <n v="90855"/>
    <n v="90855"/>
    <n v="0"/>
    <x v="2"/>
    <x v="12"/>
    <m/>
    <x v="1"/>
  </r>
  <r>
    <s v="Emp ID-164"/>
    <x v="14"/>
    <x v="0"/>
    <x v="1"/>
    <x v="1"/>
    <x v="40"/>
    <x v="1"/>
    <d v="1999-03-14T00:00:00"/>
    <n v="92897"/>
    <n v="92897"/>
    <n v="0"/>
    <x v="2"/>
    <x v="12"/>
    <m/>
    <x v="1"/>
  </r>
  <r>
    <s v="Emp ID-165"/>
    <x v="9"/>
    <x v="6"/>
    <x v="2"/>
    <x v="1"/>
    <x v="28"/>
    <x v="3"/>
    <d v="2009-02-28T00:00:00"/>
    <n v="242919"/>
    <n v="318224"/>
    <n v="0.31"/>
    <x v="1"/>
    <x v="1"/>
    <m/>
    <x v="1"/>
  </r>
  <r>
    <s v="Emp ID-166"/>
    <x v="2"/>
    <x v="5"/>
    <x v="2"/>
    <x v="1"/>
    <x v="23"/>
    <x v="2"/>
    <d v="2018-05-20T00:00:00"/>
    <n v="184368"/>
    <n v="237835"/>
    <n v="0.28999999999999998"/>
    <x v="0"/>
    <x v="5"/>
    <m/>
    <x v="1"/>
  </r>
  <r>
    <s v="Emp ID-167"/>
    <x v="0"/>
    <x v="2"/>
    <x v="3"/>
    <x v="1"/>
    <x v="15"/>
    <x v="1"/>
    <d v="2021-12-24T00:00:00"/>
    <n v="144754"/>
    <n v="166467"/>
    <n v="0.15"/>
    <x v="0"/>
    <x v="3"/>
    <m/>
    <x v="1"/>
  </r>
  <r>
    <s v="Emp ID-168"/>
    <x v="26"/>
    <x v="1"/>
    <x v="0"/>
    <x v="0"/>
    <x v="23"/>
    <x v="2"/>
    <d v="2016-12-18T00:00:00"/>
    <n v="89458"/>
    <n v="89458"/>
    <n v="0"/>
    <x v="0"/>
    <x v="5"/>
    <m/>
    <x v="1"/>
  </r>
  <r>
    <s v="Emp ID-169"/>
    <x v="9"/>
    <x v="3"/>
    <x v="3"/>
    <x v="0"/>
    <x v="16"/>
    <x v="0"/>
    <d v="2014-03-16T00:00:00"/>
    <n v="190815"/>
    <n v="267141"/>
    <n v="0.4"/>
    <x v="0"/>
    <x v="5"/>
    <m/>
    <x v="1"/>
  </r>
  <r>
    <s v="Emp ID-170"/>
    <x v="0"/>
    <x v="1"/>
    <x v="0"/>
    <x v="0"/>
    <x v="39"/>
    <x v="0"/>
    <d v="1999-08-02T00:00:00"/>
    <n v="137995"/>
    <n v="157314"/>
    <n v="0.14000000000000001"/>
    <x v="0"/>
    <x v="5"/>
    <m/>
    <x v="1"/>
  </r>
  <r>
    <s v="Emp ID-171"/>
    <x v="15"/>
    <x v="4"/>
    <x v="1"/>
    <x v="0"/>
    <x v="15"/>
    <x v="1"/>
    <d v="2007-12-21T00:00:00"/>
    <n v="93840"/>
    <n v="93840"/>
    <n v="0"/>
    <x v="2"/>
    <x v="8"/>
    <m/>
    <x v="1"/>
  </r>
  <r>
    <s v="Emp ID-172"/>
    <x v="1"/>
    <x v="0"/>
    <x v="0"/>
    <x v="1"/>
    <x v="30"/>
    <x v="1"/>
    <d v="2021-10-26T00:00:00"/>
    <n v="94790"/>
    <n v="94790"/>
    <n v="0"/>
    <x v="1"/>
    <x v="1"/>
    <m/>
    <x v="1"/>
  </r>
  <r>
    <s v="Emp ID-173"/>
    <x v="9"/>
    <x v="4"/>
    <x v="0"/>
    <x v="1"/>
    <x v="35"/>
    <x v="1"/>
    <d v="2014-03-08T00:00:00"/>
    <n v="197367"/>
    <n v="274340"/>
    <n v="0.39"/>
    <x v="0"/>
    <x v="5"/>
    <m/>
    <x v="1"/>
  </r>
  <r>
    <s v="Emp ID-174"/>
    <x v="2"/>
    <x v="3"/>
    <x v="1"/>
    <x v="0"/>
    <x v="5"/>
    <x v="2"/>
    <d v="2018-06-25T00:00:00"/>
    <n v="174097"/>
    <n v="210657"/>
    <n v="0.21"/>
    <x v="0"/>
    <x v="3"/>
    <m/>
    <x v="1"/>
  </r>
  <r>
    <s v="Emp ID-175"/>
    <x v="6"/>
    <x v="0"/>
    <x v="2"/>
    <x v="1"/>
    <x v="26"/>
    <x v="1"/>
    <d v="2006-10-31T00:00:00"/>
    <n v="120128"/>
    <n v="132141"/>
    <n v="0.1"/>
    <x v="0"/>
    <x v="5"/>
    <m/>
    <x v="1"/>
  </r>
  <r>
    <s v="Emp ID-176"/>
    <x v="6"/>
    <x v="6"/>
    <x v="1"/>
    <x v="0"/>
    <x v="1"/>
    <x v="0"/>
    <d v="2007-04-25T00:00:00"/>
    <n v="129708"/>
    <n v="136193"/>
    <n v="0.05"/>
    <x v="0"/>
    <x v="4"/>
    <m/>
    <x v="1"/>
  </r>
  <r>
    <s v="Emp ID-177"/>
    <x v="6"/>
    <x v="6"/>
    <x v="0"/>
    <x v="1"/>
    <x v="0"/>
    <x v="0"/>
    <d v="1994-09-18T00:00:00"/>
    <n v="102270"/>
    <n v="112497"/>
    <n v="0.1"/>
    <x v="0"/>
    <x v="2"/>
    <m/>
    <x v="1"/>
  </r>
  <r>
    <s v="Emp ID-178"/>
    <x v="9"/>
    <x v="2"/>
    <x v="2"/>
    <x v="0"/>
    <x v="19"/>
    <x v="3"/>
    <d v="2005-07-31T00:00:00"/>
    <n v="249686"/>
    <n v="327089"/>
    <n v="0.31"/>
    <x v="1"/>
    <x v="1"/>
    <m/>
    <x v="1"/>
  </r>
  <r>
    <s v="Emp ID-179"/>
    <x v="7"/>
    <x v="2"/>
    <x v="1"/>
    <x v="0"/>
    <x v="0"/>
    <x v="0"/>
    <d v="2002-03-28T00:00:00"/>
    <n v="50475"/>
    <n v="50475"/>
    <n v="0"/>
    <x v="0"/>
    <x v="7"/>
    <m/>
    <x v="1"/>
  </r>
  <r>
    <s v="Emp ID-180"/>
    <x v="6"/>
    <x v="6"/>
    <x v="0"/>
    <x v="1"/>
    <x v="10"/>
    <x v="1"/>
    <d v="2020-07-02T00:00:00"/>
    <n v="100099"/>
    <n v="108107"/>
    <n v="0.08"/>
    <x v="0"/>
    <x v="4"/>
    <m/>
    <x v="1"/>
  </r>
  <r>
    <s v="Emp ID-181"/>
    <x v="12"/>
    <x v="0"/>
    <x v="1"/>
    <x v="0"/>
    <x v="36"/>
    <x v="1"/>
    <d v="2016-12-27T00:00:00"/>
    <n v="41673"/>
    <n v="41673"/>
    <n v="0"/>
    <x v="0"/>
    <x v="4"/>
    <m/>
    <x v="1"/>
  </r>
  <r>
    <s v="Emp ID-182"/>
    <x v="4"/>
    <x v="6"/>
    <x v="2"/>
    <x v="0"/>
    <x v="40"/>
    <x v="1"/>
    <d v="2017-07-12T00:00:00"/>
    <n v="70996"/>
    <n v="70996"/>
    <n v="0"/>
    <x v="1"/>
    <x v="11"/>
    <m/>
    <x v="1"/>
  </r>
  <r>
    <s v="Emp ID-183"/>
    <x v="7"/>
    <x v="6"/>
    <x v="3"/>
    <x v="1"/>
    <x v="0"/>
    <x v="0"/>
    <d v="2004-12-07T00:00:00"/>
    <n v="40752"/>
    <n v="40752"/>
    <n v="0"/>
    <x v="0"/>
    <x v="3"/>
    <m/>
    <x v="1"/>
  </r>
  <r>
    <s v="Emp ID-184"/>
    <x v="24"/>
    <x v="0"/>
    <x v="1"/>
    <x v="0"/>
    <x v="2"/>
    <x v="1"/>
    <d v="2001-01-23T00:00:00"/>
    <n v="97537"/>
    <n v="97537"/>
    <n v="0"/>
    <x v="1"/>
    <x v="11"/>
    <m/>
    <x v="1"/>
  </r>
  <r>
    <s v="Emp ID-185"/>
    <x v="30"/>
    <x v="0"/>
    <x v="0"/>
    <x v="1"/>
    <x v="11"/>
    <x v="2"/>
    <d v="2020-09-12T00:00:00"/>
    <n v="96567"/>
    <n v="96567"/>
    <n v="0"/>
    <x v="1"/>
    <x v="6"/>
    <m/>
    <x v="1"/>
  </r>
  <r>
    <s v="Emp ID-186"/>
    <x v="28"/>
    <x v="0"/>
    <x v="2"/>
    <x v="1"/>
    <x v="40"/>
    <x v="1"/>
    <d v="1999-03-10T00:00:00"/>
    <n v="49404"/>
    <n v="49404"/>
    <n v="0"/>
    <x v="1"/>
    <x v="10"/>
    <m/>
    <x v="1"/>
  </r>
  <r>
    <s v="Emp ID-187"/>
    <x v="30"/>
    <x v="0"/>
    <x v="0"/>
    <x v="1"/>
    <x v="7"/>
    <x v="2"/>
    <d v="2019-10-15T00:00:00"/>
    <n v="66819"/>
    <n v="66819"/>
    <n v="0"/>
    <x v="2"/>
    <x v="9"/>
    <m/>
    <x v="1"/>
  </r>
  <r>
    <s v="Emp ID-188"/>
    <x v="7"/>
    <x v="6"/>
    <x v="2"/>
    <x v="1"/>
    <x v="31"/>
    <x v="3"/>
    <d v="2016-05-02T00:00:00"/>
    <n v="50784"/>
    <n v="50784"/>
    <n v="0"/>
    <x v="2"/>
    <x v="9"/>
    <m/>
    <x v="1"/>
  </r>
  <r>
    <s v="Emp ID-189"/>
    <x v="0"/>
    <x v="4"/>
    <x v="0"/>
    <x v="1"/>
    <x v="7"/>
    <x v="2"/>
    <d v="2019-05-09T00:00:00"/>
    <n v="125828"/>
    <n v="144702"/>
    <n v="0.15"/>
    <x v="2"/>
    <x v="12"/>
    <m/>
    <x v="1"/>
  </r>
  <r>
    <s v="Emp ID-190"/>
    <x v="15"/>
    <x v="4"/>
    <x v="1"/>
    <x v="1"/>
    <x v="29"/>
    <x v="2"/>
    <d v="2017-08-04T00:00:00"/>
    <n v="92610"/>
    <n v="92610"/>
    <n v="0"/>
    <x v="0"/>
    <x v="7"/>
    <m/>
    <x v="1"/>
  </r>
  <r>
    <s v="Emp ID-191"/>
    <x v="0"/>
    <x v="1"/>
    <x v="2"/>
    <x v="1"/>
    <x v="2"/>
    <x v="1"/>
    <d v="2003-03-25T00:00:00"/>
    <n v="123405"/>
    <n v="139448"/>
    <n v="0.13"/>
    <x v="0"/>
    <x v="7"/>
    <m/>
    <x v="1"/>
  </r>
  <r>
    <s v="Emp ID-192"/>
    <x v="5"/>
    <x v="1"/>
    <x v="1"/>
    <x v="0"/>
    <x v="30"/>
    <x v="1"/>
    <d v="2004-03-20T00:00:00"/>
    <n v="73004"/>
    <n v="73004"/>
    <n v="0"/>
    <x v="1"/>
    <x v="10"/>
    <m/>
    <x v="1"/>
  </r>
  <r>
    <s v="Emp ID-193"/>
    <x v="11"/>
    <x v="5"/>
    <x v="3"/>
    <x v="1"/>
    <x v="4"/>
    <x v="0"/>
    <d v="1999-04-25T00:00:00"/>
    <n v="95061"/>
    <n v="104567"/>
    <n v="0.1"/>
    <x v="1"/>
    <x v="6"/>
    <m/>
    <x v="1"/>
  </r>
  <r>
    <s v="Emp ID-194"/>
    <x v="2"/>
    <x v="1"/>
    <x v="3"/>
    <x v="0"/>
    <x v="37"/>
    <x v="1"/>
    <d v="1998-04-02T00:00:00"/>
    <n v="160832"/>
    <n v="209082"/>
    <n v="0.3"/>
    <x v="0"/>
    <x v="3"/>
    <m/>
    <x v="1"/>
  </r>
  <r>
    <s v="Emp ID-195"/>
    <x v="31"/>
    <x v="0"/>
    <x v="1"/>
    <x v="1"/>
    <x v="36"/>
    <x v="1"/>
    <d v="2010-12-28T00:00:00"/>
    <n v="64417"/>
    <n v="64417"/>
    <n v="0"/>
    <x v="0"/>
    <x v="7"/>
    <m/>
    <x v="1"/>
  </r>
  <r>
    <s v="Emp ID-196"/>
    <x v="6"/>
    <x v="1"/>
    <x v="3"/>
    <x v="1"/>
    <x v="21"/>
    <x v="2"/>
    <d v="2021-03-19T00:00:00"/>
    <n v="127543"/>
    <n v="135196"/>
    <n v="0.06"/>
    <x v="1"/>
    <x v="6"/>
    <m/>
    <x v="1"/>
  </r>
  <r>
    <s v="Emp ID-197"/>
    <x v="7"/>
    <x v="6"/>
    <x v="1"/>
    <x v="1"/>
    <x v="23"/>
    <x v="2"/>
    <d v="2018-06-21T00:00:00"/>
    <n v="56154"/>
    <n v="56154"/>
    <n v="0"/>
    <x v="2"/>
    <x v="12"/>
    <m/>
    <x v="1"/>
  </r>
  <r>
    <s v="Emp ID-198"/>
    <x v="9"/>
    <x v="1"/>
    <x v="1"/>
    <x v="0"/>
    <x v="9"/>
    <x v="3"/>
    <d v="2014-02-22T00:00:00"/>
    <n v="218530"/>
    <n v="284089"/>
    <n v="0.3"/>
    <x v="1"/>
    <x v="6"/>
    <m/>
    <x v="1"/>
  </r>
  <r>
    <s v="Emp ID-199"/>
    <x v="31"/>
    <x v="0"/>
    <x v="1"/>
    <x v="0"/>
    <x v="9"/>
    <x v="3"/>
    <d v="2019-12-19T00:00:00"/>
    <n v="91954"/>
    <n v="91954"/>
    <n v="0"/>
    <x v="0"/>
    <x v="7"/>
    <m/>
    <x v="1"/>
  </r>
  <r>
    <s v="Emp ID-200"/>
    <x v="9"/>
    <x v="6"/>
    <x v="3"/>
    <x v="0"/>
    <x v="23"/>
    <x v="2"/>
    <d v="2016-09-21T00:00:00"/>
    <n v="221217"/>
    <n v="292006"/>
    <n v="0.32"/>
    <x v="0"/>
    <x v="7"/>
    <d v="2017-09-25T00:00:00"/>
    <x v="0"/>
  </r>
  <r>
    <s v="Emp ID-201"/>
    <x v="27"/>
    <x v="0"/>
    <x v="1"/>
    <x v="1"/>
    <x v="7"/>
    <x v="2"/>
    <d v="2017-05-11T00:00:00"/>
    <n v="87536"/>
    <n v="87536"/>
    <n v="0"/>
    <x v="0"/>
    <x v="0"/>
    <m/>
    <x v="1"/>
  </r>
  <r>
    <s v="Emp ID-202"/>
    <x v="7"/>
    <x v="1"/>
    <x v="3"/>
    <x v="0"/>
    <x v="40"/>
    <x v="1"/>
    <d v="2015-06-09T00:00:00"/>
    <n v="41429"/>
    <n v="41429"/>
    <n v="0"/>
    <x v="0"/>
    <x v="0"/>
    <m/>
    <x v="1"/>
  </r>
  <r>
    <s v="Emp ID-203"/>
    <x v="9"/>
    <x v="5"/>
    <x v="1"/>
    <x v="1"/>
    <x v="25"/>
    <x v="3"/>
    <d v="2011-10-10T00:00:00"/>
    <n v="245482"/>
    <n v="341220"/>
    <n v="0.39"/>
    <x v="0"/>
    <x v="0"/>
    <m/>
    <x v="1"/>
  </r>
  <r>
    <s v="Emp ID-204"/>
    <x v="25"/>
    <x v="5"/>
    <x v="1"/>
    <x v="0"/>
    <x v="6"/>
    <x v="2"/>
    <d v="2020-01-20T00:00:00"/>
    <n v="71359"/>
    <n v="71359"/>
    <n v="0"/>
    <x v="0"/>
    <x v="3"/>
    <m/>
    <x v="1"/>
  </r>
  <r>
    <s v="Emp ID-205"/>
    <x v="2"/>
    <x v="5"/>
    <x v="2"/>
    <x v="1"/>
    <x v="15"/>
    <x v="1"/>
    <d v="2014-08-28T00:00:00"/>
    <n v="183161"/>
    <n v="223456"/>
    <n v="0.22"/>
    <x v="0"/>
    <x v="4"/>
    <m/>
    <x v="1"/>
  </r>
  <r>
    <s v="Emp ID-206"/>
    <x v="32"/>
    <x v="0"/>
    <x v="3"/>
    <x v="1"/>
    <x v="32"/>
    <x v="0"/>
    <d v="1993-07-26T00:00:00"/>
    <n v="69260"/>
    <n v="69260"/>
    <n v="0"/>
    <x v="0"/>
    <x v="3"/>
    <m/>
    <x v="1"/>
  </r>
  <r>
    <s v="Emp ID-207"/>
    <x v="19"/>
    <x v="5"/>
    <x v="2"/>
    <x v="1"/>
    <x v="10"/>
    <x v="1"/>
    <d v="1999-10-09T00:00:00"/>
    <n v="95639"/>
    <n v="95639"/>
    <n v="0"/>
    <x v="0"/>
    <x v="5"/>
    <m/>
    <x v="1"/>
  </r>
  <r>
    <s v="Emp ID-208"/>
    <x v="6"/>
    <x v="4"/>
    <x v="0"/>
    <x v="1"/>
    <x v="35"/>
    <x v="1"/>
    <d v="2004-06-30T00:00:00"/>
    <n v="120660"/>
    <n v="129106"/>
    <n v="7.0000000000000007E-2"/>
    <x v="1"/>
    <x v="11"/>
    <m/>
    <x v="1"/>
  </r>
  <r>
    <s v="Emp ID-209"/>
    <x v="4"/>
    <x v="1"/>
    <x v="3"/>
    <x v="1"/>
    <x v="9"/>
    <x v="3"/>
    <d v="2021-12-26T00:00:00"/>
    <n v="75119"/>
    <n v="75119"/>
    <n v="0"/>
    <x v="0"/>
    <x v="2"/>
    <m/>
    <x v="1"/>
  </r>
  <r>
    <s v="Emp ID-210"/>
    <x v="9"/>
    <x v="3"/>
    <x v="0"/>
    <x v="1"/>
    <x v="1"/>
    <x v="0"/>
    <d v="2011-05-18T00:00:00"/>
    <n v="192213"/>
    <n v="269098"/>
    <n v="0.4"/>
    <x v="0"/>
    <x v="2"/>
    <m/>
    <x v="1"/>
  </r>
  <r>
    <s v="Emp ID-211"/>
    <x v="5"/>
    <x v="1"/>
    <x v="2"/>
    <x v="0"/>
    <x v="15"/>
    <x v="1"/>
    <d v="2014-05-10T00:00:00"/>
    <n v="65047"/>
    <n v="65047"/>
    <n v="0"/>
    <x v="2"/>
    <x v="12"/>
    <m/>
    <x v="1"/>
  </r>
  <r>
    <s v="Emp ID-212"/>
    <x v="0"/>
    <x v="1"/>
    <x v="1"/>
    <x v="1"/>
    <x v="7"/>
    <x v="2"/>
    <d v="2017-03-16T00:00:00"/>
    <n v="151413"/>
    <n v="174125"/>
    <n v="0.15"/>
    <x v="0"/>
    <x v="0"/>
    <m/>
    <x v="1"/>
  </r>
  <r>
    <s v="Emp ID-213"/>
    <x v="4"/>
    <x v="3"/>
    <x v="2"/>
    <x v="1"/>
    <x v="39"/>
    <x v="0"/>
    <d v="2003-04-22T00:00:00"/>
    <n v="76906"/>
    <n v="76906"/>
    <n v="0"/>
    <x v="0"/>
    <x v="0"/>
    <m/>
    <x v="1"/>
  </r>
  <r>
    <s v="Emp ID-214"/>
    <x v="6"/>
    <x v="0"/>
    <x v="3"/>
    <x v="1"/>
    <x v="10"/>
    <x v="1"/>
    <d v="1994-02-23T00:00:00"/>
    <n v="122802"/>
    <n v="128942"/>
    <n v="0.05"/>
    <x v="1"/>
    <x v="6"/>
    <m/>
    <x v="1"/>
  </r>
  <r>
    <s v="Emp ID-215"/>
    <x v="25"/>
    <x v="5"/>
    <x v="0"/>
    <x v="1"/>
    <x v="40"/>
    <x v="1"/>
    <d v="1998-07-14T00:00:00"/>
    <n v="99091"/>
    <n v="99091"/>
    <n v="0"/>
    <x v="0"/>
    <x v="5"/>
    <m/>
    <x v="1"/>
  </r>
  <r>
    <s v="Emp ID-216"/>
    <x v="8"/>
    <x v="5"/>
    <x v="1"/>
    <x v="1"/>
    <x v="28"/>
    <x v="3"/>
    <d v="2008-02-28T00:00:00"/>
    <n v="113987"/>
    <n v="113987"/>
    <n v="0"/>
    <x v="2"/>
    <x v="8"/>
    <m/>
    <x v="1"/>
  </r>
  <r>
    <s v="Emp ID-217"/>
    <x v="4"/>
    <x v="2"/>
    <x v="3"/>
    <x v="0"/>
    <x v="21"/>
    <x v="2"/>
    <d v="2020-09-04T00:00:00"/>
    <n v="95045"/>
    <n v="95045"/>
    <n v="0"/>
    <x v="0"/>
    <x v="2"/>
    <m/>
    <x v="1"/>
  </r>
  <r>
    <s v="Emp ID-218"/>
    <x v="9"/>
    <x v="6"/>
    <x v="2"/>
    <x v="0"/>
    <x v="7"/>
    <x v="2"/>
    <d v="2017-01-05T00:00:00"/>
    <n v="190401"/>
    <n v="260849"/>
    <n v="0.37"/>
    <x v="0"/>
    <x v="7"/>
    <m/>
    <x v="1"/>
  </r>
  <r>
    <s v="Emp ID-219"/>
    <x v="4"/>
    <x v="2"/>
    <x v="3"/>
    <x v="1"/>
    <x v="30"/>
    <x v="1"/>
    <d v="2013-01-20T00:00:00"/>
    <n v="86061"/>
    <n v="86061"/>
    <n v="0"/>
    <x v="2"/>
    <x v="9"/>
    <m/>
    <x v="1"/>
  </r>
  <r>
    <s v="Emp ID-220"/>
    <x v="26"/>
    <x v="1"/>
    <x v="2"/>
    <x v="1"/>
    <x v="15"/>
    <x v="1"/>
    <d v="2021-02-10T00:00:00"/>
    <n v="79882"/>
    <n v="79882"/>
    <n v="0"/>
    <x v="0"/>
    <x v="3"/>
    <m/>
    <x v="1"/>
  </r>
  <r>
    <s v="Emp ID-221"/>
    <x v="9"/>
    <x v="5"/>
    <x v="1"/>
    <x v="0"/>
    <x v="23"/>
    <x v="2"/>
    <d v="2018-03-06T00:00:00"/>
    <n v="255431"/>
    <n v="347386"/>
    <n v="0.36"/>
    <x v="0"/>
    <x v="7"/>
    <m/>
    <x v="1"/>
  </r>
  <r>
    <s v="Emp ID-222"/>
    <x v="31"/>
    <x v="0"/>
    <x v="1"/>
    <x v="0"/>
    <x v="35"/>
    <x v="1"/>
    <d v="2003-08-22T00:00:00"/>
    <n v="82017"/>
    <n v="82017"/>
    <n v="0"/>
    <x v="1"/>
    <x v="10"/>
    <m/>
    <x v="1"/>
  </r>
  <r>
    <s v="Emp ID-223"/>
    <x v="7"/>
    <x v="2"/>
    <x v="1"/>
    <x v="0"/>
    <x v="10"/>
    <x v="1"/>
    <d v="2017-01-18T00:00:00"/>
    <n v="53799"/>
    <n v="53799"/>
    <n v="0"/>
    <x v="0"/>
    <x v="7"/>
    <m/>
    <x v="1"/>
  </r>
  <r>
    <s v="Emp ID-224"/>
    <x v="4"/>
    <x v="1"/>
    <x v="3"/>
    <x v="0"/>
    <x v="21"/>
    <x v="2"/>
    <d v="2021-07-03T00:00:00"/>
    <n v="82739"/>
    <n v="82739"/>
    <n v="0"/>
    <x v="0"/>
    <x v="3"/>
    <m/>
    <x v="1"/>
  </r>
  <r>
    <s v="Emp ID-225"/>
    <x v="21"/>
    <x v="0"/>
    <x v="1"/>
    <x v="0"/>
    <x v="9"/>
    <x v="3"/>
    <d v="2014-05-30T00:00:00"/>
    <n v="99080"/>
    <n v="99080"/>
    <n v="0"/>
    <x v="0"/>
    <x v="2"/>
    <m/>
    <x v="1"/>
  </r>
  <r>
    <s v="Emp ID-226"/>
    <x v="26"/>
    <x v="1"/>
    <x v="3"/>
    <x v="0"/>
    <x v="28"/>
    <x v="3"/>
    <d v="2011-01-20T00:00:00"/>
    <n v="96719"/>
    <n v="96719"/>
    <n v="0"/>
    <x v="1"/>
    <x v="11"/>
    <m/>
    <x v="1"/>
  </r>
  <r>
    <s v="Emp ID-227"/>
    <x v="2"/>
    <x v="4"/>
    <x v="0"/>
    <x v="0"/>
    <x v="10"/>
    <x v="1"/>
    <d v="2021-03-28T00:00:00"/>
    <n v="180687"/>
    <n v="215018"/>
    <n v="0.19"/>
    <x v="0"/>
    <x v="3"/>
    <m/>
    <x v="1"/>
  </r>
  <r>
    <s v="Emp ID-228"/>
    <x v="11"/>
    <x v="5"/>
    <x v="3"/>
    <x v="1"/>
    <x v="15"/>
    <x v="1"/>
    <d v="2001-04-12T00:00:00"/>
    <n v="95743"/>
    <n v="110104"/>
    <n v="0.15"/>
    <x v="0"/>
    <x v="5"/>
    <d v="2010-01-15T00:00:00"/>
    <x v="0"/>
  </r>
  <r>
    <s v="Emp ID-229"/>
    <x v="25"/>
    <x v="5"/>
    <x v="0"/>
    <x v="0"/>
    <x v="18"/>
    <x v="3"/>
    <d v="2009-09-04T00:00:00"/>
    <n v="89695"/>
    <n v="89695"/>
    <n v="0"/>
    <x v="0"/>
    <x v="5"/>
    <m/>
    <x v="1"/>
  </r>
  <r>
    <s v="Emp ID-230"/>
    <x v="6"/>
    <x v="2"/>
    <x v="1"/>
    <x v="1"/>
    <x v="14"/>
    <x v="0"/>
    <d v="1998-07-20T00:00:00"/>
    <n v="122753"/>
    <n v="133801"/>
    <n v="0.09"/>
    <x v="1"/>
    <x v="1"/>
    <m/>
    <x v="1"/>
  </r>
  <r>
    <s v="Emp ID-231"/>
    <x v="15"/>
    <x v="4"/>
    <x v="0"/>
    <x v="1"/>
    <x v="23"/>
    <x v="2"/>
    <d v="2015-03-15T00:00:00"/>
    <n v="93734"/>
    <n v="93734"/>
    <n v="0"/>
    <x v="0"/>
    <x v="3"/>
    <m/>
    <x v="1"/>
  </r>
  <r>
    <s v="Emp ID-232"/>
    <x v="7"/>
    <x v="3"/>
    <x v="3"/>
    <x v="1"/>
    <x v="21"/>
    <x v="2"/>
    <d v="2017-05-12T00:00:00"/>
    <n v="52069"/>
    <n v="52069"/>
    <n v="0"/>
    <x v="1"/>
    <x v="1"/>
    <m/>
    <x v="1"/>
  </r>
  <r>
    <s v="Emp ID-233"/>
    <x v="9"/>
    <x v="3"/>
    <x v="3"/>
    <x v="0"/>
    <x v="29"/>
    <x v="2"/>
    <d v="2020-12-16T00:00:00"/>
    <n v="258426"/>
    <n v="361796"/>
    <n v="0.4"/>
    <x v="2"/>
    <x v="9"/>
    <m/>
    <x v="1"/>
  </r>
  <r>
    <s v="Emp ID-234"/>
    <x v="6"/>
    <x v="2"/>
    <x v="2"/>
    <x v="1"/>
    <x v="10"/>
    <x v="1"/>
    <d v="1995-02-16T00:00:00"/>
    <n v="125375"/>
    <n v="136659"/>
    <n v="0.09"/>
    <x v="0"/>
    <x v="2"/>
    <m/>
    <x v="1"/>
  </r>
  <r>
    <s v="Emp ID-235"/>
    <x v="9"/>
    <x v="3"/>
    <x v="1"/>
    <x v="1"/>
    <x v="6"/>
    <x v="2"/>
    <d v="2021-02-08T00:00:00"/>
    <n v="198243"/>
    <n v="259698"/>
    <n v="0.31"/>
    <x v="0"/>
    <x v="4"/>
    <m/>
    <x v="1"/>
  </r>
  <r>
    <s v="Emp ID-236"/>
    <x v="22"/>
    <x v="5"/>
    <x v="0"/>
    <x v="0"/>
    <x v="34"/>
    <x v="3"/>
    <d v="2017-11-23T00:00:00"/>
    <n v="96023"/>
    <n v="96023"/>
    <n v="0"/>
    <x v="0"/>
    <x v="4"/>
    <m/>
    <x v="1"/>
  </r>
  <r>
    <s v="Emp ID-237"/>
    <x v="4"/>
    <x v="6"/>
    <x v="0"/>
    <x v="0"/>
    <x v="8"/>
    <x v="2"/>
    <d v="2012-06-25T00:00:00"/>
    <n v="83066"/>
    <n v="83066"/>
    <n v="0"/>
    <x v="0"/>
    <x v="2"/>
    <d v="2013-06-05T00:00:00"/>
    <x v="0"/>
  </r>
  <r>
    <s v="Emp ID-238"/>
    <x v="13"/>
    <x v="1"/>
    <x v="0"/>
    <x v="0"/>
    <x v="35"/>
    <x v="1"/>
    <d v="2014-05-14T00:00:00"/>
    <n v="61216"/>
    <n v="61216"/>
    <n v="0"/>
    <x v="0"/>
    <x v="0"/>
    <m/>
    <x v="1"/>
  </r>
  <r>
    <s v="Emp ID-239"/>
    <x v="0"/>
    <x v="3"/>
    <x v="3"/>
    <x v="1"/>
    <x v="29"/>
    <x v="2"/>
    <d v="2013-02-10T00:00:00"/>
    <n v="144231"/>
    <n v="164423"/>
    <n v="0.14000000000000001"/>
    <x v="0"/>
    <x v="7"/>
    <d v="2020-07-17T00:00:00"/>
    <x v="0"/>
  </r>
  <r>
    <s v="Emp ID-240"/>
    <x v="16"/>
    <x v="4"/>
    <x v="0"/>
    <x v="1"/>
    <x v="12"/>
    <x v="3"/>
    <d v="2007-10-24T00:00:00"/>
    <n v="51630"/>
    <n v="51630"/>
    <n v="0"/>
    <x v="1"/>
    <x v="10"/>
    <m/>
    <x v="1"/>
  </r>
  <r>
    <s v="Emp ID-241"/>
    <x v="0"/>
    <x v="1"/>
    <x v="3"/>
    <x v="1"/>
    <x v="0"/>
    <x v="0"/>
    <d v="2013-11-16T00:00:00"/>
    <n v="124129"/>
    <n v="142748"/>
    <n v="0.15"/>
    <x v="2"/>
    <x v="12"/>
    <m/>
    <x v="1"/>
  </r>
  <r>
    <s v="Emp ID-242"/>
    <x v="22"/>
    <x v="5"/>
    <x v="1"/>
    <x v="1"/>
    <x v="9"/>
    <x v="3"/>
    <d v="2009-04-09T00:00:00"/>
    <n v="60055"/>
    <n v="60055"/>
    <n v="0"/>
    <x v="0"/>
    <x v="0"/>
    <m/>
    <x v="1"/>
  </r>
  <r>
    <s v="Emp ID-243"/>
    <x v="2"/>
    <x v="5"/>
    <x v="0"/>
    <x v="1"/>
    <x v="11"/>
    <x v="2"/>
    <d v="2020-08-26T00:00:00"/>
    <n v="189290"/>
    <n v="230934"/>
    <n v="0.22"/>
    <x v="2"/>
    <x v="12"/>
    <d v="2020-09-25T00:00:00"/>
    <x v="0"/>
  </r>
  <r>
    <s v="Emp ID-244"/>
    <x v="9"/>
    <x v="0"/>
    <x v="3"/>
    <x v="0"/>
    <x v="26"/>
    <x v="1"/>
    <d v="2008-04-30T00:00:00"/>
    <n v="182202"/>
    <n v="236863"/>
    <n v="0.3"/>
    <x v="0"/>
    <x v="5"/>
    <m/>
    <x v="1"/>
  </r>
  <r>
    <s v="Emp ID-245"/>
    <x v="6"/>
    <x v="1"/>
    <x v="2"/>
    <x v="1"/>
    <x v="19"/>
    <x v="3"/>
    <d v="2006-01-31T00:00:00"/>
    <n v="117518"/>
    <n v="125744"/>
    <n v="7.0000000000000007E-2"/>
    <x v="0"/>
    <x v="0"/>
    <m/>
    <x v="1"/>
  </r>
  <r>
    <s v="Emp ID-246"/>
    <x v="0"/>
    <x v="2"/>
    <x v="1"/>
    <x v="0"/>
    <x v="17"/>
    <x v="3"/>
    <d v="2013-02-24T00:00:00"/>
    <n v="157474"/>
    <n v="174796"/>
    <n v="0.11"/>
    <x v="2"/>
    <x v="9"/>
    <m/>
    <x v="1"/>
  </r>
  <r>
    <s v="Emp ID-247"/>
    <x v="6"/>
    <x v="6"/>
    <x v="1"/>
    <x v="1"/>
    <x v="31"/>
    <x v="3"/>
    <d v="2008-04-06T00:00:00"/>
    <n v="126856"/>
    <n v="134467"/>
    <n v="0.06"/>
    <x v="0"/>
    <x v="7"/>
    <m/>
    <x v="1"/>
  </r>
  <r>
    <s v="Emp ID-248"/>
    <x v="0"/>
    <x v="3"/>
    <x v="1"/>
    <x v="0"/>
    <x v="37"/>
    <x v="1"/>
    <d v="2001-04-02T00:00:00"/>
    <n v="129124"/>
    <n v="144619"/>
    <n v="0.12"/>
    <x v="1"/>
    <x v="6"/>
    <m/>
    <x v="1"/>
  </r>
  <r>
    <s v="Emp ID-249"/>
    <x v="2"/>
    <x v="1"/>
    <x v="0"/>
    <x v="0"/>
    <x v="15"/>
    <x v="1"/>
    <d v="2002-03-01T00:00:00"/>
    <n v="165181"/>
    <n v="191610"/>
    <n v="0.16"/>
    <x v="0"/>
    <x v="0"/>
    <m/>
    <x v="1"/>
  </r>
  <r>
    <s v="Emp ID-250"/>
    <x v="9"/>
    <x v="2"/>
    <x v="3"/>
    <x v="1"/>
    <x v="2"/>
    <x v="1"/>
    <d v="2004-01-18T00:00:00"/>
    <n v="247939"/>
    <n v="334718"/>
    <n v="0.35"/>
    <x v="2"/>
    <x v="9"/>
    <m/>
    <x v="1"/>
  </r>
  <r>
    <s v="Emp ID-251"/>
    <x v="2"/>
    <x v="5"/>
    <x v="2"/>
    <x v="1"/>
    <x v="14"/>
    <x v="0"/>
    <d v="2017-08-25T00:00:00"/>
    <n v="169509"/>
    <n v="200021"/>
    <n v="0.18"/>
    <x v="2"/>
    <x v="8"/>
    <m/>
    <x v="1"/>
  </r>
  <r>
    <s v="Emp ID-252"/>
    <x v="0"/>
    <x v="3"/>
    <x v="1"/>
    <x v="0"/>
    <x v="0"/>
    <x v="0"/>
    <d v="2011-01-09T00:00:00"/>
    <n v="138521"/>
    <n v="152373"/>
    <n v="0.1"/>
    <x v="0"/>
    <x v="4"/>
    <m/>
    <x v="1"/>
  </r>
  <r>
    <s v="Emp ID-253"/>
    <x v="11"/>
    <x v="5"/>
    <x v="2"/>
    <x v="0"/>
    <x v="15"/>
    <x v="1"/>
    <d v="2014-03-14T00:00:00"/>
    <n v="113873"/>
    <n v="126399"/>
    <n v="0.11"/>
    <x v="2"/>
    <x v="9"/>
    <m/>
    <x v="1"/>
  </r>
  <r>
    <s v="Emp ID-254"/>
    <x v="14"/>
    <x v="0"/>
    <x v="3"/>
    <x v="0"/>
    <x v="38"/>
    <x v="3"/>
    <d v="2018-05-09T00:00:00"/>
    <n v="73317"/>
    <n v="73317"/>
    <n v="0"/>
    <x v="0"/>
    <x v="4"/>
    <m/>
    <x v="1"/>
  </r>
  <r>
    <s v="Emp ID-255"/>
    <x v="31"/>
    <x v="0"/>
    <x v="2"/>
    <x v="0"/>
    <x v="28"/>
    <x v="3"/>
    <d v="2013-06-26T00:00:00"/>
    <n v="69096"/>
    <n v="69096"/>
    <n v="0"/>
    <x v="0"/>
    <x v="0"/>
    <m/>
    <x v="1"/>
  </r>
  <r>
    <s v="Emp ID-256"/>
    <x v="15"/>
    <x v="4"/>
    <x v="1"/>
    <x v="1"/>
    <x v="35"/>
    <x v="1"/>
    <d v="2005-04-12T00:00:00"/>
    <n v="87158"/>
    <n v="87158"/>
    <n v="0"/>
    <x v="2"/>
    <x v="8"/>
    <m/>
    <x v="1"/>
  </r>
  <r>
    <s v="Emp ID-257"/>
    <x v="22"/>
    <x v="5"/>
    <x v="3"/>
    <x v="1"/>
    <x v="14"/>
    <x v="0"/>
    <d v="1992-09-28T00:00:00"/>
    <n v="70778"/>
    <n v="70778"/>
    <n v="0"/>
    <x v="0"/>
    <x v="5"/>
    <m/>
    <x v="1"/>
  </r>
  <r>
    <s v="Emp ID-258"/>
    <x v="2"/>
    <x v="4"/>
    <x v="2"/>
    <x v="0"/>
    <x v="13"/>
    <x v="4"/>
    <d v="2004-05-23T00:00:00"/>
    <n v="153938"/>
    <n v="184726"/>
    <n v="0.2"/>
    <x v="0"/>
    <x v="3"/>
    <m/>
    <x v="1"/>
  </r>
  <r>
    <s v="Emp ID-259"/>
    <x v="28"/>
    <x v="0"/>
    <x v="0"/>
    <x v="1"/>
    <x v="19"/>
    <x v="3"/>
    <d v="2018-05-04T00:00:00"/>
    <n v="59888"/>
    <n v="59888"/>
    <n v="0"/>
    <x v="1"/>
    <x v="10"/>
    <m/>
    <x v="1"/>
  </r>
  <r>
    <s v="Emp ID-260"/>
    <x v="22"/>
    <x v="5"/>
    <x v="3"/>
    <x v="1"/>
    <x v="2"/>
    <x v="1"/>
    <d v="2018-12-13T00:00:00"/>
    <n v="63098"/>
    <n v="63098"/>
    <n v="0"/>
    <x v="0"/>
    <x v="7"/>
    <m/>
    <x v="1"/>
  </r>
  <r>
    <s v="Emp ID-261"/>
    <x v="9"/>
    <x v="2"/>
    <x v="3"/>
    <x v="0"/>
    <x v="5"/>
    <x v="2"/>
    <d v="2021-12-15T00:00:00"/>
    <n v="255369"/>
    <n v="339641"/>
    <n v="0.33"/>
    <x v="2"/>
    <x v="12"/>
    <m/>
    <x v="1"/>
  </r>
  <r>
    <s v="Emp ID-262"/>
    <x v="0"/>
    <x v="4"/>
    <x v="1"/>
    <x v="0"/>
    <x v="0"/>
    <x v="0"/>
    <d v="2004-11-10T00:00:00"/>
    <n v="142318"/>
    <n v="162243"/>
    <n v="0.14000000000000001"/>
    <x v="0"/>
    <x v="2"/>
    <m/>
    <x v="1"/>
  </r>
  <r>
    <s v="Emp ID-263"/>
    <x v="20"/>
    <x v="4"/>
    <x v="1"/>
    <x v="1"/>
    <x v="12"/>
    <x v="3"/>
    <d v="2004-08-20T00:00:00"/>
    <n v="49186"/>
    <n v="49186"/>
    <n v="0"/>
    <x v="0"/>
    <x v="5"/>
    <d v="2008-06-17T00:00:00"/>
    <x v="0"/>
  </r>
  <r>
    <s v="Emp ID-264"/>
    <x v="9"/>
    <x v="4"/>
    <x v="0"/>
    <x v="0"/>
    <x v="8"/>
    <x v="2"/>
    <d v="2019-07-27T00:00:00"/>
    <n v="220937"/>
    <n v="304893"/>
    <n v="0.38"/>
    <x v="0"/>
    <x v="5"/>
    <m/>
    <x v="1"/>
  </r>
  <r>
    <s v="Emp ID-265"/>
    <x v="2"/>
    <x v="0"/>
    <x v="2"/>
    <x v="0"/>
    <x v="40"/>
    <x v="1"/>
    <d v="2012-10-26T00:00:00"/>
    <n v="183156"/>
    <n v="238103"/>
    <n v="0.3"/>
    <x v="0"/>
    <x v="0"/>
    <m/>
    <x v="1"/>
  </r>
  <r>
    <s v="Emp ID-266"/>
    <x v="9"/>
    <x v="0"/>
    <x v="2"/>
    <x v="0"/>
    <x v="24"/>
    <x v="2"/>
    <d v="2020-07-22T00:00:00"/>
    <n v="192749"/>
    <n v="252501"/>
    <n v="0.31"/>
    <x v="0"/>
    <x v="2"/>
    <m/>
    <x v="1"/>
  </r>
  <r>
    <s v="Emp ID-267"/>
    <x v="0"/>
    <x v="0"/>
    <x v="1"/>
    <x v="0"/>
    <x v="38"/>
    <x v="3"/>
    <d v="2017-03-25T00:00:00"/>
    <n v="135325"/>
    <n v="154270"/>
    <n v="0.14000000000000001"/>
    <x v="0"/>
    <x v="3"/>
    <m/>
    <x v="1"/>
  </r>
  <r>
    <s v="Emp ID-268"/>
    <x v="4"/>
    <x v="1"/>
    <x v="2"/>
    <x v="0"/>
    <x v="3"/>
    <x v="2"/>
    <d v="2019-10-14T00:00:00"/>
    <n v="79356"/>
    <n v="79356"/>
    <n v="0"/>
    <x v="0"/>
    <x v="3"/>
    <m/>
    <x v="1"/>
  </r>
  <r>
    <s v="Emp ID-269"/>
    <x v="25"/>
    <x v="5"/>
    <x v="1"/>
    <x v="1"/>
    <x v="28"/>
    <x v="3"/>
    <d v="2005-07-07T00:00:00"/>
    <n v="74412"/>
    <n v="74412"/>
    <n v="0"/>
    <x v="0"/>
    <x v="0"/>
    <m/>
    <x v="1"/>
  </r>
  <r>
    <s v="Emp ID-270"/>
    <x v="3"/>
    <x v="0"/>
    <x v="1"/>
    <x v="0"/>
    <x v="24"/>
    <x v="2"/>
    <d v="2017-10-02T00:00:00"/>
    <n v="61886"/>
    <n v="67456"/>
    <n v="0.09"/>
    <x v="2"/>
    <x v="9"/>
    <m/>
    <x v="1"/>
  </r>
  <r>
    <s v="Emp ID-271"/>
    <x v="2"/>
    <x v="3"/>
    <x v="0"/>
    <x v="0"/>
    <x v="32"/>
    <x v="0"/>
    <d v="2003-05-14T00:00:00"/>
    <n v="173071"/>
    <n v="223262"/>
    <n v="0.28999999999999998"/>
    <x v="0"/>
    <x v="7"/>
    <m/>
    <x v="1"/>
  </r>
  <r>
    <s v="Emp ID-272"/>
    <x v="17"/>
    <x v="5"/>
    <x v="0"/>
    <x v="0"/>
    <x v="32"/>
    <x v="0"/>
    <d v="1995-10-27T00:00:00"/>
    <n v="70189"/>
    <n v="70189"/>
    <n v="0"/>
    <x v="0"/>
    <x v="7"/>
    <m/>
    <x v="1"/>
  </r>
  <r>
    <s v="Emp ID-273"/>
    <x v="9"/>
    <x v="1"/>
    <x v="0"/>
    <x v="0"/>
    <x v="34"/>
    <x v="3"/>
    <d v="2013-09-11T00:00:00"/>
    <n v="181452"/>
    <n v="235888"/>
    <n v="0.3"/>
    <x v="0"/>
    <x v="7"/>
    <m/>
    <x v="1"/>
  </r>
  <r>
    <s v="Emp ID-274"/>
    <x v="16"/>
    <x v="4"/>
    <x v="2"/>
    <x v="1"/>
    <x v="3"/>
    <x v="2"/>
    <d v="2021-03-12T00:00:00"/>
    <n v="70369"/>
    <n v="70369"/>
    <n v="0"/>
    <x v="0"/>
    <x v="0"/>
    <m/>
    <x v="1"/>
  </r>
  <r>
    <s v="Emp ID-275"/>
    <x v="4"/>
    <x v="3"/>
    <x v="1"/>
    <x v="1"/>
    <x v="31"/>
    <x v="3"/>
    <d v="2008-07-05T00:00:00"/>
    <n v="78056"/>
    <n v="78056"/>
    <n v="0"/>
    <x v="2"/>
    <x v="12"/>
    <m/>
    <x v="1"/>
  </r>
  <r>
    <s v="Emp ID-276"/>
    <x v="2"/>
    <x v="2"/>
    <x v="0"/>
    <x v="1"/>
    <x v="14"/>
    <x v="0"/>
    <d v="1996-05-02T00:00:00"/>
    <n v="189933"/>
    <n v="233618"/>
    <n v="0.23"/>
    <x v="0"/>
    <x v="4"/>
    <m/>
    <x v="1"/>
  </r>
  <r>
    <s v="Emp ID-277"/>
    <x v="18"/>
    <x v="5"/>
    <x v="2"/>
    <x v="1"/>
    <x v="31"/>
    <x v="3"/>
    <d v="2010-07-01T00:00:00"/>
    <n v="78237"/>
    <n v="78237"/>
    <n v="0"/>
    <x v="0"/>
    <x v="3"/>
    <m/>
    <x v="1"/>
  </r>
  <r>
    <s v="Emp ID-278"/>
    <x v="7"/>
    <x v="3"/>
    <x v="0"/>
    <x v="0"/>
    <x v="0"/>
    <x v="0"/>
    <d v="1996-06-26T00:00:00"/>
    <n v="48687"/>
    <n v="48687"/>
    <n v="0"/>
    <x v="2"/>
    <x v="9"/>
    <m/>
    <x v="1"/>
  </r>
  <r>
    <s v="Emp ID-279"/>
    <x v="0"/>
    <x v="6"/>
    <x v="1"/>
    <x v="0"/>
    <x v="15"/>
    <x v="1"/>
    <d v="2004-08-19T00:00:00"/>
    <n v="121065"/>
    <n v="139225"/>
    <n v="0.15"/>
    <x v="2"/>
    <x v="9"/>
    <m/>
    <x v="1"/>
  </r>
  <r>
    <s v="Emp ID-280"/>
    <x v="4"/>
    <x v="1"/>
    <x v="3"/>
    <x v="1"/>
    <x v="19"/>
    <x v="3"/>
    <d v="2004-04-16T00:00:00"/>
    <n v="94246"/>
    <n v="94246"/>
    <n v="0"/>
    <x v="0"/>
    <x v="5"/>
    <m/>
    <x v="1"/>
  </r>
  <r>
    <s v="Emp ID-281"/>
    <x v="28"/>
    <x v="0"/>
    <x v="1"/>
    <x v="0"/>
    <x v="8"/>
    <x v="2"/>
    <d v="2016-05-22T00:00:00"/>
    <n v="44614"/>
    <n v="44614"/>
    <n v="0"/>
    <x v="0"/>
    <x v="4"/>
    <m/>
    <x v="1"/>
  </r>
  <r>
    <s v="Emp ID-282"/>
    <x v="9"/>
    <x v="0"/>
    <x v="0"/>
    <x v="1"/>
    <x v="28"/>
    <x v="3"/>
    <d v="2020-11-08T00:00:00"/>
    <n v="234469"/>
    <n v="307154"/>
    <n v="0.31"/>
    <x v="1"/>
    <x v="11"/>
    <m/>
    <x v="1"/>
  </r>
  <r>
    <s v="Emp ID-283"/>
    <x v="18"/>
    <x v="5"/>
    <x v="0"/>
    <x v="1"/>
    <x v="27"/>
    <x v="1"/>
    <d v="2020-07-10T00:00:00"/>
    <n v="88272"/>
    <n v="88272"/>
    <n v="0"/>
    <x v="2"/>
    <x v="12"/>
    <m/>
    <x v="1"/>
  </r>
  <r>
    <s v="Emp ID-284"/>
    <x v="13"/>
    <x v="2"/>
    <x v="3"/>
    <x v="1"/>
    <x v="27"/>
    <x v="1"/>
    <d v="2017-09-14T00:00:00"/>
    <n v="74449"/>
    <n v="74449"/>
    <n v="0"/>
    <x v="1"/>
    <x v="10"/>
    <m/>
    <x v="1"/>
  </r>
  <r>
    <s v="Emp ID-285"/>
    <x v="9"/>
    <x v="5"/>
    <x v="2"/>
    <x v="1"/>
    <x v="40"/>
    <x v="1"/>
    <d v="2012-06-11T00:00:00"/>
    <n v="222941"/>
    <n v="309888"/>
    <n v="0.39"/>
    <x v="1"/>
    <x v="10"/>
    <m/>
    <x v="1"/>
  </r>
  <r>
    <s v="Emp ID-286"/>
    <x v="7"/>
    <x v="6"/>
    <x v="1"/>
    <x v="0"/>
    <x v="13"/>
    <x v="4"/>
    <d v="2013-09-26T00:00:00"/>
    <n v="50341"/>
    <n v="50341"/>
    <n v="0"/>
    <x v="1"/>
    <x v="10"/>
    <m/>
    <x v="1"/>
  </r>
  <r>
    <s v="Emp ID-287"/>
    <x v="16"/>
    <x v="4"/>
    <x v="3"/>
    <x v="0"/>
    <x v="11"/>
    <x v="2"/>
    <d v="2021-04-11T00:00:00"/>
    <n v="72235"/>
    <n v="72235"/>
    <n v="0"/>
    <x v="2"/>
    <x v="8"/>
    <m/>
    <x v="1"/>
  </r>
  <r>
    <s v="Emp ID-288"/>
    <x v="4"/>
    <x v="3"/>
    <x v="3"/>
    <x v="0"/>
    <x v="12"/>
    <x v="3"/>
    <d v="2016-06-12T00:00:00"/>
    <n v="70165"/>
    <n v="70165"/>
    <n v="0"/>
    <x v="0"/>
    <x v="7"/>
    <m/>
    <x v="1"/>
  </r>
  <r>
    <s v="Emp ID-289"/>
    <x v="0"/>
    <x v="6"/>
    <x v="2"/>
    <x v="1"/>
    <x v="23"/>
    <x v="2"/>
    <d v="2020-07-18T00:00:00"/>
    <n v="148485"/>
    <n v="170758"/>
    <n v="0.15"/>
    <x v="0"/>
    <x v="4"/>
    <m/>
    <x v="1"/>
  </r>
  <r>
    <s v="Emp ID-290"/>
    <x v="1"/>
    <x v="0"/>
    <x v="1"/>
    <x v="0"/>
    <x v="32"/>
    <x v="0"/>
    <d v="2005-06-18T00:00:00"/>
    <n v="86089"/>
    <n v="86089"/>
    <n v="0"/>
    <x v="0"/>
    <x v="2"/>
    <m/>
    <x v="1"/>
  </r>
  <r>
    <s v="Emp ID-291"/>
    <x v="11"/>
    <x v="5"/>
    <x v="0"/>
    <x v="1"/>
    <x v="36"/>
    <x v="1"/>
    <d v="2007-10-27T00:00:00"/>
    <n v="106313"/>
    <n v="122260"/>
    <n v="0.15"/>
    <x v="0"/>
    <x v="2"/>
    <m/>
    <x v="1"/>
  </r>
  <r>
    <s v="Emp ID-292"/>
    <x v="7"/>
    <x v="6"/>
    <x v="0"/>
    <x v="0"/>
    <x v="28"/>
    <x v="3"/>
    <d v="2021-02-24T00:00:00"/>
    <n v="46833"/>
    <n v="46833"/>
    <n v="0"/>
    <x v="1"/>
    <x v="11"/>
    <d v="2021-11-10T00:00:00"/>
    <x v="0"/>
  </r>
  <r>
    <s v="Emp ID-293"/>
    <x v="2"/>
    <x v="2"/>
    <x v="0"/>
    <x v="0"/>
    <x v="20"/>
    <x v="0"/>
    <d v="2000-10-27T00:00:00"/>
    <n v="155320"/>
    <n v="181724"/>
    <n v="0.17"/>
    <x v="1"/>
    <x v="1"/>
    <m/>
    <x v="1"/>
  </r>
  <r>
    <s v="Emp ID-294"/>
    <x v="4"/>
    <x v="3"/>
    <x v="1"/>
    <x v="1"/>
    <x v="28"/>
    <x v="3"/>
    <d v="2016-01-15T00:00:00"/>
    <n v="89984"/>
    <n v="89984"/>
    <n v="0"/>
    <x v="1"/>
    <x v="11"/>
    <m/>
    <x v="1"/>
  </r>
  <r>
    <s v="Emp ID-295"/>
    <x v="11"/>
    <x v="5"/>
    <x v="2"/>
    <x v="0"/>
    <x v="13"/>
    <x v="4"/>
    <d v="2006-03-16T00:00:00"/>
    <n v="83756"/>
    <n v="95482"/>
    <n v="0.14000000000000001"/>
    <x v="1"/>
    <x v="6"/>
    <m/>
    <x v="1"/>
  </r>
  <r>
    <s v="Emp ID-296"/>
    <x v="2"/>
    <x v="4"/>
    <x v="3"/>
    <x v="0"/>
    <x v="4"/>
    <x v="0"/>
    <d v="2016-10-24T00:00:00"/>
    <n v="176324"/>
    <n v="216879"/>
    <n v="0.23"/>
    <x v="1"/>
    <x v="6"/>
    <m/>
    <x v="1"/>
  </r>
  <r>
    <s v="Emp ID-297"/>
    <x v="4"/>
    <x v="3"/>
    <x v="2"/>
    <x v="1"/>
    <x v="5"/>
    <x v="2"/>
    <d v="2021-10-13T00:00:00"/>
    <n v="74077"/>
    <n v="74077"/>
    <n v="0"/>
    <x v="0"/>
    <x v="0"/>
    <m/>
    <x v="1"/>
  </r>
  <r>
    <s v="Emp ID-298"/>
    <x v="6"/>
    <x v="4"/>
    <x v="1"/>
    <x v="0"/>
    <x v="11"/>
    <x v="2"/>
    <d v="2021-01-18T00:00:00"/>
    <n v="104162"/>
    <n v="111453"/>
    <n v="7.0000000000000007E-2"/>
    <x v="0"/>
    <x v="5"/>
    <m/>
    <x v="1"/>
  </r>
  <r>
    <s v="Emp ID-299"/>
    <x v="30"/>
    <x v="0"/>
    <x v="3"/>
    <x v="0"/>
    <x v="15"/>
    <x v="1"/>
    <d v="2010-08-28T00:00:00"/>
    <n v="82162"/>
    <n v="82162"/>
    <n v="0"/>
    <x v="1"/>
    <x v="10"/>
    <d v="2020-10-03T00:00:00"/>
    <x v="0"/>
  </r>
  <r>
    <s v="Emp ID-300"/>
    <x v="5"/>
    <x v="1"/>
    <x v="2"/>
    <x v="0"/>
    <x v="40"/>
    <x v="1"/>
    <d v="2015-07-10T00:00:00"/>
    <n v="63880"/>
    <n v="63880"/>
    <n v="0"/>
    <x v="1"/>
    <x v="1"/>
    <m/>
    <x v="1"/>
  </r>
  <r>
    <s v="Emp ID-301"/>
    <x v="22"/>
    <x v="5"/>
    <x v="0"/>
    <x v="0"/>
    <x v="0"/>
    <x v="0"/>
    <d v="2013-09-08T00:00:00"/>
    <n v="73248"/>
    <n v="73248"/>
    <n v="0"/>
    <x v="0"/>
    <x v="7"/>
    <m/>
    <x v="1"/>
  </r>
  <r>
    <s v="Emp ID-302"/>
    <x v="4"/>
    <x v="3"/>
    <x v="1"/>
    <x v="1"/>
    <x v="10"/>
    <x v="1"/>
    <d v="2020-10-09T00:00:00"/>
    <n v="91853"/>
    <n v="91853"/>
    <n v="0"/>
    <x v="0"/>
    <x v="2"/>
    <m/>
    <x v="1"/>
  </r>
  <r>
    <s v="Emp ID-303"/>
    <x v="2"/>
    <x v="2"/>
    <x v="2"/>
    <x v="1"/>
    <x v="6"/>
    <x v="2"/>
    <d v="2020-01-14T00:00:00"/>
    <n v="168014"/>
    <n v="213378"/>
    <n v="0.27"/>
    <x v="0"/>
    <x v="2"/>
    <d v="2021-07-27T00:00:00"/>
    <x v="0"/>
  </r>
  <r>
    <s v="Emp ID-304"/>
    <x v="25"/>
    <x v="5"/>
    <x v="3"/>
    <x v="0"/>
    <x v="17"/>
    <x v="3"/>
    <d v="2017-09-17T00:00:00"/>
    <n v="70770"/>
    <n v="70770"/>
    <n v="0"/>
    <x v="0"/>
    <x v="4"/>
    <m/>
    <x v="1"/>
  </r>
  <r>
    <s v="Emp ID-305"/>
    <x v="16"/>
    <x v="4"/>
    <x v="3"/>
    <x v="1"/>
    <x v="39"/>
    <x v="0"/>
    <d v="2004-10-11T00:00:00"/>
    <n v="50825"/>
    <n v="50825"/>
    <n v="0"/>
    <x v="0"/>
    <x v="0"/>
    <m/>
    <x v="1"/>
  </r>
  <r>
    <s v="Emp ID-306"/>
    <x v="0"/>
    <x v="2"/>
    <x v="0"/>
    <x v="1"/>
    <x v="11"/>
    <x v="2"/>
    <d v="2015-09-19T00:00:00"/>
    <n v="145846"/>
    <n v="167723"/>
    <n v="0.15"/>
    <x v="2"/>
    <x v="8"/>
    <m/>
    <x v="1"/>
  </r>
  <r>
    <s v="Emp ID-307"/>
    <x v="0"/>
    <x v="4"/>
    <x v="0"/>
    <x v="0"/>
    <x v="14"/>
    <x v="0"/>
    <d v="2003-12-07T00:00:00"/>
    <n v="125807"/>
    <n v="144678"/>
    <n v="0.15"/>
    <x v="0"/>
    <x v="2"/>
    <m/>
    <x v="1"/>
  </r>
  <r>
    <s v="Emp ID-308"/>
    <x v="7"/>
    <x v="1"/>
    <x v="2"/>
    <x v="1"/>
    <x v="6"/>
    <x v="2"/>
    <d v="2021-07-28T00:00:00"/>
    <n v="46845"/>
    <n v="46845"/>
    <n v="0"/>
    <x v="0"/>
    <x v="4"/>
    <m/>
    <x v="1"/>
  </r>
  <r>
    <s v="Emp ID-309"/>
    <x v="0"/>
    <x v="6"/>
    <x v="3"/>
    <x v="0"/>
    <x v="1"/>
    <x v="0"/>
    <d v="2008-08-29T00:00:00"/>
    <n v="157969"/>
    <n v="173766"/>
    <n v="0.1"/>
    <x v="1"/>
    <x v="1"/>
    <m/>
    <x v="1"/>
  </r>
  <r>
    <s v="Emp ID-310"/>
    <x v="29"/>
    <x v="0"/>
    <x v="3"/>
    <x v="0"/>
    <x v="28"/>
    <x v="3"/>
    <d v="2010-12-10T00:00:00"/>
    <n v="97807"/>
    <n v="97807"/>
    <n v="0"/>
    <x v="0"/>
    <x v="2"/>
    <m/>
    <x v="1"/>
  </r>
  <r>
    <s v="Emp ID-311"/>
    <x v="16"/>
    <x v="4"/>
    <x v="1"/>
    <x v="1"/>
    <x v="11"/>
    <x v="2"/>
    <d v="2015-12-09T00:00:00"/>
    <n v="73854"/>
    <n v="73854"/>
    <n v="0"/>
    <x v="0"/>
    <x v="0"/>
    <m/>
    <x v="1"/>
  </r>
  <r>
    <s v="Emp ID-312"/>
    <x v="0"/>
    <x v="3"/>
    <x v="1"/>
    <x v="1"/>
    <x v="15"/>
    <x v="1"/>
    <d v="2006-12-12T00:00:00"/>
    <n v="149537"/>
    <n v="170472"/>
    <n v="0.14000000000000001"/>
    <x v="0"/>
    <x v="0"/>
    <m/>
    <x v="1"/>
  </r>
  <r>
    <s v="Emp ID-313"/>
    <x v="0"/>
    <x v="1"/>
    <x v="1"/>
    <x v="0"/>
    <x v="37"/>
    <x v="1"/>
    <d v="2013-04-15T00:00:00"/>
    <n v="128303"/>
    <n v="147548"/>
    <n v="0.15"/>
    <x v="0"/>
    <x v="3"/>
    <m/>
    <x v="1"/>
  </r>
  <r>
    <s v="Emp ID-314"/>
    <x v="23"/>
    <x v="0"/>
    <x v="2"/>
    <x v="1"/>
    <x v="30"/>
    <x v="1"/>
    <d v="2005-06-10T00:00:00"/>
    <n v="67374"/>
    <n v="67374"/>
    <n v="0"/>
    <x v="0"/>
    <x v="5"/>
    <m/>
    <x v="1"/>
  </r>
  <r>
    <s v="Emp ID-315"/>
    <x v="6"/>
    <x v="4"/>
    <x v="3"/>
    <x v="1"/>
    <x v="30"/>
    <x v="1"/>
    <d v="2011-09-24T00:00:00"/>
    <n v="102167"/>
    <n v="108297"/>
    <n v="0.06"/>
    <x v="2"/>
    <x v="9"/>
    <m/>
    <x v="1"/>
  </r>
  <r>
    <s v="Emp ID-316"/>
    <x v="0"/>
    <x v="1"/>
    <x v="1"/>
    <x v="1"/>
    <x v="15"/>
    <x v="1"/>
    <d v="2007-09-07T00:00:00"/>
    <n v="151027"/>
    <n v="166130"/>
    <n v="0.1"/>
    <x v="1"/>
    <x v="6"/>
    <m/>
    <x v="1"/>
  </r>
  <r>
    <s v="Emp ID-317"/>
    <x v="6"/>
    <x v="3"/>
    <x v="2"/>
    <x v="1"/>
    <x v="28"/>
    <x v="3"/>
    <d v="2018-02-16T00:00:00"/>
    <n v="120905"/>
    <n v="126950"/>
    <n v="0.05"/>
    <x v="0"/>
    <x v="0"/>
    <m/>
    <x v="1"/>
  </r>
  <r>
    <s v="Emp ID-318"/>
    <x v="9"/>
    <x v="2"/>
    <x v="1"/>
    <x v="0"/>
    <x v="35"/>
    <x v="1"/>
    <d v="2018-06-02T00:00:00"/>
    <n v="231567"/>
    <n v="314931"/>
    <n v="0.36"/>
    <x v="0"/>
    <x v="0"/>
    <m/>
    <x v="1"/>
  </r>
  <r>
    <s v="Emp ID-319"/>
    <x v="9"/>
    <x v="0"/>
    <x v="0"/>
    <x v="1"/>
    <x v="11"/>
    <x v="2"/>
    <d v="2015-07-12T00:00:00"/>
    <n v="215388"/>
    <n v="286466"/>
    <n v="0.33"/>
    <x v="0"/>
    <x v="4"/>
    <m/>
    <x v="1"/>
  </r>
  <r>
    <s v="Emp ID-320"/>
    <x v="0"/>
    <x v="1"/>
    <x v="2"/>
    <x v="0"/>
    <x v="23"/>
    <x v="2"/>
    <d v="2015-06-13T00:00:00"/>
    <n v="127972"/>
    <n v="142049"/>
    <n v="0.11"/>
    <x v="0"/>
    <x v="0"/>
    <m/>
    <x v="1"/>
  </r>
  <r>
    <s v="Emp ID-321"/>
    <x v="19"/>
    <x v="5"/>
    <x v="3"/>
    <x v="0"/>
    <x v="0"/>
    <x v="0"/>
    <d v="1995-08-04T00:00:00"/>
    <n v="80701"/>
    <n v="80701"/>
    <n v="0"/>
    <x v="0"/>
    <x v="2"/>
    <d v="2005-04-14T00:00:00"/>
    <x v="0"/>
  </r>
  <r>
    <s v="Emp ID-322"/>
    <x v="6"/>
    <x v="6"/>
    <x v="3"/>
    <x v="1"/>
    <x v="21"/>
    <x v="2"/>
    <d v="2020-02-02T00:00:00"/>
    <n v="115417"/>
    <n v="122342"/>
    <n v="0.06"/>
    <x v="1"/>
    <x v="6"/>
    <m/>
    <x v="1"/>
  </r>
  <r>
    <s v="Emp ID-323"/>
    <x v="10"/>
    <x v="5"/>
    <x v="3"/>
    <x v="0"/>
    <x v="15"/>
    <x v="1"/>
    <d v="2019-06-19T00:00:00"/>
    <n v="88045"/>
    <n v="88045"/>
    <n v="0"/>
    <x v="0"/>
    <x v="2"/>
    <m/>
    <x v="1"/>
  </r>
  <r>
    <s v="Emp ID-324"/>
    <x v="3"/>
    <x v="0"/>
    <x v="2"/>
    <x v="0"/>
    <x v="15"/>
    <x v="1"/>
    <d v="2018-03-26T00:00:00"/>
    <n v="86478"/>
    <n v="91667"/>
    <n v="0.06"/>
    <x v="0"/>
    <x v="5"/>
    <m/>
    <x v="1"/>
  </r>
  <r>
    <s v="Emp ID-325"/>
    <x v="9"/>
    <x v="5"/>
    <x v="1"/>
    <x v="1"/>
    <x v="20"/>
    <x v="0"/>
    <d v="2016-01-18T00:00:00"/>
    <n v="180994"/>
    <n v="251582"/>
    <n v="0.39"/>
    <x v="0"/>
    <x v="0"/>
    <m/>
    <x v="1"/>
  </r>
  <r>
    <s v="Emp ID-326"/>
    <x v="13"/>
    <x v="2"/>
    <x v="0"/>
    <x v="0"/>
    <x v="0"/>
    <x v="0"/>
    <d v="2007-12-02T00:00:00"/>
    <n v="64494"/>
    <n v="64494"/>
    <n v="0"/>
    <x v="0"/>
    <x v="7"/>
    <m/>
    <x v="1"/>
  </r>
  <r>
    <s v="Emp ID-327"/>
    <x v="5"/>
    <x v="1"/>
    <x v="1"/>
    <x v="1"/>
    <x v="40"/>
    <x v="1"/>
    <d v="2002-10-21T00:00:00"/>
    <n v="70122"/>
    <n v="70122"/>
    <n v="0"/>
    <x v="0"/>
    <x v="7"/>
    <m/>
    <x v="1"/>
  </r>
  <r>
    <s v="Emp ID-328"/>
    <x v="2"/>
    <x v="3"/>
    <x v="1"/>
    <x v="1"/>
    <x v="7"/>
    <x v="2"/>
    <d v="2017-02-19T00:00:00"/>
    <n v="181854"/>
    <n v="234592"/>
    <n v="0.28999999999999998"/>
    <x v="0"/>
    <x v="0"/>
    <d v="2020-04-24T00:00:00"/>
    <x v="0"/>
  </r>
  <r>
    <s v="Emp ID-329"/>
    <x v="20"/>
    <x v="4"/>
    <x v="2"/>
    <x v="0"/>
    <x v="8"/>
    <x v="2"/>
    <d v="2016-10-21T00:00:00"/>
    <n v="52811"/>
    <n v="52811"/>
    <n v="0"/>
    <x v="0"/>
    <x v="4"/>
    <m/>
    <x v="1"/>
  </r>
  <r>
    <s v="Emp ID-330"/>
    <x v="28"/>
    <x v="0"/>
    <x v="0"/>
    <x v="0"/>
    <x v="21"/>
    <x v="2"/>
    <d v="2019-10-25T00:00:00"/>
    <n v="50111"/>
    <n v="50111"/>
    <n v="0"/>
    <x v="1"/>
    <x v="11"/>
    <m/>
    <x v="1"/>
  </r>
  <r>
    <s v="Emp ID-331"/>
    <x v="32"/>
    <x v="0"/>
    <x v="1"/>
    <x v="1"/>
    <x v="11"/>
    <x v="2"/>
    <d v="2016-05-07T00:00:00"/>
    <n v="71192"/>
    <n v="71192"/>
    <n v="0"/>
    <x v="0"/>
    <x v="5"/>
    <m/>
    <x v="1"/>
  </r>
  <r>
    <s v="Emp ID-332"/>
    <x v="2"/>
    <x v="1"/>
    <x v="1"/>
    <x v="0"/>
    <x v="2"/>
    <x v="1"/>
    <d v="2018-12-18T00:00:00"/>
    <n v="155351"/>
    <n v="186421"/>
    <n v="0.2"/>
    <x v="0"/>
    <x v="0"/>
    <m/>
    <x v="1"/>
  </r>
  <r>
    <s v="Emp ID-333"/>
    <x v="2"/>
    <x v="4"/>
    <x v="2"/>
    <x v="1"/>
    <x v="38"/>
    <x v="3"/>
    <d v="2006-11-28T00:00:00"/>
    <n v="161690"/>
    <n v="208580"/>
    <n v="0.28999999999999998"/>
    <x v="1"/>
    <x v="10"/>
    <m/>
    <x v="1"/>
  </r>
  <r>
    <s v="Emp ID-334"/>
    <x v="25"/>
    <x v="5"/>
    <x v="2"/>
    <x v="0"/>
    <x v="25"/>
    <x v="3"/>
    <d v="2017-02-10T00:00:00"/>
    <n v="60132"/>
    <n v="60132"/>
    <n v="0"/>
    <x v="1"/>
    <x v="1"/>
    <m/>
    <x v="1"/>
  </r>
  <r>
    <s v="Emp ID-335"/>
    <x v="23"/>
    <x v="0"/>
    <x v="1"/>
    <x v="1"/>
    <x v="36"/>
    <x v="1"/>
    <d v="1994-10-24T00:00:00"/>
    <n v="87216"/>
    <n v="87216"/>
    <n v="0"/>
    <x v="0"/>
    <x v="4"/>
    <m/>
    <x v="1"/>
  </r>
  <r>
    <s v="Emp ID-336"/>
    <x v="28"/>
    <x v="0"/>
    <x v="3"/>
    <x v="1"/>
    <x v="40"/>
    <x v="1"/>
    <d v="2020-04-23T00:00:00"/>
    <n v="50069"/>
    <n v="50069"/>
    <n v="0"/>
    <x v="0"/>
    <x v="0"/>
    <m/>
    <x v="1"/>
  </r>
  <r>
    <s v="Emp ID-337"/>
    <x v="2"/>
    <x v="0"/>
    <x v="2"/>
    <x v="0"/>
    <x v="3"/>
    <x v="2"/>
    <d v="2021-07-26T00:00:00"/>
    <n v="151108"/>
    <n v="184352"/>
    <n v="0.22"/>
    <x v="0"/>
    <x v="3"/>
    <m/>
    <x v="1"/>
  </r>
  <r>
    <s v="Emp ID-338"/>
    <x v="3"/>
    <x v="0"/>
    <x v="1"/>
    <x v="0"/>
    <x v="34"/>
    <x v="3"/>
    <d v="2005-10-15T00:00:00"/>
    <n v="67398"/>
    <n v="72116"/>
    <n v="7.0000000000000007E-2"/>
    <x v="0"/>
    <x v="3"/>
    <m/>
    <x v="1"/>
  </r>
  <r>
    <s v="Emp ID-339"/>
    <x v="25"/>
    <x v="5"/>
    <x v="0"/>
    <x v="0"/>
    <x v="40"/>
    <x v="1"/>
    <d v="2015-08-29T00:00:00"/>
    <n v="68488"/>
    <n v="68488"/>
    <n v="0"/>
    <x v="0"/>
    <x v="0"/>
    <m/>
    <x v="1"/>
  </r>
  <r>
    <s v="Emp ID-340"/>
    <x v="10"/>
    <x v="5"/>
    <x v="1"/>
    <x v="0"/>
    <x v="33"/>
    <x v="0"/>
    <d v="1998-07-16T00:00:00"/>
    <n v="92932"/>
    <n v="92932"/>
    <n v="0"/>
    <x v="0"/>
    <x v="7"/>
    <m/>
    <x v="1"/>
  </r>
  <r>
    <s v="Emp ID-341"/>
    <x v="7"/>
    <x v="2"/>
    <x v="3"/>
    <x v="0"/>
    <x v="9"/>
    <x v="3"/>
    <d v="2009-06-30T00:00:00"/>
    <n v="43363"/>
    <n v="43363"/>
    <n v="0"/>
    <x v="0"/>
    <x v="5"/>
    <m/>
    <x v="1"/>
  </r>
  <r>
    <s v="Emp ID-342"/>
    <x v="31"/>
    <x v="0"/>
    <x v="2"/>
    <x v="1"/>
    <x v="11"/>
    <x v="2"/>
    <d v="2017-02-14T00:00:00"/>
    <n v="95963"/>
    <n v="95963"/>
    <n v="0"/>
    <x v="1"/>
    <x v="11"/>
    <m/>
    <x v="1"/>
  </r>
  <r>
    <s v="Emp ID-343"/>
    <x v="6"/>
    <x v="2"/>
    <x v="2"/>
    <x v="0"/>
    <x v="0"/>
    <x v="0"/>
    <d v="2010-04-29T00:00:00"/>
    <n v="111038"/>
    <n v="116590"/>
    <n v="0.05"/>
    <x v="2"/>
    <x v="12"/>
    <m/>
    <x v="1"/>
  </r>
  <r>
    <s v="Emp ID-344"/>
    <x v="9"/>
    <x v="5"/>
    <x v="0"/>
    <x v="0"/>
    <x v="10"/>
    <x v="1"/>
    <d v="1996-06-14T00:00:00"/>
    <n v="200246"/>
    <n v="268330"/>
    <n v="0.34"/>
    <x v="0"/>
    <x v="7"/>
    <m/>
    <x v="1"/>
  </r>
  <r>
    <s v="Emp ID-345"/>
    <x v="9"/>
    <x v="0"/>
    <x v="3"/>
    <x v="0"/>
    <x v="35"/>
    <x v="1"/>
    <d v="2015-02-18T00:00:00"/>
    <n v="194871"/>
    <n v="263076"/>
    <n v="0.35"/>
    <x v="0"/>
    <x v="7"/>
    <m/>
    <x v="1"/>
  </r>
  <r>
    <s v="Emp ID-346"/>
    <x v="4"/>
    <x v="3"/>
    <x v="0"/>
    <x v="1"/>
    <x v="32"/>
    <x v="0"/>
    <d v="1994-09-15T00:00:00"/>
    <n v="98769"/>
    <n v="98769"/>
    <n v="0"/>
    <x v="2"/>
    <x v="9"/>
    <d v="2016-10-03T00:00:00"/>
    <x v="0"/>
  </r>
  <r>
    <s v="Emp ID-347"/>
    <x v="5"/>
    <x v="1"/>
    <x v="0"/>
    <x v="0"/>
    <x v="7"/>
    <x v="2"/>
    <d v="2018-05-19T00:00:00"/>
    <n v="65334"/>
    <n v="65334"/>
    <n v="0"/>
    <x v="2"/>
    <x v="9"/>
    <m/>
    <x v="1"/>
  </r>
  <r>
    <s v="Emp ID-348"/>
    <x v="1"/>
    <x v="0"/>
    <x v="1"/>
    <x v="0"/>
    <x v="6"/>
    <x v="2"/>
    <d v="2021-05-11T00:00:00"/>
    <n v="83934"/>
    <n v="83934"/>
    <n v="0"/>
    <x v="0"/>
    <x v="4"/>
    <m/>
    <x v="1"/>
  </r>
  <r>
    <s v="Emp ID-349"/>
    <x v="2"/>
    <x v="3"/>
    <x v="0"/>
    <x v="1"/>
    <x v="9"/>
    <x v="3"/>
    <d v="2016-09-03T00:00:00"/>
    <n v="150399"/>
    <n v="192511"/>
    <n v="0.28000000000000003"/>
    <x v="0"/>
    <x v="2"/>
    <m/>
    <x v="1"/>
  </r>
  <r>
    <s v="Emp ID-350"/>
    <x v="2"/>
    <x v="4"/>
    <x v="0"/>
    <x v="1"/>
    <x v="17"/>
    <x v="3"/>
    <d v="2012-05-19T00:00:00"/>
    <n v="160280"/>
    <n v="190733"/>
    <n v="0.19"/>
    <x v="1"/>
    <x v="10"/>
    <m/>
    <x v="1"/>
  </r>
  <r>
    <s v="Emp ID-351"/>
    <x v="20"/>
    <x v="4"/>
    <x v="2"/>
    <x v="1"/>
    <x v="4"/>
    <x v="0"/>
    <d v="1997-04-28T00:00:00"/>
    <n v="54051"/>
    <n v="54051"/>
    <n v="0"/>
    <x v="0"/>
    <x v="4"/>
    <d v="1998-10-11T00:00:00"/>
    <x v="0"/>
  </r>
  <r>
    <s v="Emp ID-352"/>
    <x v="2"/>
    <x v="5"/>
    <x v="0"/>
    <x v="0"/>
    <x v="1"/>
    <x v="0"/>
    <d v="2003-04-15T00:00:00"/>
    <n v="150699"/>
    <n v="194402"/>
    <n v="0.28999999999999998"/>
    <x v="2"/>
    <x v="12"/>
    <m/>
    <x v="1"/>
  </r>
  <r>
    <s v="Emp ID-353"/>
    <x v="13"/>
    <x v="6"/>
    <x v="2"/>
    <x v="1"/>
    <x v="17"/>
    <x v="3"/>
    <d v="2013-03-30T00:00:00"/>
    <n v="69570"/>
    <n v="69570"/>
    <n v="0"/>
    <x v="0"/>
    <x v="4"/>
    <m/>
    <x v="1"/>
  </r>
  <r>
    <s v="Emp ID-354"/>
    <x v="31"/>
    <x v="0"/>
    <x v="1"/>
    <x v="0"/>
    <x v="23"/>
    <x v="2"/>
    <d v="2019-03-29T00:00:00"/>
    <n v="86774"/>
    <n v="86774"/>
    <n v="0"/>
    <x v="1"/>
    <x v="11"/>
    <m/>
    <x v="1"/>
  </r>
  <r>
    <s v="Emp ID-355"/>
    <x v="16"/>
    <x v="4"/>
    <x v="1"/>
    <x v="1"/>
    <x v="37"/>
    <x v="1"/>
    <d v="2001-03-29T00:00:00"/>
    <n v="57606"/>
    <n v="57606"/>
    <n v="0"/>
    <x v="0"/>
    <x v="4"/>
    <m/>
    <x v="1"/>
  </r>
  <r>
    <s v="Emp ID-356"/>
    <x v="0"/>
    <x v="2"/>
    <x v="3"/>
    <x v="0"/>
    <x v="35"/>
    <x v="1"/>
    <d v="2001-09-10T00:00:00"/>
    <n v="125730"/>
    <n v="139560"/>
    <n v="0.11"/>
    <x v="1"/>
    <x v="1"/>
    <m/>
    <x v="1"/>
  </r>
  <r>
    <s v="Emp ID-357"/>
    <x v="27"/>
    <x v="0"/>
    <x v="0"/>
    <x v="0"/>
    <x v="10"/>
    <x v="1"/>
    <d v="2012-02-25T00:00:00"/>
    <n v="64170"/>
    <n v="64170"/>
    <n v="0"/>
    <x v="0"/>
    <x v="7"/>
    <m/>
    <x v="1"/>
  </r>
  <r>
    <s v="Emp ID-358"/>
    <x v="15"/>
    <x v="4"/>
    <x v="2"/>
    <x v="1"/>
    <x v="16"/>
    <x v="0"/>
    <d v="1998-01-21T00:00:00"/>
    <n v="72303"/>
    <n v="72303"/>
    <n v="0"/>
    <x v="0"/>
    <x v="3"/>
    <m/>
    <x v="1"/>
  </r>
  <r>
    <s v="Emp ID-359"/>
    <x v="6"/>
    <x v="1"/>
    <x v="0"/>
    <x v="1"/>
    <x v="9"/>
    <x v="3"/>
    <d v="2012-07-26T00:00:00"/>
    <n v="105891"/>
    <n v="113303"/>
    <n v="7.0000000000000007E-2"/>
    <x v="0"/>
    <x v="0"/>
    <m/>
    <x v="1"/>
  </r>
  <r>
    <s v="Emp ID-360"/>
    <x v="9"/>
    <x v="6"/>
    <x v="2"/>
    <x v="1"/>
    <x v="31"/>
    <x v="3"/>
    <d v="2021-08-25T00:00:00"/>
    <n v="255230"/>
    <n v="347113"/>
    <n v="0.36"/>
    <x v="0"/>
    <x v="5"/>
    <m/>
    <x v="1"/>
  </r>
  <r>
    <s v="Emp ID-361"/>
    <x v="13"/>
    <x v="1"/>
    <x v="1"/>
    <x v="0"/>
    <x v="16"/>
    <x v="0"/>
    <d v="1992-06-15T00:00:00"/>
    <n v="59591"/>
    <n v="59591"/>
    <n v="0"/>
    <x v="2"/>
    <x v="12"/>
    <m/>
    <x v="1"/>
  </r>
  <r>
    <s v="Emp ID-362"/>
    <x v="9"/>
    <x v="4"/>
    <x v="1"/>
    <x v="0"/>
    <x v="27"/>
    <x v="1"/>
    <d v="2012-07-23T00:00:00"/>
    <n v="187048"/>
    <n v="246903"/>
    <n v="0.32"/>
    <x v="1"/>
    <x v="11"/>
    <m/>
    <x v="1"/>
  </r>
  <r>
    <s v="Emp ID-363"/>
    <x v="13"/>
    <x v="2"/>
    <x v="2"/>
    <x v="0"/>
    <x v="26"/>
    <x v="1"/>
    <d v="2002-02-09T00:00:00"/>
    <n v="58605"/>
    <n v="58605"/>
    <n v="0"/>
    <x v="0"/>
    <x v="3"/>
    <m/>
    <x v="1"/>
  </r>
  <r>
    <s v="Emp ID-364"/>
    <x v="2"/>
    <x v="5"/>
    <x v="3"/>
    <x v="0"/>
    <x v="33"/>
    <x v="0"/>
    <d v="2017-01-04T00:00:00"/>
    <n v="178502"/>
    <n v="214202"/>
    <n v="0.2"/>
    <x v="0"/>
    <x v="5"/>
    <m/>
    <x v="1"/>
  </r>
  <r>
    <s v="Emp ID-365"/>
    <x v="6"/>
    <x v="3"/>
    <x v="2"/>
    <x v="1"/>
    <x v="20"/>
    <x v="0"/>
    <d v="2015-07-29T00:00:00"/>
    <n v="103724"/>
    <n v="108910"/>
    <n v="0.05"/>
    <x v="1"/>
    <x v="6"/>
    <m/>
    <x v="1"/>
  </r>
  <r>
    <s v="Emp ID-366"/>
    <x v="2"/>
    <x v="5"/>
    <x v="0"/>
    <x v="0"/>
    <x v="17"/>
    <x v="3"/>
    <d v="2008-03-21T00:00:00"/>
    <n v="156277"/>
    <n v="190658"/>
    <n v="0.22"/>
    <x v="2"/>
    <x v="8"/>
    <m/>
    <x v="1"/>
  </r>
  <r>
    <s v="Emp ID-367"/>
    <x v="17"/>
    <x v="5"/>
    <x v="0"/>
    <x v="0"/>
    <x v="23"/>
    <x v="2"/>
    <d v="2017-12-17T00:00:00"/>
    <n v="87744"/>
    <n v="87744"/>
    <n v="0"/>
    <x v="2"/>
    <x v="12"/>
    <m/>
    <x v="1"/>
  </r>
  <r>
    <s v="Emp ID-368"/>
    <x v="13"/>
    <x v="2"/>
    <x v="1"/>
    <x v="1"/>
    <x v="23"/>
    <x v="2"/>
    <d v="2019-03-18T00:00:00"/>
    <n v="54714"/>
    <n v="54714"/>
    <n v="0"/>
    <x v="0"/>
    <x v="7"/>
    <m/>
    <x v="1"/>
  </r>
  <r>
    <s v="Emp ID-369"/>
    <x v="14"/>
    <x v="0"/>
    <x v="3"/>
    <x v="0"/>
    <x v="15"/>
    <x v="1"/>
    <d v="2013-08-25T00:00:00"/>
    <n v="99169"/>
    <n v="99169"/>
    <n v="0"/>
    <x v="1"/>
    <x v="10"/>
    <m/>
    <x v="1"/>
  </r>
  <r>
    <s v="Emp ID-370"/>
    <x v="0"/>
    <x v="3"/>
    <x v="0"/>
    <x v="0"/>
    <x v="0"/>
    <x v="0"/>
    <d v="2006-06-20T00:00:00"/>
    <n v="142628"/>
    <n v="159743"/>
    <n v="0.12"/>
    <x v="1"/>
    <x v="1"/>
    <m/>
    <x v="1"/>
  </r>
  <r>
    <s v="Emp ID-371"/>
    <x v="4"/>
    <x v="6"/>
    <x v="1"/>
    <x v="0"/>
    <x v="29"/>
    <x v="2"/>
    <d v="2014-04-27T00:00:00"/>
    <n v="75869"/>
    <n v="75869"/>
    <n v="0"/>
    <x v="2"/>
    <x v="12"/>
    <m/>
    <x v="1"/>
  </r>
  <r>
    <s v="Emp ID-372"/>
    <x v="23"/>
    <x v="0"/>
    <x v="1"/>
    <x v="0"/>
    <x v="13"/>
    <x v="4"/>
    <d v="2018-05-14T00:00:00"/>
    <n v="60985"/>
    <n v="60985"/>
    <n v="0"/>
    <x v="0"/>
    <x v="0"/>
    <m/>
    <x v="1"/>
  </r>
  <r>
    <s v="Emp ID-373"/>
    <x v="0"/>
    <x v="0"/>
    <x v="0"/>
    <x v="0"/>
    <x v="33"/>
    <x v="0"/>
    <d v="2010-07-24T00:00:00"/>
    <n v="126911"/>
    <n v="139602"/>
    <n v="0.1"/>
    <x v="1"/>
    <x v="6"/>
    <m/>
    <x v="1"/>
  </r>
  <r>
    <s v="Emp ID-374"/>
    <x v="9"/>
    <x v="1"/>
    <x v="0"/>
    <x v="1"/>
    <x v="16"/>
    <x v="0"/>
    <d v="2004-02-25T00:00:00"/>
    <n v="216949"/>
    <n v="286373"/>
    <n v="0.32"/>
    <x v="1"/>
    <x v="6"/>
    <m/>
    <x v="1"/>
  </r>
  <r>
    <s v="Emp ID-375"/>
    <x v="2"/>
    <x v="5"/>
    <x v="1"/>
    <x v="1"/>
    <x v="26"/>
    <x v="1"/>
    <d v="2012-10-22T00:00:00"/>
    <n v="168510"/>
    <n v="217378"/>
    <n v="0.28999999999999998"/>
    <x v="0"/>
    <x v="0"/>
    <m/>
    <x v="1"/>
  </r>
  <r>
    <s v="Emp ID-376"/>
    <x v="17"/>
    <x v="5"/>
    <x v="2"/>
    <x v="0"/>
    <x v="9"/>
    <x v="3"/>
    <d v="2016-03-14T00:00:00"/>
    <n v="85870"/>
    <n v="85870"/>
    <n v="0"/>
    <x v="2"/>
    <x v="12"/>
    <m/>
    <x v="1"/>
  </r>
  <r>
    <s v="Emp ID-377"/>
    <x v="4"/>
    <x v="6"/>
    <x v="3"/>
    <x v="0"/>
    <x v="30"/>
    <x v="1"/>
    <d v="2002-01-15T00:00:00"/>
    <n v="86510"/>
    <n v="86510"/>
    <n v="0"/>
    <x v="1"/>
    <x v="10"/>
    <d v="2003-01-02T00:00:00"/>
    <x v="0"/>
  </r>
  <r>
    <s v="Emp ID-378"/>
    <x v="6"/>
    <x v="1"/>
    <x v="2"/>
    <x v="0"/>
    <x v="31"/>
    <x v="3"/>
    <d v="2017-09-21T00:00:00"/>
    <n v="119647"/>
    <n v="130415"/>
    <n v="0.09"/>
    <x v="2"/>
    <x v="12"/>
    <m/>
    <x v="1"/>
  </r>
  <r>
    <s v="Emp ID-379"/>
    <x v="14"/>
    <x v="0"/>
    <x v="0"/>
    <x v="1"/>
    <x v="39"/>
    <x v="0"/>
    <d v="2001-04-15T00:00:00"/>
    <n v="80921"/>
    <n v="80921"/>
    <n v="0"/>
    <x v="0"/>
    <x v="7"/>
    <m/>
    <x v="1"/>
  </r>
  <r>
    <s v="Emp ID-380"/>
    <x v="11"/>
    <x v="5"/>
    <x v="0"/>
    <x v="0"/>
    <x v="22"/>
    <x v="0"/>
    <d v="2010-01-15T00:00:00"/>
    <n v="98110"/>
    <n v="110864"/>
    <n v="0.13"/>
    <x v="0"/>
    <x v="2"/>
    <m/>
    <x v="1"/>
  </r>
  <r>
    <s v="Emp ID-381"/>
    <x v="23"/>
    <x v="0"/>
    <x v="2"/>
    <x v="0"/>
    <x v="1"/>
    <x v="0"/>
    <d v="2017-10-20T00:00:00"/>
    <n v="86831"/>
    <n v="86831"/>
    <n v="0"/>
    <x v="0"/>
    <x v="3"/>
    <m/>
    <x v="1"/>
  </r>
  <r>
    <s v="Emp ID-382"/>
    <x v="1"/>
    <x v="0"/>
    <x v="2"/>
    <x v="0"/>
    <x v="37"/>
    <x v="1"/>
    <d v="2010-09-10T00:00:00"/>
    <n v="72826"/>
    <n v="72826"/>
    <n v="0"/>
    <x v="1"/>
    <x v="10"/>
    <m/>
    <x v="1"/>
  </r>
  <r>
    <s v="Emp ID-383"/>
    <x v="2"/>
    <x v="6"/>
    <x v="1"/>
    <x v="0"/>
    <x v="14"/>
    <x v="0"/>
    <d v="2011-02-14T00:00:00"/>
    <n v="171217"/>
    <n v="203748"/>
    <n v="0.19"/>
    <x v="0"/>
    <x v="0"/>
    <m/>
    <x v="1"/>
  </r>
  <r>
    <s v="Emp ID-384"/>
    <x v="6"/>
    <x v="0"/>
    <x v="0"/>
    <x v="0"/>
    <x v="4"/>
    <x v="0"/>
    <d v="2020-04-27T00:00:00"/>
    <n v="103058"/>
    <n v="110272"/>
    <n v="7.0000000000000007E-2"/>
    <x v="0"/>
    <x v="7"/>
    <m/>
    <x v="1"/>
  </r>
  <r>
    <s v="Emp ID-385"/>
    <x v="6"/>
    <x v="1"/>
    <x v="2"/>
    <x v="1"/>
    <x v="27"/>
    <x v="1"/>
    <d v="2014-08-07T00:00:00"/>
    <n v="117062"/>
    <n v="125256"/>
    <n v="7.0000000000000007E-2"/>
    <x v="0"/>
    <x v="3"/>
    <m/>
    <x v="1"/>
  </r>
  <r>
    <s v="Emp ID-386"/>
    <x v="0"/>
    <x v="3"/>
    <x v="2"/>
    <x v="1"/>
    <x v="28"/>
    <x v="3"/>
    <d v="2019-01-23T00:00:00"/>
    <n v="159031"/>
    <n v="174934"/>
    <n v="0.1"/>
    <x v="0"/>
    <x v="4"/>
    <m/>
    <x v="1"/>
  </r>
  <r>
    <s v="Emp ID-387"/>
    <x v="0"/>
    <x v="0"/>
    <x v="0"/>
    <x v="0"/>
    <x v="37"/>
    <x v="1"/>
    <d v="2004-01-14T00:00:00"/>
    <n v="125086"/>
    <n v="137595"/>
    <n v="0.1"/>
    <x v="2"/>
    <x v="12"/>
    <m/>
    <x v="1"/>
  </r>
  <r>
    <s v="Emp ID-388"/>
    <x v="27"/>
    <x v="0"/>
    <x v="2"/>
    <x v="1"/>
    <x v="19"/>
    <x v="3"/>
    <d v="2016-04-07T00:00:00"/>
    <n v="67976"/>
    <n v="67976"/>
    <n v="0"/>
    <x v="0"/>
    <x v="0"/>
    <m/>
    <x v="1"/>
  </r>
  <r>
    <s v="Emp ID-389"/>
    <x v="13"/>
    <x v="2"/>
    <x v="2"/>
    <x v="1"/>
    <x v="11"/>
    <x v="2"/>
    <d v="2021-04-22T00:00:00"/>
    <n v="74215"/>
    <n v="74215"/>
    <n v="0"/>
    <x v="0"/>
    <x v="3"/>
    <m/>
    <x v="1"/>
  </r>
  <r>
    <s v="Emp ID-390"/>
    <x v="2"/>
    <x v="3"/>
    <x v="1"/>
    <x v="1"/>
    <x v="0"/>
    <x v="0"/>
    <d v="2010-06-11T00:00:00"/>
    <n v="187389"/>
    <n v="234236"/>
    <n v="0.25"/>
    <x v="1"/>
    <x v="11"/>
    <m/>
    <x v="1"/>
  </r>
  <r>
    <s v="Emp ID-391"/>
    <x v="0"/>
    <x v="4"/>
    <x v="2"/>
    <x v="0"/>
    <x v="12"/>
    <x v="3"/>
    <d v="2008-10-26T00:00:00"/>
    <n v="131841"/>
    <n v="148980"/>
    <n v="0.13"/>
    <x v="0"/>
    <x v="7"/>
    <m/>
    <x v="1"/>
  </r>
  <r>
    <s v="Emp ID-392"/>
    <x v="4"/>
    <x v="3"/>
    <x v="0"/>
    <x v="1"/>
    <x v="8"/>
    <x v="2"/>
    <d v="2011-07-26T00:00:00"/>
    <n v="97231"/>
    <n v="97231"/>
    <n v="0"/>
    <x v="1"/>
    <x v="10"/>
    <m/>
    <x v="1"/>
  </r>
  <r>
    <s v="Emp ID-393"/>
    <x v="0"/>
    <x v="2"/>
    <x v="3"/>
    <x v="0"/>
    <x v="12"/>
    <x v="3"/>
    <d v="2004-03-14T00:00:00"/>
    <n v="155004"/>
    <n v="173604"/>
    <n v="0.12"/>
    <x v="0"/>
    <x v="5"/>
    <m/>
    <x v="1"/>
  </r>
  <r>
    <s v="Emp ID-394"/>
    <x v="28"/>
    <x v="0"/>
    <x v="1"/>
    <x v="1"/>
    <x v="28"/>
    <x v="3"/>
    <d v="2007-07-30T00:00:00"/>
    <n v="41859"/>
    <n v="41859"/>
    <n v="0"/>
    <x v="0"/>
    <x v="0"/>
    <m/>
    <x v="1"/>
  </r>
  <r>
    <s v="Emp ID-395"/>
    <x v="12"/>
    <x v="0"/>
    <x v="1"/>
    <x v="1"/>
    <x v="34"/>
    <x v="3"/>
    <d v="2006-09-24T00:00:00"/>
    <n v="52733"/>
    <n v="52733"/>
    <n v="0"/>
    <x v="0"/>
    <x v="2"/>
    <m/>
    <x v="1"/>
  </r>
  <r>
    <s v="Emp ID-396"/>
    <x v="9"/>
    <x v="4"/>
    <x v="3"/>
    <x v="1"/>
    <x v="11"/>
    <x v="2"/>
    <d v="2015-09-03T00:00:00"/>
    <n v="250953"/>
    <n v="336277"/>
    <n v="0.34"/>
    <x v="0"/>
    <x v="7"/>
    <m/>
    <x v="1"/>
  </r>
  <r>
    <s v="Emp ID-397"/>
    <x v="2"/>
    <x v="6"/>
    <x v="0"/>
    <x v="1"/>
    <x v="37"/>
    <x v="1"/>
    <d v="1999-02-19T00:00:00"/>
    <n v="191807"/>
    <n v="232086"/>
    <n v="0.21"/>
    <x v="1"/>
    <x v="1"/>
    <m/>
    <x v="1"/>
  </r>
  <r>
    <s v="Emp ID-398"/>
    <x v="1"/>
    <x v="0"/>
    <x v="2"/>
    <x v="1"/>
    <x v="34"/>
    <x v="3"/>
    <d v="2014-06-23T00:00:00"/>
    <n v="64677"/>
    <n v="64677"/>
    <n v="0"/>
    <x v="1"/>
    <x v="1"/>
    <m/>
    <x v="1"/>
  </r>
  <r>
    <s v="Emp ID-399"/>
    <x v="0"/>
    <x v="0"/>
    <x v="3"/>
    <x v="1"/>
    <x v="30"/>
    <x v="1"/>
    <d v="2004-09-14T00:00:00"/>
    <n v="130274"/>
    <n v="144604"/>
    <n v="0.11"/>
    <x v="0"/>
    <x v="2"/>
    <m/>
    <x v="1"/>
  </r>
  <r>
    <s v="Emp ID-400"/>
    <x v="23"/>
    <x v="0"/>
    <x v="0"/>
    <x v="1"/>
    <x v="17"/>
    <x v="3"/>
    <d v="2017-07-06T00:00:00"/>
    <n v="96331"/>
    <n v="96331"/>
    <n v="0"/>
    <x v="1"/>
    <x v="6"/>
    <m/>
    <x v="1"/>
  </r>
  <r>
    <s v="Emp ID-401"/>
    <x v="0"/>
    <x v="2"/>
    <x v="0"/>
    <x v="0"/>
    <x v="10"/>
    <x v="1"/>
    <d v="2006-04-28T00:00:00"/>
    <n v="150758"/>
    <n v="170357"/>
    <n v="0.13"/>
    <x v="0"/>
    <x v="2"/>
    <d v="2007-08-16T00:00:00"/>
    <x v="0"/>
  </r>
  <r>
    <s v="Emp ID-402"/>
    <x v="2"/>
    <x v="5"/>
    <x v="3"/>
    <x v="1"/>
    <x v="30"/>
    <x v="1"/>
    <d v="2014-07-19T00:00:00"/>
    <n v="173629"/>
    <n v="210091"/>
    <n v="0.21"/>
    <x v="2"/>
    <x v="12"/>
    <m/>
    <x v="1"/>
  </r>
  <r>
    <s v="Emp ID-403"/>
    <x v="29"/>
    <x v="0"/>
    <x v="3"/>
    <x v="1"/>
    <x v="0"/>
    <x v="0"/>
    <d v="1998-05-04T00:00:00"/>
    <n v="62174"/>
    <n v="62174"/>
    <n v="0"/>
    <x v="0"/>
    <x v="2"/>
    <m/>
    <x v="1"/>
  </r>
  <r>
    <s v="Emp ID-404"/>
    <x v="13"/>
    <x v="3"/>
    <x v="1"/>
    <x v="1"/>
    <x v="19"/>
    <x v="3"/>
    <d v="2017-10-20T00:00:00"/>
    <n v="56555"/>
    <n v="56555"/>
    <n v="0"/>
    <x v="0"/>
    <x v="3"/>
    <m/>
    <x v="1"/>
  </r>
  <r>
    <s v="Emp ID-405"/>
    <x v="13"/>
    <x v="6"/>
    <x v="1"/>
    <x v="1"/>
    <x v="35"/>
    <x v="1"/>
    <d v="2005-09-28T00:00:00"/>
    <n v="74655"/>
    <n v="74655"/>
    <n v="0"/>
    <x v="0"/>
    <x v="5"/>
    <m/>
    <x v="1"/>
  </r>
  <r>
    <s v="Emp ID-406"/>
    <x v="27"/>
    <x v="0"/>
    <x v="3"/>
    <x v="1"/>
    <x v="35"/>
    <x v="1"/>
    <d v="2003-08-11T00:00:00"/>
    <n v="93017"/>
    <n v="93017"/>
    <n v="0"/>
    <x v="0"/>
    <x v="0"/>
    <m/>
    <x v="1"/>
  </r>
  <r>
    <s v="Emp ID-407"/>
    <x v="4"/>
    <x v="6"/>
    <x v="1"/>
    <x v="1"/>
    <x v="10"/>
    <x v="1"/>
    <d v="2012-04-14T00:00:00"/>
    <n v="82300"/>
    <n v="82300"/>
    <n v="0"/>
    <x v="1"/>
    <x v="11"/>
    <m/>
    <x v="1"/>
  </r>
  <r>
    <s v="Emp ID-408"/>
    <x v="18"/>
    <x v="5"/>
    <x v="0"/>
    <x v="0"/>
    <x v="30"/>
    <x v="1"/>
    <d v="2008-01-24T00:00:00"/>
    <n v="91621"/>
    <n v="91621"/>
    <n v="0"/>
    <x v="0"/>
    <x v="2"/>
    <m/>
    <x v="1"/>
  </r>
  <r>
    <s v="Emp ID-409"/>
    <x v="4"/>
    <x v="6"/>
    <x v="0"/>
    <x v="1"/>
    <x v="29"/>
    <x v="2"/>
    <d v="2014-11-30T00:00:00"/>
    <n v="91280"/>
    <n v="91280"/>
    <n v="0"/>
    <x v="0"/>
    <x v="4"/>
    <m/>
    <x v="1"/>
  </r>
  <r>
    <s v="Emp ID-410"/>
    <x v="20"/>
    <x v="4"/>
    <x v="1"/>
    <x v="0"/>
    <x v="34"/>
    <x v="3"/>
    <d v="2020-09-18T00:00:00"/>
    <n v="47071"/>
    <n v="47071"/>
    <n v="0"/>
    <x v="0"/>
    <x v="7"/>
    <m/>
    <x v="1"/>
  </r>
  <r>
    <s v="Emp ID-411"/>
    <x v="30"/>
    <x v="0"/>
    <x v="1"/>
    <x v="0"/>
    <x v="0"/>
    <x v="0"/>
    <d v="2011-11-21T00:00:00"/>
    <n v="81218"/>
    <n v="81218"/>
    <n v="0"/>
    <x v="0"/>
    <x v="2"/>
    <m/>
    <x v="1"/>
  </r>
  <r>
    <s v="Emp ID-412"/>
    <x v="9"/>
    <x v="5"/>
    <x v="1"/>
    <x v="0"/>
    <x v="2"/>
    <x v="1"/>
    <d v="2008-10-13T00:00:00"/>
    <n v="181801"/>
    <n v="254521"/>
    <n v="0.4"/>
    <x v="1"/>
    <x v="1"/>
    <d v="2019-12-11T00:00:00"/>
    <x v="0"/>
  </r>
  <r>
    <s v="Emp ID-413"/>
    <x v="5"/>
    <x v="1"/>
    <x v="1"/>
    <x v="0"/>
    <x v="3"/>
    <x v="2"/>
    <d v="2021-11-21T00:00:00"/>
    <n v="63137"/>
    <n v="63137"/>
    <n v="0"/>
    <x v="0"/>
    <x v="2"/>
    <m/>
    <x v="1"/>
  </r>
  <r>
    <s v="Emp ID-414"/>
    <x v="9"/>
    <x v="5"/>
    <x v="1"/>
    <x v="0"/>
    <x v="0"/>
    <x v="0"/>
    <d v="2018-09-02T00:00:00"/>
    <n v="221465"/>
    <n v="296763"/>
    <n v="0.34"/>
    <x v="1"/>
    <x v="11"/>
    <m/>
    <x v="1"/>
  </r>
  <r>
    <s v="Emp ID-415"/>
    <x v="10"/>
    <x v="5"/>
    <x v="0"/>
    <x v="0"/>
    <x v="2"/>
    <x v="1"/>
    <d v="2013-05-10T00:00:00"/>
    <n v="79388"/>
    <n v="79388"/>
    <n v="0"/>
    <x v="0"/>
    <x v="5"/>
    <d v="2019-08-04T00:00:00"/>
    <x v="0"/>
  </r>
  <r>
    <s v="Emp ID-416"/>
    <x v="29"/>
    <x v="0"/>
    <x v="1"/>
    <x v="0"/>
    <x v="21"/>
    <x v="2"/>
    <d v="2018-01-22T00:00:00"/>
    <n v="68176"/>
    <n v="68176"/>
    <n v="0"/>
    <x v="0"/>
    <x v="0"/>
    <m/>
    <x v="1"/>
  </r>
  <r>
    <s v="Emp ID-417"/>
    <x v="0"/>
    <x v="2"/>
    <x v="0"/>
    <x v="0"/>
    <x v="38"/>
    <x v="3"/>
    <d v="2019-10-18T00:00:00"/>
    <n v="122829"/>
    <n v="136340"/>
    <n v="0.11"/>
    <x v="0"/>
    <x v="2"/>
    <m/>
    <x v="1"/>
  </r>
  <r>
    <s v="Emp ID-418"/>
    <x v="0"/>
    <x v="6"/>
    <x v="2"/>
    <x v="0"/>
    <x v="11"/>
    <x v="2"/>
    <d v="2019-08-18T00:00:00"/>
    <n v="126353"/>
    <n v="141515"/>
    <n v="0.12"/>
    <x v="1"/>
    <x v="6"/>
    <m/>
    <x v="1"/>
  </r>
  <r>
    <s v="Emp ID-419"/>
    <x v="2"/>
    <x v="3"/>
    <x v="2"/>
    <x v="0"/>
    <x v="0"/>
    <x v="0"/>
    <d v="2010-10-17T00:00:00"/>
    <n v="188727"/>
    <n v="232134"/>
    <n v="0.23"/>
    <x v="1"/>
    <x v="11"/>
    <m/>
    <x v="1"/>
  </r>
  <r>
    <s v="Emp ID-420"/>
    <x v="4"/>
    <x v="1"/>
    <x v="0"/>
    <x v="1"/>
    <x v="27"/>
    <x v="1"/>
    <d v="1994-02-18T00:00:00"/>
    <n v="99624"/>
    <n v="99624"/>
    <n v="0"/>
    <x v="0"/>
    <x v="0"/>
    <m/>
    <x v="1"/>
  </r>
  <r>
    <s v="Emp ID-421"/>
    <x v="6"/>
    <x v="1"/>
    <x v="2"/>
    <x v="0"/>
    <x v="0"/>
    <x v="0"/>
    <d v="2012-10-20T00:00:00"/>
    <n v="108686"/>
    <n v="115207"/>
    <n v="0.06"/>
    <x v="0"/>
    <x v="7"/>
    <m/>
    <x v="1"/>
  </r>
  <r>
    <s v="Emp ID-422"/>
    <x v="7"/>
    <x v="3"/>
    <x v="3"/>
    <x v="0"/>
    <x v="16"/>
    <x v="0"/>
    <d v="1995-04-13T00:00:00"/>
    <n v="50857"/>
    <n v="50857"/>
    <n v="0"/>
    <x v="2"/>
    <x v="8"/>
    <m/>
    <x v="1"/>
  </r>
  <r>
    <s v="Emp ID-423"/>
    <x v="19"/>
    <x v="5"/>
    <x v="1"/>
    <x v="1"/>
    <x v="40"/>
    <x v="1"/>
    <d v="2001-01-02T00:00:00"/>
    <n v="120628"/>
    <n v="120628"/>
    <n v="0"/>
    <x v="0"/>
    <x v="2"/>
    <m/>
    <x v="1"/>
  </r>
  <r>
    <s v="Emp ID-424"/>
    <x v="2"/>
    <x v="1"/>
    <x v="2"/>
    <x v="0"/>
    <x v="20"/>
    <x v="0"/>
    <d v="2020-06-14T00:00:00"/>
    <n v="181216"/>
    <n v="230144"/>
    <n v="0.27"/>
    <x v="0"/>
    <x v="7"/>
    <m/>
    <x v="1"/>
  </r>
  <r>
    <s v="Emp ID-425"/>
    <x v="7"/>
    <x v="2"/>
    <x v="3"/>
    <x v="0"/>
    <x v="20"/>
    <x v="0"/>
    <d v="2012-03-16T00:00:00"/>
    <n v="46081"/>
    <n v="46081"/>
    <n v="0"/>
    <x v="0"/>
    <x v="2"/>
    <m/>
    <x v="1"/>
  </r>
  <r>
    <s v="Emp ID-426"/>
    <x v="0"/>
    <x v="3"/>
    <x v="3"/>
    <x v="0"/>
    <x v="0"/>
    <x v="0"/>
    <d v="2004-05-28T00:00:00"/>
    <n v="159885"/>
    <n v="179071"/>
    <n v="0.12"/>
    <x v="0"/>
    <x v="7"/>
    <m/>
    <x v="1"/>
  </r>
  <r>
    <s v="Emp ID-427"/>
    <x v="2"/>
    <x v="1"/>
    <x v="1"/>
    <x v="0"/>
    <x v="0"/>
    <x v="0"/>
    <d v="1995-10-29T00:00:00"/>
    <n v="153271"/>
    <n v="176262"/>
    <n v="0.15"/>
    <x v="0"/>
    <x v="5"/>
    <m/>
    <x v="1"/>
  </r>
  <r>
    <s v="Emp ID-428"/>
    <x v="6"/>
    <x v="4"/>
    <x v="1"/>
    <x v="1"/>
    <x v="34"/>
    <x v="3"/>
    <d v="2009-12-12T00:00:00"/>
    <n v="114242"/>
    <n v="123381"/>
    <n v="0.08"/>
    <x v="0"/>
    <x v="3"/>
    <m/>
    <x v="1"/>
  </r>
  <r>
    <s v="Emp ID-429"/>
    <x v="12"/>
    <x v="0"/>
    <x v="2"/>
    <x v="0"/>
    <x v="38"/>
    <x v="3"/>
    <d v="2020-11-18T00:00:00"/>
    <n v="48415"/>
    <n v="48415"/>
    <n v="0"/>
    <x v="1"/>
    <x v="6"/>
    <m/>
    <x v="1"/>
  </r>
  <r>
    <s v="Emp ID-430"/>
    <x v="25"/>
    <x v="5"/>
    <x v="1"/>
    <x v="1"/>
    <x v="25"/>
    <x v="3"/>
    <d v="2017-05-23T00:00:00"/>
    <n v="65566"/>
    <n v="65566"/>
    <n v="0"/>
    <x v="0"/>
    <x v="0"/>
    <m/>
    <x v="1"/>
  </r>
  <r>
    <s v="Emp ID-431"/>
    <x v="0"/>
    <x v="6"/>
    <x v="0"/>
    <x v="1"/>
    <x v="15"/>
    <x v="1"/>
    <d v="2001-05-03T00:00:00"/>
    <n v="147752"/>
    <n v="165482"/>
    <n v="0.12"/>
    <x v="1"/>
    <x v="6"/>
    <d v="2011-12-26T00:00:00"/>
    <x v="0"/>
  </r>
  <r>
    <s v="Emp ID-432"/>
    <x v="0"/>
    <x v="6"/>
    <x v="1"/>
    <x v="0"/>
    <x v="6"/>
    <x v="2"/>
    <d v="2021-09-14T00:00:00"/>
    <n v="136810"/>
    <n v="155963"/>
    <n v="0.14000000000000001"/>
    <x v="1"/>
    <x v="1"/>
    <m/>
    <x v="1"/>
  </r>
  <r>
    <s v="Emp ID-433"/>
    <x v="7"/>
    <x v="1"/>
    <x v="3"/>
    <x v="1"/>
    <x v="40"/>
    <x v="1"/>
    <d v="2013-02-28T00:00:00"/>
    <n v="54635"/>
    <n v="54635"/>
    <n v="0"/>
    <x v="0"/>
    <x v="2"/>
    <m/>
    <x v="1"/>
  </r>
  <r>
    <s v="Emp ID-434"/>
    <x v="21"/>
    <x v="0"/>
    <x v="3"/>
    <x v="0"/>
    <x v="34"/>
    <x v="3"/>
    <d v="2020-02-05T00:00:00"/>
    <n v="96636"/>
    <n v="96636"/>
    <n v="0"/>
    <x v="0"/>
    <x v="7"/>
    <m/>
    <x v="1"/>
  </r>
  <r>
    <s v="Emp ID-435"/>
    <x v="27"/>
    <x v="0"/>
    <x v="1"/>
    <x v="0"/>
    <x v="25"/>
    <x v="3"/>
    <d v="2014-10-29T00:00:00"/>
    <n v="91592"/>
    <n v="91592"/>
    <n v="0"/>
    <x v="0"/>
    <x v="2"/>
    <m/>
    <x v="1"/>
  </r>
  <r>
    <s v="Emp ID-436"/>
    <x v="20"/>
    <x v="4"/>
    <x v="0"/>
    <x v="0"/>
    <x v="15"/>
    <x v="1"/>
    <d v="2000-08-17T00:00:00"/>
    <n v="55563"/>
    <n v="55563"/>
    <n v="0"/>
    <x v="1"/>
    <x v="11"/>
    <m/>
    <x v="1"/>
  </r>
  <r>
    <s v="Emp ID-437"/>
    <x v="2"/>
    <x v="0"/>
    <x v="0"/>
    <x v="0"/>
    <x v="27"/>
    <x v="1"/>
    <d v="1996-02-14T00:00:00"/>
    <n v="159724"/>
    <n v="196461"/>
    <n v="0.23"/>
    <x v="1"/>
    <x v="10"/>
    <m/>
    <x v="1"/>
  </r>
  <r>
    <s v="Emp ID-438"/>
    <x v="9"/>
    <x v="6"/>
    <x v="3"/>
    <x v="1"/>
    <x v="4"/>
    <x v="0"/>
    <d v="2017-08-04T00:00:00"/>
    <n v="183190"/>
    <n v="249138"/>
    <n v="0.36"/>
    <x v="0"/>
    <x v="2"/>
    <m/>
    <x v="1"/>
  </r>
  <r>
    <s v="Emp ID-439"/>
    <x v="7"/>
    <x v="3"/>
    <x v="2"/>
    <x v="0"/>
    <x v="16"/>
    <x v="0"/>
    <d v="2019-12-25T00:00:00"/>
    <n v="54829"/>
    <n v="54829"/>
    <n v="0"/>
    <x v="0"/>
    <x v="3"/>
    <m/>
    <x v="1"/>
  </r>
  <r>
    <s v="Emp ID-440"/>
    <x v="10"/>
    <x v="5"/>
    <x v="3"/>
    <x v="1"/>
    <x v="30"/>
    <x v="1"/>
    <d v="2005-04-22T00:00:00"/>
    <n v="96639"/>
    <n v="96639"/>
    <n v="0"/>
    <x v="2"/>
    <x v="9"/>
    <m/>
    <x v="1"/>
  </r>
  <r>
    <s v="Emp ID-441"/>
    <x v="6"/>
    <x v="6"/>
    <x v="2"/>
    <x v="0"/>
    <x v="19"/>
    <x v="3"/>
    <d v="2006-06-11T00:00:00"/>
    <n v="117278"/>
    <n v="127833"/>
    <n v="0.09"/>
    <x v="0"/>
    <x v="4"/>
    <m/>
    <x v="1"/>
  </r>
  <r>
    <s v="Emp ID-442"/>
    <x v="3"/>
    <x v="0"/>
    <x v="2"/>
    <x v="1"/>
    <x v="26"/>
    <x v="1"/>
    <d v="2008-02-09T00:00:00"/>
    <n v="84193"/>
    <n v="91770"/>
    <n v="0.09"/>
    <x v="1"/>
    <x v="6"/>
    <m/>
    <x v="1"/>
  </r>
  <r>
    <s v="Emp ID-443"/>
    <x v="32"/>
    <x v="0"/>
    <x v="1"/>
    <x v="0"/>
    <x v="40"/>
    <x v="1"/>
    <d v="2018-07-28T00:00:00"/>
    <n v="87806"/>
    <n v="87806"/>
    <n v="0"/>
    <x v="0"/>
    <x v="0"/>
    <m/>
    <x v="1"/>
  </r>
  <r>
    <s v="Emp ID-444"/>
    <x v="22"/>
    <x v="5"/>
    <x v="0"/>
    <x v="1"/>
    <x v="39"/>
    <x v="0"/>
    <d v="2011-10-04T00:00:00"/>
    <n v="63959"/>
    <n v="63959"/>
    <n v="0"/>
    <x v="0"/>
    <x v="0"/>
    <m/>
    <x v="1"/>
  </r>
  <r>
    <s v="Emp ID-445"/>
    <x v="9"/>
    <x v="0"/>
    <x v="0"/>
    <x v="1"/>
    <x v="25"/>
    <x v="3"/>
    <d v="2015-06-11T00:00:00"/>
    <n v="234723"/>
    <n v="319223"/>
    <n v="0.36"/>
    <x v="1"/>
    <x v="6"/>
    <m/>
    <x v="1"/>
  </r>
  <r>
    <s v="Emp ID-446"/>
    <x v="7"/>
    <x v="3"/>
    <x v="3"/>
    <x v="0"/>
    <x v="5"/>
    <x v="2"/>
    <d v="2019-08-24T00:00:00"/>
    <n v="50809"/>
    <n v="50809"/>
    <n v="0"/>
    <x v="1"/>
    <x v="1"/>
    <m/>
    <x v="1"/>
  </r>
  <r>
    <s v="Emp ID-447"/>
    <x v="4"/>
    <x v="2"/>
    <x v="1"/>
    <x v="1"/>
    <x v="0"/>
    <x v="0"/>
    <d v="2002-07-19T00:00:00"/>
    <n v="77396"/>
    <n v="77396"/>
    <n v="0"/>
    <x v="0"/>
    <x v="4"/>
    <m/>
    <x v="1"/>
  </r>
  <r>
    <s v="Emp ID-448"/>
    <x v="4"/>
    <x v="2"/>
    <x v="2"/>
    <x v="0"/>
    <x v="20"/>
    <x v="0"/>
    <d v="1999-12-31T00:00:00"/>
    <n v="89523"/>
    <n v="89523"/>
    <n v="0"/>
    <x v="0"/>
    <x v="3"/>
    <m/>
    <x v="1"/>
  </r>
  <r>
    <s v="Emp ID-449"/>
    <x v="21"/>
    <x v="0"/>
    <x v="3"/>
    <x v="0"/>
    <x v="26"/>
    <x v="1"/>
    <d v="2011-07-20T00:00:00"/>
    <n v="86173"/>
    <n v="86173"/>
    <n v="0"/>
    <x v="1"/>
    <x v="1"/>
    <m/>
    <x v="1"/>
  </r>
  <r>
    <s v="Emp ID-450"/>
    <x v="9"/>
    <x v="1"/>
    <x v="1"/>
    <x v="0"/>
    <x v="36"/>
    <x v="1"/>
    <d v="2000-08-19T00:00:00"/>
    <n v="222224"/>
    <n v="306669"/>
    <n v="0.38"/>
    <x v="0"/>
    <x v="7"/>
    <m/>
    <x v="1"/>
  </r>
  <r>
    <s v="Emp ID-451"/>
    <x v="0"/>
    <x v="2"/>
    <x v="0"/>
    <x v="1"/>
    <x v="19"/>
    <x v="3"/>
    <d v="2021-04-17T00:00:00"/>
    <n v="146140"/>
    <n v="168061"/>
    <n v="0.15"/>
    <x v="0"/>
    <x v="0"/>
    <m/>
    <x v="1"/>
  </r>
  <r>
    <s v="Emp ID-452"/>
    <x v="11"/>
    <x v="5"/>
    <x v="2"/>
    <x v="0"/>
    <x v="14"/>
    <x v="0"/>
    <d v="1994-06-20T00:00:00"/>
    <n v="109456"/>
    <n v="120402"/>
    <n v="0.1"/>
    <x v="0"/>
    <x v="2"/>
    <m/>
    <x v="1"/>
  </r>
  <r>
    <s v="Emp ID-453"/>
    <x v="2"/>
    <x v="2"/>
    <x v="0"/>
    <x v="0"/>
    <x v="13"/>
    <x v="4"/>
    <d v="2008-10-07T00:00:00"/>
    <n v="170221"/>
    <n v="195754"/>
    <n v="0.15"/>
    <x v="2"/>
    <x v="8"/>
    <m/>
    <x v="1"/>
  </r>
  <r>
    <s v="Emp ID-454"/>
    <x v="3"/>
    <x v="0"/>
    <x v="0"/>
    <x v="0"/>
    <x v="34"/>
    <x v="3"/>
    <d v="2006-03-01T00:00:00"/>
    <n v="97433"/>
    <n v="102305"/>
    <n v="0.05"/>
    <x v="0"/>
    <x v="0"/>
    <d v="2015-08-08T00:00:00"/>
    <x v="0"/>
  </r>
  <r>
    <s v="Emp ID-455"/>
    <x v="5"/>
    <x v="1"/>
    <x v="1"/>
    <x v="1"/>
    <x v="25"/>
    <x v="3"/>
    <d v="2013-08-30T00:00:00"/>
    <n v="59646"/>
    <n v="59646"/>
    <n v="0"/>
    <x v="1"/>
    <x v="6"/>
    <m/>
    <x v="1"/>
  </r>
  <r>
    <s v="Emp ID-456"/>
    <x v="2"/>
    <x v="5"/>
    <x v="2"/>
    <x v="1"/>
    <x v="14"/>
    <x v="0"/>
    <d v="1995-08-29T00:00:00"/>
    <n v="158787"/>
    <n v="187369"/>
    <n v="0.18"/>
    <x v="1"/>
    <x v="11"/>
    <m/>
    <x v="1"/>
  </r>
  <r>
    <s v="Emp ID-457"/>
    <x v="8"/>
    <x v="5"/>
    <x v="0"/>
    <x v="1"/>
    <x v="0"/>
    <x v="0"/>
    <d v="2018-04-29T00:00:00"/>
    <n v="83378"/>
    <n v="83378"/>
    <n v="0"/>
    <x v="1"/>
    <x v="10"/>
    <m/>
    <x v="1"/>
  </r>
  <r>
    <s v="Emp ID-458"/>
    <x v="4"/>
    <x v="6"/>
    <x v="3"/>
    <x v="0"/>
    <x v="24"/>
    <x v="2"/>
    <d v="2013-11-12T00:00:00"/>
    <n v="88895"/>
    <n v="88895"/>
    <n v="0"/>
    <x v="0"/>
    <x v="2"/>
    <m/>
    <x v="1"/>
  </r>
  <r>
    <s v="Emp ID-459"/>
    <x v="2"/>
    <x v="6"/>
    <x v="3"/>
    <x v="1"/>
    <x v="15"/>
    <x v="1"/>
    <d v="2004-12-11T00:00:00"/>
    <n v="168846"/>
    <n v="209369"/>
    <n v="0.24"/>
    <x v="1"/>
    <x v="1"/>
    <m/>
    <x v="1"/>
  </r>
  <r>
    <s v="Emp ID-460"/>
    <x v="20"/>
    <x v="4"/>
    <x v="0"/>
    <x v="1"/>
    <x v="25"/>
    <x v="3"/>
    <d v="2011-02-22T00:00:00"/>
    <n v="43336"/>
    <n v="43336"/>
    <n v="0"/>
    <x v="0"/>
    <x v="5"/>
    <d v="2020-07-12T00:00:00"/>
    <x v="0"/>
  </r>
  <r>
    <s v="Emp ID-461"/>
    <x v="0"/>
    <x v="4"/>
    <x v="3"/>
    <x v="1"/>
    <x v="31"/>
    <x v="3"/>
    <d v="2009-09-27T00:00:00"/>
    <n v="127801"/>
    <n v="146971"/>
    <n v="0.15"/>
    <x v="0"/>
    <x v="3"/>
    <m/>
    <x v="1"/>
  </r>
  <r>
    <s v="Emp ID-462"/>
    <x v="32"/>
    <x v="0"/>
    <x v="3"/>
    <x v="1"/>
    <x v="36"/>
    <x v="1"/>
    <d v="2000-04-01T00:00:00"/>
    <n v="76352"/>
    <n v="76352"/>
    <n v="0"/>
    <x v="0"/>
    <x v="5"/>
    <m/>
    <x v="1"/>
  </r>
  <r>
    <s v="Emp ID-463"/>
    <x v="9"/>
    <x v="2"/>
    <x v="3"/>
    <x v="1"/>
    <x v="21"/>
    <x v="2"/>
    <d v="2019-06-22T00:00:00"/>
    <n v="250767"/>
    <n v="346058"/>
    <n v="0.38"/>
    <x v="0"/>
    <x v="0"/>
    <m/>
    <x v="1"/>
  </r>
  <r>
    <s v="Emp ID-464"/>
    <x v="9"/>
    <x v="6"/>
    <x v="3"/>
    <x v="1"/>
    <x v="3"/>
    <x v="2"/>
    <d v="2020-09-27T00:00:00"/>
    <n v="223055"/>
    <n v="289972"/>
    <n v="0.3"/>
    <x v="0"/>
    <x v="7"/>
    <m/>
    <x v="1"/>
  </r>
  <r>
    <s v="Emp ID-465"/>
    <x v="2"/>
    <x v="5"/>
    <x v="3"/>
    <x v="1"/>
    <x v="15"/>
    <x v="1"/>
    <d v="2007-04-13T00:00:00"/>
    <n v="189680"/>
    <n v="233306"/>
    <n v="0.23"/>
    <x v="2"/>
    <x v="12"/>
    <m/>
    <x v="1"/>
  </r>
  <r>
    <s v="Emp ID-466"/>
    <x v="22"/>
    <x v="5"/>
    <x v="1"/>
    <x v="1"/>
    <x v="4"/>
    <x v="0"/>
    <d v="2018-07-18T00:00:00"/>
    <n v="71167"/>
    <n v="71167"/>
    <n v="0"/>
    <x v="0"/>
    <x v="7"/>
    <m/>
    <x v="1"/>
  </r>
  <r>
    <s v="Emp ID-467"/>
    <x v="1"/>
    <x v="0"/>
    <x v="2"/>
    <x v="0"/>
    <x v="1"/>
    <x v="0"/>
    <d v="2010-04-04T00:00:00"/>
    <n v="76027"/>
    <n v="76027"/>
    <n v="0"/>
    <x v="0"/>
    <x v="0"/>
    <m/>
    <x v="1"/>
  </r>
  <r>
    <s v="Emp ID-468"/>
    <x v="2"/>
    <x v="5"/>
    <x v="3"/>
    <x v="1"/>
    <x v="35"/>
    <x v="1"/>
    <d v="2019-12-10T00:00:00"/>
    <n v="183113"/>
    <n v="227060"/>
    <n v="0.24"/>
    <x v="2"/>
    <x v="9"/>
    <m/>
    <x v="1"/>
  </r>
  <r>
    <s v="Emp ID-469"/>
    <x v="13"/>
    <x v="3"/>
    <x v="1"/>
    <x v="1"/>
    <x v="23"/>
    <x v="2"/>
    <d v="2020-10-20T00:00:00"/>
    <n v="67753"/>
    <n v="67753"/>
    <n v="0"/>
    <x v="0"/>
    <x v="3"/>
    <m/>
    <x v="1"/>
  </r>
  <r>
    <s v="Emp ID-470"/>
    <x v="3"/>
    <x v="0"/>
    <x v="3"/>
    <x v="1"/>
    <x v="11"/>
    <x v="2"/>
    <d v="2016-10-13T00:00:00"/>
    <n v="63744"/>
    <n v="68844"/>
    <n v="0.08"/>
    <x v="0"/>
    <x v="5"/>
    <m/>
    <x v="1"/>
  </r>
  <r>
    <s v="Emp ID-471"/>
    <x v="10"/>
    <x v="5"/>
    <x v="1"/>
    <x v="0"/>
    <x v="2"/>
    <x v="1"/>
    <d v="2002-07-09T00:00:00"/>
    <n v="92209"/>
    <n v="92209"/>
    <n v="0"/>
    <x v="1"/>
    <x v="6"/>
    <m/>
    <x v="1"/>
  </r>
  <r>
    <s v="Emp ID-472"/>
    <x v="0"/>
    <x v="1"/>
    <x v="3"/>
    <x v="1"/>
    <x v="10"/>
    <x v="1"/>
    <d v="2000-09-01T00:00:00"/>
    <n v="157487"/>
    <n v="176385"/>
    <n v="0.12"/>
    <x v="0"/>
    <x v="3"/>
    <m/>
    <x v="1"/>
  </r>
  <r>
    <s v="Emp ID-473"/>
    <x v="4"/>
    <x v="6"/>
    <x v="0"/>
    <x v="1"/>
    <x v="34"/>
    <x v="3"/>
    <d v="2015-04-07T00:00:00"/>
    <n v="99697"/>
    <n v="99697"/>
    <n v="0"/>
    <x v="2"/>
    <x v="9"/>
    <m/>
    <x v="1"/>
  </r>
  <r>
    <s v="Emp ID-474"/>
    <x v="32"/>
    <x v="0"/>
    <x v="0"/>
    <x v="1"/>
    <x v="15"/>
    <x v="1"/>
    <d v="2010-02-26T00:00:00"/>
    <n v="90770"/>
    <n v="90770"/>
    <n v="0"/>
    <x v="0"/>
    <x v="7"/>
    <m/>
    <x v="1"/>
  </r>
  <r>
    <s v="Emp ID-475"/>
    <x v="7"/>
    <x v="1"/>
    <x v="2"/>
    <x v="0"/>
    <x v="14"/>
    <x v="0"/>
    <d v="2005-01-28T00:00:00"/>
    <n v="55369"/>
    <n v="55369"/>
    <n v="0"/>
    <x v="0"/>
    <x v="3"/>
    <m/>
    <x v="1"/>
  </r>
  <r>
    <s v="Emp ID-476"/>
    <x v="17"/>
    <x v="5"/>
    <x v="2"/>
    <x v="0"/>
    <x v="1"/>
    <x v="0"/>
    <d v="2014-09-16T00:00:00"/>
    <n v="69578"/>
    <n v="69578"/>
    <n v="0"/>
    <x v="2"/>
    <x v="9"/>
    <m/>
    <x v="1"/>
  </r>
  <r>
    <s v="Emp ID-477"/>
    <x v="2"/>
    <x v="3"/>
    <x v="2"/>
    <x v="1"/>
    <x v="12"/>
    <x v="3"/>
    <d v="2013-06-04T00:00:00"/>
    <n v="167526"/>
    <n v="211083"/>
    <n v="0.26"/>
    <x v="0"/>
    <x v="4"/>
    <m/>
    <x v="1"/>
  </r>
  <r>
    <s v="Emp ID-478"/>
    <x v="17"/>
    <x v="5"/>
    <x v="2"/>
    <x v="0"/>
    <x v="34"/>
    <x v="3"/>
    <d v="2021-02-05T00:00:00"/>
    <n v="65507"/>
    <n v="65507"/>
    <n v="0"/>
    <x v="2"/>
    <x v="8"/>
    <m/>
    <x v="1"/>
  </r>
  <r>
    <s v="Emp ID-479"/>
    <x v="6"/>
    <x v="2"/>
    <x v="0"/>
    <x v="1"/>
    <x v="36"/>
    <x v="1"/>
    <d v="1998-04-28T00:00:00"/>
    <n v="108268"/>
    <n v="118012"/>
    <n v="0.09"/>
    <x v="2"/>
    <x v="12"/>
    <d v="2004-05-15T00:00:00"/>
    <x v="0"/>
  </r>
  <r>
    <s v="Emp ID-480"/>
    <x v="1"/>
    <x v="0"/>
    <x v="0"/>
    <x v="1"/>
    <x v="17"/>
    <x v="3"/>
    <d v="2016-02-05T00:00:00"/>
    <n v="80055"/>
    <n v="80055"/>
    <n v="0"/>
    <x v="1"/>
    <x v="10"/>
    <m/>
    <x v="1"/>
  </r>
  <r>
    <s v="Emp ID-481"/>
    <x v="4"/>
    <x v="1"/>
    <x v="0"/>
    <x v="1"/>
    <x v="32"/>
    <x v="0"/>
    <d v="2009-04-27T00:00:00"/>
    <n v="76802"/>
    <n v="76802"/>
    <n v="0"/>
    <x v="2"/>
    <x v="8"/>
    <m/>
    <x v="1"/>
  </r>
  <r>
    <s v="Emp ID-482"/>
    <x v="9"/>
    <x v="1"/>
    <x v="2"/>
    <x v="1"/>
    <x v="40"/>
    <x v="1"/>
    <d v="2016-11-22T00:00:00"/>
    <n v="253249"/>
    <n v="331756"/>
    <n v="0.31"/>
    <x v="0"/>
    <x v="5"/>
    <m/>
    <x v="1"/>
  </r>
  <r>
    <s v="Emp ID-483"/>
    <x v="15"/>
    <x v="4"/>
    <x v="0"/>
    <x v="0"/>
    <x v="33"/>
    <x v="0"/>
    <d v="2005-11-11T00:00:00"/>
    <n v="78388"/>
    <n v="78388"/>
    <n v="0"/>
    <x v="1"/>
    <x v="1"/>
    <m/>
    <x v="1"/>
  </r>
  <r>
    <s v="Emp ID-484"/>
    <x v="9"/>
    <x v="0"/>
    <x v="3"/>
    <x v="1"/>
    <x v="31"/>
    <x v="3"/>
    <d v="2016-06-22T00:00:00"/>
    <n v="249870"/>
    <n v="334826"/>
    <n v="0.34"/>
    <x v="0"/>
    <x v="2"/>
    <m/>
    <x v="1"/>
  </r>
  <r>
    <s v="Emp ID-485"/>
    <x v="0"/>
    <x v="6"/>
    <x v="1"/>
    <x v="1"/>
    <x v="20"/>
    <x v="0"/>
    <d v="2015-03-01T00:00:00"/>
    <n v="148321"/>
    <n v="170569"/>
    <n v="0.15"/>
    <x v="1"/>
    <x v="10"/>
    <m/>
    <x v="1"/>
  </r>
  <r>
    <s v="Emp ID-486"/>
    <x v="31"/>
    <x v="0"/>
    <x v="3"/>
    <x v="0"/>
    <x v="33"/>
    <x v="0"/>
    <d v="2004-02-10T00:00:00"/>
    <n v="90258"/>
    <n v="90258"/>
    <n v="0"/>
    <x v="1"/>
    <x v="1"/>
    <m/>
    <x v="1"/>
  </r>
  <r>
    <s v="Emp ID-487"/>
    <x v="27"/>
    <x v="0"/>
    <x v="1"/>
    <x v="0"/>
    <x v="34"/>
    <x v="3"/>
    <d v="2011-02-19T00:00:00"/>
    <n v="72486"/>
    <n v="72486"/>
    <n v="0"/>
    <x v="0"/>
    <x v="0"/>
    <m/>
    <x v="1"/>
  </r>
  <r>
    <s v="Emp ID-488"/>
    <x v="4"/>
    <x v="2"/>
    <x v="3"/>
    <x v="1"/>
    <x v="8"/>
    <x v="2"/>
    <d v="2014-09-04T00:00:00"/>
    <n v="95499"/>
    <n v="95499"/>
    <n v="0"/>
    <x v="2"/>
    <x v="12"/>
    <d v="2017-08-11T00:00:00"/>
    <x v="0"/>
  </r>
  <r>
    <s v="Emp ID-489"/>
    <x v="4"/>
    <x v="3"/>
    <x v="0"/>
    <x v="0"/>
    <x v="26"/>
    <x v="1"/>
    <d v="2004-12-23T00:00:00"/>
    <n v="90212"/>
    <n v="90212"/>
    <n v="0"/>
    <x v="2"/>
    <x v="12"/>
    <m/>
    <x v="1"/>
  </r>
  <r>
    <s v="Emp ID-490"/>
    <x v="9"/>
    <x v="6"/>
    <x v="0"/>
    <x v="1"/>
    <x v="38"/>
    <x v="3"/>
    <d v="2019-12-05T00:00:00"/>
    <n v="254057"/>
    <n v="353139"/>
    <n v="0.39"/>
    <x v="1"/>
    <x v="6"/>
    <m/>
    <x v="1"/>
  </r>
  <r>
    <s v="Emp ID-491"/>
    <x v="20"/>
    <x v="4"/>
    <x v="1"/>
    <x v="0"/>
    <x v="32"/>
    <x v="0"/>
    <d v="2010-10-12T00:00:00"/>
    <n v="43001"/>
    <n v="43001"/>
    <n v="0"/>
    <x v="0"/>
    <x v="5"/>
    <m/>
    <x v="1"/>
  </r>
  <r>
    <s v="Emp ID-492"/>
    <x v="3"/>
    <x v="0"/>
    <x v="1"/>
    <x v="1"/>
    <x v="33"/>
    <x v="0"/>
    <d v="1998-08-03T00:00:00"/>
    <n v="85120"/>
    <n v="92781"/>
    <n v="0.09"/>
    <x v="0"/>
    <x v="0"/>
    <m/>
    <x v="1"/>
  </r>
  <r>
    <s v="Emp ID-493"/>
    <x v="20"/>
    <x v="4"/>
    <x v="1"/>
    <x v="1"/>
    <x v="8"/>
    <x v="2"/>
    <d v="2015-08-03T00:00:00"/>
    <n v="52200"/>
    <n v="52200"/>
    <n v="0"/>
    <x v="0"/>
    <x v="7"/>
    <m/>
    <x v="1"/>
  </r>
  <r>
    <s v="Emp ID-494"/>
    <x v="0"/>
    <x v="4"/>
    <x v="3"/>
    <x v="0"/>
    <x v="33"/>
    <x v="0"/>
    <d v="2008-10-18T00:00:00"/>
    <n v="150855"/>
    <n v="167449"/>
    <n v="0.11"/>
    <x v="0"/>
    <x v="3"/>
    <m/>
    <x v="1"/>
  </r>
  <r>
    <s v="Emp ID-495"/>
    <x v="14"/>
    <x v="0"/>
    <x v="1"/>
    <x v="0"/>
    <x v="26"/>
    <x v="1"/>
    <d v="2004-07-20T00:00:00"/>
    <n v="65702"/>
    <n v="65702"/>
    <n v="0"/>
    <x v="0"/>
    <x v="7"/>
    <m/>
    <x v="1"/>
  </r>
  <r>
    <s v="Emp ID-496"/>
    <x v="2"/>
    <x v="2"/>
    <x v="3"/>
    <x v="1"/>
    <x v="32"/>
    <x v="0"/>
    <d v="2007-10-12T00:00:00"/>
    <n v="162038"/>
    <n v="200927"/>
    <n v="0.24"/>
    <x v="1"/>
    <x v="1"/>
    <m/>
    <x v="1"/>
  </r>
  <r>
    <s v="Emp ID-497"/>
    <x v="0"/>
    <x v="6"/>
    <x v="0"/>
    <x v="0"/>
    <x v="6"/>
    <x v="2"/>
    <d v="2020-04-09T00:00:00"/>
    <n v="157057"/>
    <n v="172763"/>
    <n v="0.1"/>
    <x v="0"/>
    <x v="7"/>
    <m/>
    <x v="1"/>
  </r>
  <r>
    <s v="Emp ID-498"/>
    <x v="6"/>
    <x v="0"/>
    <x v="0"/>
    <x v="1"/>
    <x v="30"/>
    <x v="1"/>
    <d v="2021-08-11T00:00:00"/>
    <n v="127559"/>
    <n v="140315"/>
    <n v="0.1"/>
    <x v="0"/>
    <x v="5"/>
    <m/>
    <x v="1"/>
  </r>
  <r>
    <s v="Emp ID-499"/>
    <x v="17"/>
    <x v="5"/>
    <x v="3"/>
    <x v="0"/>
    <x v="38"/>
    <x v="3"/>
    <d v="2019-03-12T00:00:00"/>
    <n v="62644"/>
    <n v="62644"/>
    <n v="0"/>
    <x v="0"/>
    <x v="0"/>
    <m/>
    <x v="1"/>
  </r>
  <r>
    <s v="Emp ID-500"/>
    <x v="23"/>
    <x v="0"/>
    <x v="1"/>
    <x v="1"/>
    <x v="2"/>
    <x v="1"/>
    <d v="2001-03-06T00:00:00"/>
    <n v="73907"/>
    <n v="73907"/>
    <n v="0"/>
    <x v="1"/>
    <x v="6"/>
    <m/>
    <x v="1"/>
  </r>
  <r>
    <s v="Emp ID-501"/>
    <x v="4"/>
    <x v="3"/>
    <x v="1"/>
    <x v="0"/>
    <x v="16"/>
    <x v="0"/>
    <d v="2018-03-10T00:00:00"/>
    <n v="90040"/>
    <n v="90040"/>
    <n v="0"/>
    <x v="0"/>
    <x v="2"/>
    <m/>
    <x v="1"/>
  </r>
  <r>
    <s v="Emp ID-502"/>
    <x v="25"/>
    <x v="5"/>
    <x v="1"/>
    <x v="0"/>
    <x v="23"/>
    <x v="2"/>
    <d v="2016-05-26T00:00:00"/>
    <n v="91134"/>
    <n v="91134"/>
    <n v="0"/>
    <x v="2"/>
    <x v="12"/>
    <m/>
    <x v="1"/>
  </r>
  <r>
    <s v="Emp ID-503"/>
    <x v="9"/>
    <x v="4"/>
    <x v="2"/>
    <x v="0"/>
    <x v="15"/>
    <x v="1"/>
    <d v="2021-09-22T00:00:00"/>
    <n v="201396"/>
    <n v="265843"/>
    <n v="0.32"/>
    <x v="0"/>
    <x v="4"/>
    <m/>
    <x v="1"/>
  </r>
  <r>
    <s v="Emp ID-504"/>
    <x v="7"/>
    <x v="3"/>
    <x v="3"/>
    <x v="0"/>
    <x v="0"/>
    <x v="0"/>
    <d v="2011-12-22T00:00:00"/>
    <n v="54733"/>
    <n v="54733"/>
    <n v="0"/>
    <x v="1"/>
    <x v="1"/>
    <m/>
    <x v="1"/>
  </r>
  <r>
    <s v="Emp ID-505"/>
    <x v="27"/>
    <x v="0"/>
    <x v="3"/>
    <x v="1"/>
    <x v="21"/>
    <x v="2"/>
    <d v="2019-06-17T00:00:00"/>
    <n v="65341"/>
    <n v="65341"/>
    <n v="0"/>
    <x v="0"/>
    <x v="4"/>
    <d v="2022-04-11T00:00:00"/>
    <x v="0"/>
  </r>
  <r>
    <s v="Emp ID-506"/>
    <x v="0"/>
    <x v="2"/>
    <x v="3"/>
    <x v="0"/>
    <x v="1"/>
    <x v="0"/>
    <d v="2018-10-27T00:00:00"/>
    <n v="139208"/>
    <n v="154521"/>
    <n v="0.11"/>
    <x v="0"/>
    <x v="5"/>
    <m/>
    <x v="1"/>
  </r>
  <r>
    <s v="Emp ID-507"/>
    <x v="4"/>
    <x v="1"/>
    <x v="2"/>
    <x v="1"/>
    <x v="20"/>
    <x v="0"/>
    <d v="2018-03-12T00:00:00"/>
    <n v="73200"/>
    <n v="73200"/>
    <n v="0"/>
    <x v="1"/>
    <x v="6"/>
    <m/>
    <x v="1"/>
  </r>
  <r>
    <s v="Emp ID-508"/>
    <x v="6"/>
    <x v="3"/>
    <x v="2"/>
    <x v="0"/>
    <x v="30"/>
    <x v="1"/>
    <d v="2010-04-24T00:00:00"/>
    <n v="102636"/>
    <n v="108794"/>
    <n v="0.06"/>
    <x v="0"/>
    <x v="0"/>
    <m/>
    <x v="1"/>
  </r>
  <r>
    <s v="Emp ID-509"/>
    <x v="26"/>
    <x v="1"/>
    <x v="2"/>
    <x v="0"/>
    <x v="3"/>
    <x v="2"/>
    <d v="2021-02-09T00:00:00"/>
    <n v="87427"/>
    <n v="87427"/>
    <n v="0"/>
    <x v="2"/>
    <x v="12"/>
    <m/>
    <x v="1"/>
  </r>
  <r>
    <s v="Emp ID-510"/>
    <x v="12"/>
    <x v="0"/>
    <x v="0"/>
    <x v="1"/>
    <x v="15"/>
    <x v="1"/>
    <d v="2018-05-28T00:00:00"/>
    <n v="49219"/>
    <n v="49219"/>
    <n v="0"/>
    <x v="0"/>
    <x v="7"/>
    <m/>
    <x v="1"/>
  </r>
  <r>
    <s v="Emp ID-511"/>
    <x v="6"/>
    <x v="2"/>
    <x v="1"/>
    <x v="1"/>
    <x v="2"/>
    <x v="1"/>
    <d v="2018-05-19T00:00:00"/>
    <n v="106437"/>
    <n v="113888"/>
    <n v="7.0000000000000007E-2"/>
    <x v="1"/>
    <x v="1"/>
    <m/>
    <x v="1"/>
  </r>
  <r>
    <s v="Emp ID-512"/>
    <x v="13"/>
    <x v="2"/>
    <x v="1"/>
    <x v="1"/>
    <x v="30"/>
    <x v="1"/>
    <d v="2015-05-05T00:00:00"/>
    <n v="64364"/>
    <n v="64364"/>
    <n v="0"/>
    <x v="2"/>
    <x v="12"/>
    <m/>
    <x v="1"/>
  </r>
  <r>
    <s v="Emp ID-513"/>
    <x v="2"/>
    <x v="4"/>
    <x v="1"/>
    <x v="1"/>
    <x v="2"/>
    <x v="1"/>
    <d v="2021-10-17T00:00:00"/>
    <n v="172180"/>
    <n v="223834"/>
    <n v="0.3"/>
    <x v="0"/>
    <x v="7"/>
    <m/>
    <x v="1"/>
  </r>
  <r>
    <s v="Emp ID-514"/>
    <x v="4"/>
    <x v="1"/>
    <x v="1"/>
    <x v="0"/>
    <x v="29"/>
    <x v="2"/>
    <d v="2012-05-14T00:00:00"/>
    <n v="88343"/>
    <n v="88343"/>
    <n v="0"/>
    <x v="2"/>
    <x v="9"/>
    <m/>
    <x v="1"/>
  </r>
  <r>
    <s v="Emp ID-515"/>
    <x v="29"/>
    <x v="0"/>
    <x v="2"/>
    <x v="1"/>
    <x v="4"/>
    <x v="0"/>
    <d v="2014-07-10T00:00:00"/>
    <n v="66649"/>
    <n v="66649"/>
    <n v="0"/>
    <x v="2"/>
    <x v="9"/>
    <m/>
    <x v="1"/>
  </r>
  <r>
    <s v="Emp ID-516"/>
    <x v="6"/>
    <x v="2"/>
    <x v="3"/>
    <x v="0"/>
    <x v="35"/>
    <x v="1"/>
    <d v="1999-04-22T00:00:00"/>
    <n v="102847"/>
    <n v="107989"/>
    <n v="0.05"/>
    <x v="0"/>
    <x v="2"/>
    <m/>
    <x v="1"/>
  </r>
  <r>
    <s v="Emp ID-517"/>
    <x v="0"/>
    <x v="2"/>
    <x v="1"/>
    <x v="1"/>
    <x v="30"/>
    <x v="1"/>
    <d v="2010-07-19T00:00:00"/>
    <n v="134881"/>
    <n v="155113"/>
    <n v="0.15"/>
    <x v="2"/>
    <x v="8"/>
    <m/>
    <x v="1"/>
  </r>
  <r>
    <s v="Emp ID-518"/>
    <x v="13"/>
    <x v="6"/>
    <x v="1"/>
    <x v="1"/>
    <x v="27"/>
    <x v="1"/>
    <d v="1999-05-23T00:00:00"/>
    <n v="68807"/>
    <n v="68807"/>
    <n v="0"/>
    <x v="1"/>
    <x v="11"/>
    <d v="2015-11-30T00:00:00"/>
    <x v="0"/>
  </r>
  <r>
    <s v="Emp ID-519"/>
    <x v="9"/>
    <x v="0"/>
    <x v="1"/>
    <x v="1"/>
    <x v="16"/>
    <x v="0"/>
    <d v="2006-05-29T00:00:00"/>
    <n v="228822"/>
    <n v="311198"/>
    <n v="0.36"/>
    <x v="0"/>
    <x v="4"/>
    <m/>
    <x v="1"/>
  </r>
  <r>
    <s v="Emp ID-520"/>
    <x v="7"/>
    <x v="6"/>
    <x v="1"/>
    <x v="1"/>
    <x v="21"/>
    <x v="2"/>
    <d v="2021-07-18T00:00:00"/>
    <n v="43391"/>
    <n v="43391"/>
    <n v="0"/>
    <x v="0"/>
    <x v="7"/>
    <m/>
    <x v="1"/>
  </r>
  <r>
    <s v="Emp ID-521"/>
    <x v="10"/>
    <x v="5"/>
    <x v="2"/>
    <x v="1"/>
    <x v="7"/>
    <x v="2"/>
    <d v="2021-11-15T00:00:00"/>
    <n v="91782"/>
    <n v="91782"/>
    <n v="0"/>
    <x v="1"/>
    <x v="1"/>
    <m/>
    <x v="1"/>
  </r>
  <r>
    <s v="Emp ID-522"/>
    <x v="9"/>
    <x v="6"/>
    <x v="3"/>
    <x v="0"/>
    <x v="15"/>
    <x v="1"/>
    <d v="2016-02-28T00:00:00"/>
    <n v="211637"/>
    <n v="277244"/>
    <n v="0.31"/>
    <x v="0"/>
    <x v="2"/>
    <m/>
    <x v="1"/>
  </r>
  <r>
    <s v="Emp ID-523"/>
    <x v="3"/>
    <x v="0"/>
    <x v="1"/>
    <x v="1"/>
    <x v="21"/>
    <x v="2"/>
    <d v="2020-08-08T00:00:00"/>
    <n v="73255"/>
    <n v="79848"/>
    <n v="0.09"/>
    <x v="0"/>
    <x v="3"/>
    <m/>
    <x v="1"/>
  </r>
  <r>
    <s v="Emp ID-524"/>
    <x v="6"/>
    <x v="1"/>
    <x v="3"/>
    <x v="1"/>
    <x v="21"/>
    <x v="2"/>
    <d v="2021-01-08T00:00:00"/>
    <n v="108826"/>
    <n v="119709"/>
    <n v="0.1"/>
    <x v="0"/>
    <x v="4"/>
    <m/>
    <x v="1"/>
  </r>
  <r>
    <s v="Emp ID-525"/>
    <x v="29"/>
    <x v="0"/>
    <x v="2"/>
    <x v="1"/>
    <x v="8"/>
    <x v="2"/>
    <d v="2016-05-24T00:00:00"/>
    <n v="94352"/>
    <n v="94352"/>
    <n v="0"/>
    <x v="0"/>
    <x v="4"/>
    <m/>
    <x v="1"/>
  </r>
  <r>
    <s v="Emp ID-526"/>
    <x v="30"/>
    <x v="0"/>
    <x v="0"/>
    <x v="0"/>
    <x v="0"/>
    <x v="0"/>
    <d v="1994-08-30T00:00:00"/>
    <n v="73955"/>
    <n v="73955"/>
    <n v="0"/>
    <x v="0"/>
    <x v="3"/>
    <m/>
    <x v="1"/>
  </r>
  <r>
    <s v="Emp ID-527"/>
    <x v="6"/>
    <x v="4"/>
    <x v="1"/>
    <x v="1"/>
    <x v="8"/>
    <x v="2"/>
    <d v="2013-08-13T00:00:00"/>
    <n v="113909"/>
    <n v="120744"/>
    <n v="0.06"/>
    <x v="2"/>
    <x v="9"/>
    <m/>
    <x v="1"/>
  </r>
  <r>
    <s v="Emp ID-528"/>
    <x v="32"/>
    <x v="0"/>
    <x v="1"/>
    <x v="1"/>
    <x v="5"/>
    <x v="2"/>
    <d v="2020-12-24T00:00:00"/>
    <n v="92321"/>
    <n v="92321"/>
    <n v="0"/>
    <x v="0"/>
    <x v="2"/>
    <m/>
    <x v="1"/>
  </r>
  <r>
    <s v="Emp ID-529"/>
    <x v="3"/>
    <x v="0"/>
    <x v="0"/>
    <x v="1"/>
    <x v="27"/>
    <x v="1"/>
    <d v="2013-05-23T00:00:00"/>
    <n v="99557"/>
    <n v="108517"/>
    <n v="0.09"/>
    <x v="0"/>
    <x v="0"/>
    <m/>
    <x v="1"/>
  </r>
  <r>
    <s v="Emp ID-530"/>
    <x v="18"/>
    <x v="5"/>
    <x v="2"/>
    <x v="0"/>
    <x v="21"/>
    <x v="2"/>
    <d v="2018-11-14T00:00:00"/>
    <n v="115854"/>
    <n v="115854"/>
    <n v="0"/>
    <x v="0"/>
    <x v="3"/>
    <m/>
    <x v="1"/>
  </r>
  <r>
    <s v="Emp ID-531"/>
    <x v="30"/>
    <x v="0"/>
    <x v="1"/>
    <x v="0"/>
    <x v="18"/>
    <x v="3"/>
    <d v="2011-03-01T00:00:00"/>
    <n v="82462"/>
    <n v="82462"/>
    <n v="0"/>
    <x v="0"/>
    <x v="5"/>
    <m/>
    <x v="1"/>
  </r>
  <r>
    <s v="Emp ID-532"/>
    <x v="9"/>
    <x v="0"/>
    <x v="0"/>
    <x v="0"/>
    <x v="26"/>
    <x v="1"/>
    <d v="2011-11-09T00:00:00"/>
    <n v="198473"/>
    <n v="261984"/>
    <n v="0.32"/>
    <x v="0"/>
    <x v="4"/>
    <m/>
    <x v="1"/>
  </r>
  <r>
    <s v="Emp ID-533"/>
    <x v="0"/>
    <x v="2"/>
    <x v="3"/>
    <x v="0"/>
    <x v="19"/>
    <x v="3"/>
    <d v="2006-10-15T00:00:00"/>
    <n v="153492"/>
    <n v="170376"/>
    <n v="0.11"/>
    <x v="0"/>
    <x v="2"/>
    <m/>
    <x v="1"/>
  </r>
  <r>
    <s v="Emp ID-534"/>
    <x v="9"/>
    <x v="4"/>
    <x v="3"/>
    <x v="0"/>
    <x v="21"/>
    <x v="2"/>
    <d v="2018-01-21T00:00:00"/>
    <n v="208210"/>
    <n v="270673"/>
    <n v="0.3"/>
    <x v="0"/>
    <x v="0"/>
    <m/>
    <x v="1"/>
  </r>
  <r>
    <s v="Emp ID-535"/>
    <x v="4"/>
    <x v="6"/>
    <x v="3"/>
    <x v="1"/>
    <x v="29"/>
    <x v="2"/>
    <d v="2015-11-17T00:00:00"/>
    <n v="91632"/>
    <n v="91632"/>
    <n v="0"/>
    <x v="0"/>
    <x v="3"/>
    <m/>
    <x v="1"/>
  </r>
  <r>
    <s v="Emp ID-536"/>
    <x v="16"/>
    <x v="4"/>
    <x v="3"/>
    <x v="1"/>
    <x v="11"/>
    <x v="2"/>
    <d v="2017-09-24T00:00:00"/>
    <n v="71755"/>
    <n v="71755"/>
    <n v="0"/>
    <x v="1"/>
    <x v="1"/>
    <m/>
    <x v="1"/>
  </r>
  <r>
    <s v="Emp ID-537"/>
    <x v="6"/>
    <x v="3"/>
    <x v="3"/>
    <x v="0"/>
    <x v="27"/>
    <x v="1"/>
    <d v="2021-11-19T00:00:00"/>
    <n v="111006"/>
    <n v="119886"/>
    <n v="0.08"/>
    <x v="1"/>
    <x v="1"/>
    <m/>
    <x v="1"/>
  </r>
  <r>
    <s v="Emp ID-538"/>
    <x v="21"/>
    <x v="0"/>
    <x v="3"/>
    <x v="1"/>
    <x v="0"/>
    <x v="0"/>
    <d v="1994-12-24T00:00:00"/>
    <n v="99774"/>
    <n v="99774"/>
    <n v="0"/>
    <x v="0"/>
    <x v="5"/>
    <m/>
    <x v="1"/>
  </r>
  <r>
    <s v="Emp ID-539"/>
    <x v="2"/>
    <x v="0"/>
    <x v="0"/>
    <x v="1"/>
    <x v="0"/>
    <x v="0"/>
    <d v="2007-03-13T00:00:00"/>
    <n v="184648"/>
    <n v="228964"/>
    <n v="0.24"/>
    <x v="1"/>
    <x v="6"/>
    <m/>
    <x v="1"/>
  </r>
  <r>
    <s v="Emp ID-540"/>
    <x v="9"/>
    <x v="0"/>
    <x v="1"/>
    <x v="1"/>
    <x v="10"/>
    <x v="1"/>
    <d v="2001-07-19T00:00:00"/>
    <n v="247874"/>
    <n v="329672"/>
    <n v="0.33"/>
    <x v="2"/>
    <x v="8"/>
    <m/>
    <x v="1"/>
  </r>
  <r>
    <s v="Emp ID-541"/>
    <x v="25"/>
    <x v="5"/>
    <x v="1"/>
    <x v="1"/>
    <x v="33"/>
    <x v="0"/>
    <d v="2009-05-11T00:00:00"/>
    <n v="62239"/>
    <n v="62239"/>
    <n v="0"/>
    <x v="1"/>
    <x v="10"/>
    <m/>
    <x v="1"/>
  </r>
  <r>
    <s v="Emp ID-542"/>
    <x v="6"/>
    <x v="3"/>
    <x v="2"/>
    <x v="0"/>
    <x v="11"/>
    <x v="2"/>
    <d v="2014-10-07T00:00:00"/>
    <n v="114911"/>
    <n v="122955"/>
    <n v="7.0000000000000007E-2"/>
    <x v="0"/>
    <x v="2"/>
    <m/>
    <x v="1"/>
  </r>
  <r>
    <s v="Emp ID-543"/>
    <x v="11"/>
    <x v="5"/>
    <x v="3"/>
    <x v="1"/>
    <x v="15"/>
    <x v="1"/>
    <d v="2018-04-27T00:00:00"/>
    <n v="115490"/>
    <n v="129349"/>
    <n v="0.12"/>
    <x v="0"/>
    <x v="2"/>
    <m/>
    <x v="1"/>
  </r>
  <r>
    <s v="Emp ID-544"/>
    <x v="6"/>
    <x v="3"/>
    <x v="2"/>
    <x v="1"/>
    <x v="8"/>
    <x v="2"/>
    <d v="2012-02-13T00:00:00"/>
    <n v="118708"/>
    <n v="127018"/>
    <n v="7.0000000000000007E-2"/>
    <x v="1"/>
    <x v="6"/>
    <m/>
    <x v="1"/>
  </r>
  <r>
    <s v="Emp ID-545"/>
    <x v="2"/>
    <x v="3"/>
    <x v="2"/>
    <x v="0"/>
    <x v="7"/>
    <x v="2"/>
    <d v="2017-06-28T00:00:00"/>
    <n v="197649"/>
    <n v="237179"/>
    <n v="0.2"/>
    <x v="0"/>
    <x v="7"/>
    <m/>
    <x v="1"/>
  </r>
  <r>
    <s v="Emp ID-546"/>
    <x v="4"/>
    <x v="3"/>
    <x v="2"/>
    <x v="0"/>
    <x v="15"/>
    <x v="1"/>
    <d v="2020-06-17T00:00:00"/>
    <n v="89841"/>
    <n v="89841"/>
    <n v="0"/>
    <x v="1"/>
    <x v="10"/>
    <m/>
    <x v="1"/>
  </r>
  <r>
    <s v="Emp ID-547"/>
    <x v="13"/>
    <x v="2"/>
    <x v="2"/>
    <x v="0"/>
    <x v="27"/>
    <x v="1"/>
    <d v="2019-12-20T00:00:00"/>
    <n v="61026"/>
    <n v="61026"/>
    <n v="0"/>
    <x v="0"/>
    <x v="3"/>
    <m/>
    <x v="1"/>
  </r>
  <r>
    <s v="Emp ID-548"/>
    <x v="8"/>
    <x v="5"/>
    <x v="2"/>
    <x v="0"/>
    <x v="35"/>
    <x v="1"/>
    <d v="2014-09-25T00:00:00"/>
    <n v="96693"/>
    <n v="96693"/>
    <n v="0"/>
    <x v="0"/>
    <x v="2"/>
    <m/>
    <x v="1"/>
  </r>
  <r>
    <s v="Emp ID-549"/>
    <x v="22"/>
    <x v="5"/>
    <x v="2"/>
    <x v="0"/>
    <x v="35"/>
    <x v="1"/>
    <d v="2009-06-27T00:00:00"/>
    <n v="82907"/>
    <n v="82907"/>
    <n v="0"/>
    <x v="0"/>
    <x v="0"/>
    <m/>
    <x v="1"/>
  </r>
  <r>
    <s v="Emp ID-550"/>
    <x v="9"/>
    <x v="6"/>
    <x v="3"/>
    <x v="1"/>
    <x v="12"/>
    <x v="3"/>
    <d v="2014-10-04T00:00:00"/>
    <n v="257194"/>
    <n v="347212"/>
    <n v="0.35"/>
    <x v="1"/>
    <x v="1"/>
    <m/>
    <x v="1"/>
  </r>
  <r>
    <s v="Emp ID-551"/>
    <x v="10"/>
    <x v="5"/>
    <x v="0"/>
    <x v="1"/>
    <x v="12"/>
    <x v="3"/>
    <d v="2012-01-21T00:00:00"/>
    <n v="94658"/>
    <n v="94658"/>
    <n v="0"/>
    <x v="0"/>
    <x v="4"/>
    <m/>
    <x v="1"/>
  </r>
  <r>
    <s v="Emp ID-552"/>
    <x v="10"/>
    <x v="5"/>
    <x v="0"/>
    <x v="1"/>
    <x v="0"/>
    <x v="0"/>
    <d v="2011-04-30T00:00:00"/>
    <n v="89419"/>
    <n v="89419"/>
    <n v="0"/>
    <x v="1"/>
    <x v="6"/>
    <m/>
    <x v="1"/>
  </r>
  <r>
    <s v="Emp ID-553"/>
    <x v="16"/>
    <x v="4"/>
    <x v="1"/>
    <x v="1"/>
    <x v="15"/>
    <x v="1"/>
    <d v="2015-12-19T00:00:00"/>
    <n v="51983"/>
    <n v="51983"/>
    <n v="0"/>
    <x v="0"/>
    <x v="7"/>
    <m/>
    <x v="1"/>
  </r>
  <r>
    <s v="Emp ID-554"/>
    <x v="2"/>
    <x v="2"/>
    <x v="3"/>
    <x v="0"/>
    <x v="26"/>
    <x v="1"/>
    <d v="2002-02-17T00:00:00"/>
    <n v="179494"/>
    <n v="215393"/>
    <n v="0.2"/>
    <x v="1"/>
    <x v="1"/>
    <m/>
    <x v="1"/>
  </r>
  <r>
    <s v="Emp ID-555"/>
    <x v="30"/>
    <x v="0"/>
    <x v="3"/>
    <x v="1"/>
    <x v="37"/>
    <x v="1"/>
    <d v="2016-06-24T00:00:00"/>
    <n v="68426"/>
    <n v="68426"/>
    <n v="0"/>
    <x v="2"/>
    <x v="9"/>
    <m/>
    <x v="1"/>
  </r>
  <r>
    <s v="Emp ID-556"/>
    <x v="0"/>
    <x v="2"/>
    <x v="3"/>
    <x v="0"/>
    <x v="0"/>
    <x v="0"/>
    <d v="2017-02-06T00:00:00"/>
    <n v="144986"/>
    <n v="162384"/>
    <n v="0.12"/>
    <x v="0"/>
    <x v="3"/>
    <m/>
    <x v="1"/>
  </r>
  <r>
    <s v="Emp ID-557"/>
    <x v="5"/>
    <x v="1"/>
    <x v="2"/>
    <x v="0"/>
    <x v="15"/>
    <x v="1"/>
    <d v="2000-08-16T00:00:00"/>
    <n v="60113"/>
    <n v="60113"/>
    <n v="0"/>
    <x v="0"/>
    <x v="2"/>
    <m/>
    <x v="1"/>
  </r>
  <r>
    <s v="Emp ID-558"/>
    <x v="16"/>
    <x v="4"/>
    <x v="0"/>
    <x v="0"/>
    <x v="27"/>
    <x v="1"/>
    <d v="2021-04-18T00:00:00"/>
    <n v="50548"/>
    <n v="50548"/>
    <n v="0"/>
    <x v="2"/>
    <x v="12"/>
    <m/>
    <x v="1"/>
  </r>
  <r>
    <s v="Emp ID-559"/>
    <x v="13"/>
    <x v="6"/>
    <x v="1"/>
    <x v="0"/>
    <x v="29"/>
    <x v="2"/>
    <d v="2020-03-14T00:00:00"/>
    <n v="68846"/>
    <n v="68846"/>
    <n v="0"/>
    <x v="0"/>
    <x v="2"/>
    <m/>
    <x v="1"/>
  </r>
  <r>
    <s v="Emp ID-560"/>
    <x v="29"/>
    <x v="0"/>
    <x v="3"/>
    <x v="0"/>
    <x v="1"/>
    <x v="0"/>
    <d v="2014-03-19T00:00:00"/>
    <n v="90901"/>
    <n v="90901"/>
    <n v="0"/>
    <x v="0"/>
    <x v="0"/>
    <m/>
    <x v="1"/>
  </r>
  <r>
    <s v="Emp ID-561"/>
    <x v="6"/>
    <x v="3"/>
    <x v="3"/>
    <x v="0"/>
    <x v="2"/>
    <x v="1"/>
    <d v="2012-09-03T00:00:00"/>
    <n v="102033"/>
    <n v="110196"/>
    <n v="0.08"/>
    <x v="0"/>
    <x v="5"/>
    <m/>
    <x v="1"/>
  </r>
  <r>
    <s v="Emp ID-562"/>
    <x v="2"/>
    <x v="1"/>
    <x v="1"/>
    <x v="0"/>
    <x v="22"/>
    <x v="0"/>
    <d v="2021-01-23T00:00:00"/>
    <n v="151783"/>
    <n v="191247"/>
    <n v="0.26"/>
    <x v="0"/>
    <x v="0"/>
    <m/>
    <x v="1"/>
  </r>
  <r>
    <s v="Emp ID-563"/>
    <x v="2"/>
    <x v="5"/>
    <x v="3"/>
    <x v="0"/>
    <x v="5"/>
    <x v="2"/>
    <d v="2018-12-07T00:00:00"/>
    <n v="170164"/>
    <n v="199092"/>
    <n v="0.17"/>
    <x v="0"/>
    <x v="5"/>
    <m/>
    <x v="1"/>
  </r>
  <r>
    <s v="Emp ID-564"/>
    <x v="0"/>
    <x v="6"/>
    <x v="2"/>
    <x v="0"/>
    <x v="25"/>
    <x v="3"/>
    <d v="2014-02-20T00:00:00"/>
    <n v="155905"/>
    <n v="177732"/>
    <n v="0.14000000000000001"/>
    <x v="0"/>
    <x v="3"/>
    <m/>
    <x v="1"/>
  </r>
  <r>
    <s v="Emp ID-565"/>
    <x v="7"/>
    <x v="1"/>
    <x v="3"/>
    <x v="1"/>
    <x v="28"/>
    <x v="3"/>
    <d v="2016-12-17T00:00:00"/>
    <n v="50733"/>
    <n v="50733"/>
    <n v="0"/>
    <x v="0"/>
    <x v="4"/>
    <m/>
    <x v="1"/>
  </r>
  <r>
    <s v="Emp ID-566"/>
    <x v="15"/>
    <x v="4"/>
    <x v="3"/>
    <x v="0"/>
    <x v="23"/>
    <x v="2"/>
    <d v="2017-01-26T00:00:00"/>
    <n v="88663"/>
    <n v="88663"/>
    <n v="0"/>
    <x v="0"/>
    <x v="3"/>
    <m/>
    <x v="1"/>
  </r>
  <r>
    <s v="Emp ID-567"/>
    <x v="17"/>
    <x v="5"/>
    <x v="1"/>
    <x v="1"/>
    <x v="33"/>
    <x v="0"/>
    <d v="1992-10-13T00:00:00"/>
    <n v="88213"/>
    <n v="88213"/>
    <n v="0"/>
    <x v="1"/>
    <x v="1"/>
    <m/>
    <x v="1"/>
  </r>
  <r>
    <s v="Emp ID-568"/>
    <x v="13"/>
    <x v="1"/>
    <x v="2"/>
    <x v="1"/>
    <x v="0"/>
    <x v="0"/>
    <d v="2021-08-02T00:00:00"/>
    <n v="67130"/>
    <n v="67130"/>
    <n v="0"/>
    <x v="0"/>
    <x v="4"/>
    <m/>
    <x v="1"/>
  </r>
  <r>
    <s v="Emp ID-569"/>
    <x v="4"/>
    <x v="2"/>
    <x v="2"/>
    <x v="0"/>
    <x v="29"/>
    <x v="2"/>
    <d v="2015-10-08T00:00:00"/>
    <n v="94876"/>
    <n v="94876"/>
    <n v="0"/>
    <x v="0"/>
    <x v="4"/>
    <m/>
    <x v="1"/>
  </r>
  <r>
    <s v="Emp ID-570"/>
    <x v="25"/>
    <x v="5"/>
    <x v="2"/>
    <x v="1"/>
    <x v="39"/>
    <x v="0"/>
    <d v="1994-10-09T00:00:00"/>
    <n v="98230"/>
    <n v="98230"/>
    <n v="0"/>
    <x v="0"/>
    <x v="4"/>
    <m/>
    <x v="1"/>
  </r>
  <r>
    <s v="Emp ID-571"/>
    <x v="22"/>
    <x v="5"/>
    <x v="0"/>
    <x v="0"/>
    <x v="9"/>
    <x v="3"/>
    <d v="2018-12-14T00:00:00"/>
    <n v="96757"/>
    <n v="96757"/>
    <n v="0"/>
    <x v="0"/>
    <x v="7"/>
    <m/>
    <x v="1"/>
  </r>
  <r>
    <s v="Emp ID-572"/>
    <x v="13"/>
    <x v="6"/>
    <x v="1"/>
    <x v="1"/>
    <x v="25"/>
    <x v="3"/>
    <d v="2020-07-03T00:00:00"/>
    <n v="51513"/>
    <n v="51513"/>
    <n v="0"/>
    <x v="0"/>
    <x v="7"/>
    <m/>
    <x v="1"/>
  </r>
  <r>
    <s v="Emp ID-573"/>
    <x v="9"/>
    <x v="6"/>
    <x v="3"/>
    <x v="1"/>
    <x v="33"/>
    <x v="0"/>
    <d v="2007-01-27T00:00:00"/>
    <n v="234311"/>
    <n v="321006"/>
    <n v="0.37"/>
    <x v="0"/>
    <x v="4"/>
    <m/>
    <x v="1"/>
  </r>
  <r>
    <s v="Emp ID-574"/>
    <x v="0"/>
    <x v="4"/>
    <x v="2"/>
    <x v="0"/>
    <x v="15"/>
    <x v="1"/>
    <d v="2011-05-22T00:00:00"/>
    <n v="152353"/>
    <n v="173682"/>
    <n v="0.14000000000000001"/>
    <x v="0"/>
    <x v="0"/>
    <m/>
    <x v="1"/>
  </r>
  <r>
    <s v="Emp ID-575"/>
    <x v="0"/>
    <x v="3"/>
    <x v="2"/>
    <x v="0"/>
    <x v="35"/>
    <x v="1"/>
    <d v="2010-07-30T00:00:00"/>
    <n v="124774"/>
    <n v="139747"/>
    <n v="0.12"/>
    <x v="0"/>
    <x v="3"/>
    <m/>
    <x v="1"/>
  </r>
  <r>
    <s v="Emp ID-576"/>
    <x v="2"/>
    <x v="6"/>
    <x v="3"/>
    <x v="0"/>
    <x v="9"/>
    <x v="3"/>
    <d v="2010-09-13T00:00:00"/>
    <n v="157070"/>
    <n v="201050"/>
    <n v="0.28000000000000003"/>
    <x v="1"/>
    <x v="1"/>
    <m/>
    <x v="1"/>
  </r>
  <r>
    <s v="Emp ID-577"/>
    <x v="0"/>
    <x v="2"/>
    <x v="2"/>
    <x v="1"/>
    <x v="18"/>
    <x v="3"/>
    <d v="2019-08-08T00:00:00"/>
    <n v="130133"/>
    <n v="149653"/>
    <n v="0.15"/>
    <x v="0"/>
    <x v="5"/>
    <d v="2022-05-18T00:00:00"/>
    <x v="0"/>
  </r>
  <r>
    <s v="Emp ID-578"/>
    <x v="6"/>
    <x v="6"/>
    <x v="1"/>
    <x v="0"/>
    <x v="14"/>
    <x v="0"/>
    <d v="2019-09-21T00:00:00"/>
    <n v="108780"/>
    <n v="115307"/>
    <n v="0.06"/>
    <x v="1"/>
    <x v="6"/>
    <m/>
    <x v="1"/>
  </r>
  <r>
    <s v="Emp ID-579"/>
    <x v="2"/>
    <x v="5"/>
    <x v="2"/>
    <x v="0"/>
    <x v="30"/>
    <x v="1"/>
    <d v="2020-10-21T00:00:00"/>
    <n v="151853"/>
    <n v="176149"/>
    <n v="0.16"/>
    <x v="1"/>
    <x v="11"/>
    <m/>
    <x v="1"/>
  </r>
  <r>
    <s v="Emp ID-580"/>
    <x v="5"/>
    <x v="1"/>
    <x v="1"/>
    <x v="0"/>
    <x v="39"/>
    <x v="0"/>
    <d v="2006-09-17T00:00:00"/>
    <n v="64669"/>
    <n v="64669"/>
    <n v="0"/>
    <x v="1"/>
    <x v="1"/>
    <m/>
    <x v="1"/>
  </r>
  <r>
    <s v="Emp ID-581"/>
    <x v="13"/>
    <x v="6"/>
    <x v="0"/>
    <x v="1"/>
    <x v="22"/>
    <x v="0"/>
    <d v="2008-04-30T00:00:00"/>
    <n v="69352"/>
    <n v="69352"/>
    <n v="0"/>
    <x v="2"/>
    <x v="9"/>
    <m/>
    <x v="1"/>
  </r>
  <r>
    <s v="Emp ID-582"/>
    <x v="13"/>
    <x v="6"/>
    <x v="0"/>
    <x v="1"/>
    <x v="13"/>
    <x v="4"/>
    <d v="2001-10-17T00:00:00"/>
    <n v="74631"/>
    <n v="74631"/>
    <n v="0"/>
    <x v="1"/>
    <x v="1"/>
    <m/>
    <x v="1"/>
  </r>
  <r>
    <s v="Emp ID-583"/>
    <x v="10"/>
    <x v="5"/>
    <x v="2"/>
    <x v="1"/>
    <x v="36"/>
    <x v="1"/>
    <d v="2012-04-29T00:00:00"/>
    <n v="96441"/>
    <n v="96441"/>
    <n v="0"/>
    <x v="2"/>
    <x v="12"/>
    <m/>
    <x v="1"/>
  </r>
  <r>
    <s v="Emp ID-584"/>
    <x v="11"/>
    <x v="5"/>
    <x v="2"/>
    <x v="1"/>
    <x v="30"/>
    <x v="1"/>
    <d v="2011-10-20T00:00:00"/>
    <n v="114250"/>
    <n v="130245"/>
    <n v="0.14000000000000001"/>
    <x v="1"/>
    <x v="11"/>
    <m/>
    <x v="1"/>
  </r>
  <r>
    <s v="Emp ID-585"/>
    <x v="3"/>
    <x v="0"/>
    <x v="3"/>
    <x v="1"/>
    <x v="9"/>
    <x v="3"/>
    <d v="2020-12-27T00:00:00"/>
    <n v="70165"/>
    <n v="75077"/>
    <n v="7.0000000000000007E-2"/>
    <x v="2"/>
    <x v="8"/>
    <m/>
    <x v="1"/>
  </r>
  <r>
    <s v="Emp ID-586"/>
    <x v="6"/>
    <x v="0"/>
    <x v="3"/>
    <x v="1"/>
    <x v="33"/>
    <x v="0"/>
    <d v="2000-01-29T00:00:00"/>
    <n v="109059"/>
    <n v="116693"/>
    <n v="7.0000000000000007E-2"/>
    <x v="1"/>
    <x v="11"/>
    <m/>
    <x v="1"/>
  </r>
  <r>
    <s v="Emp ID-587"/>
    <x v="19"/>
    <x v="5"/>
    <x v="0"/>
    <x v="0"/>
    <x v="23"/>
    <x v="2"/>
    <d v="2015-11-14T00:00:00"/>
    <n v="77442"/>
    <n v="77442"/>
    <n v="0"/>
    <x v="0"/>
    <x v="7"/>
    <m/>
    <x v="1"/>
  </r>
  <r>
    <s v="Emp ID-588"/>
    <x v="13"/>
    <x v="1"/>
    <x v="3"/>
    <x v="0"/>
    <x v="8"/>
    <x v="2"/>
    <d v="2012-06-06T00:00:00"/>
    <n v="72126"/>
    <n v="72126"/>
    <n v="0"/>
    <x v="2"/>
    <x v="8"/>
    <m/>
    <x v="1"/>
  </r>
  <r>
    <s v="Emp ID-589"/>
    <x v="31"/>
    <x v="0"/>
    <x v="1"/>
    <x v="1"/>
    <x v="0"/>
    <x v="0"/>
    <d v="2013-10-18T00:00:00"/>
    <n v="70334"/>
    <n v="70334"/>
    <n v="0"/>
    <x v="0"/>
    <x v="4"/>
    <m/>
    <x v="1"/>
  </r>
  <r>
    <s v="Emp ID-590"/>
    <x v="10"/>
    <x v="5"/>
    <x v="0"/>
    <x v="1"/>
    <x v="1"/>
    <x v="0"/>
    <d v="2009-12-23T00:00:00"/>
    <n v="78006"/>
    <n v="78006"/>
    <n v="0"/>
    <x v="0"/>
    <x v="4"/>
    <m/>
    <x v="1"/>
  </r>
  <r>
    <s v="Emp ID-591"/>
    <x v="2"/>
    <x v="0"/>
    <x v="1"/>
    <x v="0"/>
    <x v="21"/>
    <x v="2"/>
    <d v="2021-01-25T00:00:00"/>
    <n v="160385"/>
    <n v="197274"/>
    <n v="0.23"/>
    <x v="0"/>
    <x v="4"/>
    <d v="2021-05-18T00:00:00"/>
    <x v="0"/>
  </r>
  <r>
    <s v="Emp ID-592"/>
    <x v="9"/>
    <x v="2"/>
    <x v="3"/>
    <x v="0"/>
    <x v="9"/>
    <x v="3"/>
    <d v="2014-01-11T00:00:00"/>
    <n v="202323"/>
    <n v="281229"/>
    <n v="0.39"/>
    <x v="0"/>
    <x v="2"/>
    <m/>
    <x v="1"/>
  </r>
  <r>
    <s v="Emp ID-593"/>
    <x v="0"/>
    <x v="4"/>
    <x v="3"/>
    <x v="0"/>
    <x v="7"/>
    <x v="2"/>
    <d v="2020-07-13T00:00:00"/>
    <n v="141555"/>
    <n v="157126"/>
    <n v="0.11"/>
    <x v="2"/>
    <x v="8"/>
    <m/>
    <x v="1"/>
  </r>
  <r>
    <s v="Emp ID-594"/>
    <x v="2"/>
    <x v="2"/>
    <x v="2"/>
    <x v="0"/>
    <x v="8"/>
    <x v="2"/>
    <d v="2020-07-20T00:00:00"/>
    <n v="184960"/>
    <n v="218253"/>
    <n v="0.18"/>
    <x v="0"/>
    <x v="0"/>
    <m/>
    <x v="1"/>
  </r>
  <r>
    <s v="Emp ID-595"/>
    <x v="9"/>
    <x v="0"/>
    <x v="1"/>
    <x v="1"/>
    <x v="17"/>
    <x v="3"/>
    <d v="2011-06-25T00:00:00"/>
    <n v="221592"/>
    <n v="290286"/>
    <n v="0.31"/>
    <x v="0"/>
    <x v="7"/>
    <m/>
    <x v="1"/>
  </r>
  <r>
    <s v="Emp ID-596"/>
    <x v="16"/>
    <x v="4"/>
    <x v="1"/>
    <x v="0"/>
    <x v="18"/>
    <x v="3"/>
    <d v="2009-01-28T00:00:00"/>
    <n v="53301"/>
    <n v="53301"/>
    <n v="0"/>
    <x v="0"/>
    <x v="0"/>
    <m/>
    <x v="1"/>
  </r>
  <r>
    <s v="Emp ID-597"/>
    <x v="21"/>
    <x v="0"/>
    <x v="3"/>
    <x v="1"/>
    <x v="15"/>
    <x v="1"/>
    <d v="2000-03-02T00:00:00"/>
    <n v="91276"/>
    <n v="91276"/>
    <n v="0"/>
    <x v="0"/>
    <x v="0"/>
    <m/>
    <x v="1"/>
  </r>
  <r>
    <s v="Emp ID-598"/>
    <x v="0"/>
    <x v="4"/>
    <x v="0"/>
    <x v="0"/>
    <x v="27"/>
    <x v="1"/>
    <d v="2017-09-05T00:00:00"/>
    <n v="140042"/>
    <n v="158247"/>
    <n v="0.13"/>
    <x v="0"/>
    <x v="5"/>
    <m/>
    <x v="1"/>
  </r>
  <r>
    <s v="Emp ID-599"/>
    <x v="7"/>
    <x v="3"/>
    <x v="1"/>
    <x v="0"/>
    <x v="28"/>
    <x v="3"/>
    <d v="2018-12-06T00:00:00"/>
    <n v="57225"/>
    <n v="57225"/>
    <n v="0"/>
    <x v="0"/>
    <x v="7"/>
    <m/>
    <x v="1"/>
  </r>
  <r>
    <s v="Emp ID-600"/>
    <x v="6"/>
    <x v="4"/>
    <x v="2"/>
    <x v="0"/>
    <x v="0"/>
    <x v="0"/>
    <d v="2010-02-24T00:00:00"/>
    <n v="102839"/>
    <n v="107981"/>
    <n v="0.05"/>
    <x v="0"/>
    <x v="4"/>
    <m/>
    <x v="1"/>
  </r>
  <r>
    <s v="Emp ID-601"/>
    <x v="2"/>
    <x v="6"/>
    <x v="0"/>
    <x v="1"/>
    <x v="7"/>
    <x v="2"/>
    <d v="2021-09-15T00:00:00"/>
    <n v="199783"/>
    <n v="241737"/>
    <n v="0.21"/>
    <x v="0"/>
    <x v="2"/>
    <d v="2022-04-10T00:00:00"/>
    <x v="0"/>
  </r>
  <r>
    <s v="Emp ID-602"/>
    <x v="15"/>
    <x v="4"/>
    <x v="0"/>
    <x v="1"/>
    <x v="24"/>
    <x v="2"/>
    <d v="2021-04-09T00:00:00"/>
    <n v="70980"/>
    <n v="70980"/>
    <n v="0"/>
    <x v="2"/>
    <x v="9"/>
    <m/>
    <x v="1"/>
  </r>
  <r>
    <s v="Emp ID-603"/>
    <x v="6"/>
    <x v="6"/>
    <x v="3"/>
    <x v="1"/>
    <x v="10"/>
    <x v="1"/>
    <d v="1997-01-26T00:00:00"/>
    <n v="104431"/>
    <n v="111741"/>
    <n v="7.0000000000000007E-2"/>
    <x v="0"/>
    <x v="3"/>
    <m/>
    <x v="1"/>
  </r>
  <r>
    <s v="Emp ID-604"/>
    <x v="20"/>
    <x v="4"/>
    <x v="2"/>
    <x v="1"/>
    <x v="21"/>
    <x v="2"/>
    <d v="2021-06-27T00:00:00"/>
    <n v="48510"/>
    <n v="48510"/>
    <n v="0"/>
    <x v="0"/>
    <x v="2"/>
    <m/>
    <x v="1"/>
  </r>
  <r>
    <s v="Emp ID-605"/>
    <x v="10"/>
    <x v="5"/>
    <x v="2"/>
    <x v="1"/>
    <x v="5"/>
    <x v="2"/>
    <d v="2019-05-28T00:00:00"/>
    <n v="70110"/>
    <n v="70110"/>
    <n v="0"/>
    <x v="0"/>
    <x v="4"/>
    <d v="2021-01-07T00:00:00"/>
    <x v="0"/>
  </r>
  <r>
    <s v="Emp ID-606"/>
    <x v="2"/>
    <x v="6"/>
    <x v="3"/>
    <x v="1"/>
    <x v="15"/>
    <x v="1"/>
    <d v="2008-03-12T00:00:00"/>
    <n v="186138"/>
    <n v="238257"/>
    <n v="0.28000000000000003"/>
    <x v="1"/>
    <x v="1"/>
    <m/>
    <x v="1"/>
  </r>
  <r>
    <s v="Emp ID-607"/>
    <x v="7"/>
    <x v="3"/>
    <x v="1"/>
    <x v="1"/>
    <x v="32"/>
    <x v="0"/>
    <d v="2010-04-19T00:00:00"/>
    <n v="56350"/>
    <n v="56350"/>
    <n v="0"/>
    <x v="2"/>
    <x v="9"/>
    <m/>
    <x v="1"/>
  </r>
  <r>
    <s v="Emp ID-608"/>
    <x v="0"/>
    <x v="2"/>
    <x v="0"/>
    <x v="0"/>
    <x v="15"/>
    <x v="1"/>
    <d v="2016-01-10T00:00:00"/>
    <n v="149761"/>
    <n v="167732"/>
    <n v="0.12"/>
    <x v="0"/>
    <x v="7"/>
    <m/>
    <x v="1"/>
  </r>
  <r>
    <s v="Emp ID-609"/>
    <x v="0"/>
    <x v="2"/>
    <x v="3"/>
    <x v="1"/>
    <x v="18"/>
    <x v="3"/>
    <d v="2007-08-11T00:00:00"/>
    <n v="126277"/>
    <n v="142693"/>
    <n v="0.13"/>
    <x v="2"/>
    <x v="8"/>
    <m/>
    <x v="1"/>
  </r>
  <r>
    <s v="Emp ID-610"/>
    <x v="6"/>
    <x v="1"/>
    <x v="2"/>
    <x v="1"/>
    <x v="29"/>
    <x v="2"/>
    <d v="2013-06-21T00:00:00"/>
    <n v="119631"/>
    <n v="126809"/>
    <n v="0.06"/>
    <x v="0"/>
    <x v="3"/>
    <m/>
    <x v="1"/>
  </r>
  <r>
    <s v="Emp ID-611"/>
    <x v="9"/>
    <x v="0"/>
    <x v="0"/>
    <x v="1"/>
    <x v="3"/>
    <x v="2"/>
    <d v="2020-05-09T00:00:00"/>
    <n v="256561"/>
    <n v="356620"/>
    <n v="0.39"/>
    <x v="0"/>
    <x v="5"/>
    <m/>
    <x v="1"/>
  </r>
  <r>
    <s v="Emp ID-612"/>
    <x v="29"/>
    <x v="0"/>
    <x v="2"/>
    <x v="0"/>
    <x v="15"/>
    <x v="1"/>
    <d v="2020-04-16T00:00:00"/>
    <n v="66958"/>
    <n v="66958"/>
    <n v="0"/>
    <x v="0"/>
    <x v="4"/>
    <m/>
    <x v="1"/>
  </r>
  <r>
    <s v="Emp ID-613"/>
    <x v="0"/>
    <x v="1"/>
    <x v="1"/>
    <x v="0"/>
    <x v="30"/>
    <x v="1"/>
    <d v="2004-02-29T00:00:00"/>
    <n v="158897"/>
    <n v="174787"/>
    <n v="0.1"/>
    <x v="1"/>
    <x v="1"/>
    <m/>
    <x v="1"/>
  </r>
  <r>
    <s v="Emp ID-614"/>
    <x v="1"/>
    <x v="0"/>
    <x v="3"/>
    <x v="1"/>
    <x v="17"/>
    <x v="3"/>
    <d v="2008-02-15T00:00:00"/>
    <n v="71695"/>
    <n v="71695"/>
    <n v="0"/>
    <x v="0"/>
    <x v="3"/>
    <m/>
    <x v="1"/>
  </r>
  <r>
    <s v="Emp ID-615"/>
    <x v="4"/>
    <x v="6"/>
    <x v="3"/>
    <x v="1"/>
    <x v="28"/>
    <x v="3"/>
    <d v="2014-09-22T00:00:00"/>
    <n v="73779"/>
    <n v="73779"/>
    <n v="0"/>
    <x v="1"/>
    <x v="1"/>
    <d v="2019-05-09T00:00:00"/>
    <x v="0"/>
  </r>
  <r>
    <s v="Emp ID-616"/>
    <x v="6"/>
    <x v="1"/>
    <x v="2"/>
    <x v="0"/>
    <x v="15"/>
    <x v="1"/>
    <d v="2011-10-20T00:00:00"/>
    <n v="123640"/>
    <n v="132295"/>
    <n v="7.0000000000000007E-2"/>
    <x v="1"/>
    <x v="6"/>
    <m/>
    <x v="1"/>
  </r>
  <r>
    <s v="Emp ID-617"/>
    <x v="7"/>
    <x v="1"/>
    <x v="2"/>
    <x v="0"/>
    <x v="29"/>
    <x v="2"/>
    <d v="2014-04-13T00:00:00"/>
    <n v="46878"/>
    <n v="46878"/>
    <n v="0"/>
    <x v="0"/>
    <x v="4"/>
    <m/>
    <x v="1"/>
  </r>
  <r>
    <s v="Emp ID-618"/>
    <x v="7"/>
    <x v="6"/>
    <x v="2"/>
    <x v="0"/>
    <x v="14"/>
    <x v="0"/>
    <d v="2003-02-10T00:00:00"/>
    <n v="57032"/>
    <n v="57032"/>
    <n v="0"/>
    <x v="0"/>
    <x v="4"/>
    <m/>
    <x v="1"/>
  </r>
  <r>
    <s v="Emp ID-619"/>
    <x v="4"/>
    <x v="1"/>
    <x v="1"/>
    <x v="0"/>
    <x v="4"/>
    <x v="0"/>
    <d v="2007-10-02T00:00:00"/>
    <n v="98150"/>
    <n v="98150"/>
    <n v="0"/>
    <x v="2"/>
    <x v="9"/>
    <m/>
    <x v="1"/>
  </r>
  <r>
    <s v="Emp ID-620"/>
    <x v="2"/>
    <x v="6"/>
    <x v="1"/>
    <x v="0"/>
    <x v="25"/>
    <x v="3"/>
    <d v="2017-03-06T00:00:00"/>
    <n v="171426"/>
    <n v="197140"/>
    <n v="0.15"/>
    <x v="1"/>
    <x v="10"/>
    <d v="2017-09-22T00:00:00"/>
    <x v="0"/>
  </r>
  <r>
    <s v="Emp ID-621"/>
    <x v="7"/>
    <x v="2"/>
    <x v="1"/>
    <x v="0"/>
    <x v="0"/>
    <x v="0"/>
    <d v="2021-04-16T00:00:00"/>
    <n v="48266"/>
    <n v="48266"/>
    <n v="0"/>
    <x v="0"/>
    <x v="2"/>
    <m/>
    <x v="1"/>
  </r>
  <r>
    <s v="Emp ID-622"/>
    <x v="9"/>
    <x v="2"/>
    <x v="0"/>
    <x v="1"/>
    <x v="9"/>
    <x v="3"/>
    <d v="2018-08-18T00:00:00"/>
    <n v="223404"/>
    <n v="294893"/>
    <n v="0.32"/>
    <x v="0"/>
    <x v="7"/>
    <m/>
    <x v="1"/>
  </r>
  <r>
    <s v="Emp ID-623"/>
    <x v="27"/>
    <x v="0"/>
    <x v="2"/>
    <x v="0"/>
    <x v="4"/>
    <x v="0"/>
    <d v="2014-01-10T00:00:00"/>
    <n v="74854"/>
    <n v="74854"/>
    <n v="0"/>
    <x v="0"/>
    <x v="0"/>
    <m/>
    <x v="1"/>
  </r>
  <r>
    <s v="Emp ID-624"/>
    <x v="9"/>
    <x v="3"/>
    <x v="2"/>
    <x v="0"/>
    <x v="35"/>
    <x v="1"/>
    <d v="2007-04-25T00:00:00"/>
    <n v="217783"/>
    <n v="296185"/>
    <n v="0.36"/>
    <x v="0"/>
    <x v="0"/>
    <m/>
    <x v="1"/>
  </r>
  <r>
    <s v="Emp ID-625"/>
    <x v="28"/>
    <x v="0"/>
    <x v="1"/>
    <x v="0"/>
    <x v="26"/>
    <x v="1"/>
    <d v="2004-08-15T00:00:00"/>
    <n v="44735"/>
    <n v="44735"/>
    <n v="0"/>
    <x v="2"/>
    <x v="8"/>
    <m/>
    <x v="1"/>
  </r>
  <r>
    <s v="Emp ID-626"/>
    <x v="13"/>
    <x v="2"/>
    <x v="1"/>
    <x v="0"/>
    <x v="12"/>
    <x v="3"/>
    <d v="2007-01-09T00:00:00"/>
    <n v="50685"/>
    <n v="50685"/>
    <n v="0"/>
    <x v="0"/>
    <x v="7"/>
    <m/>
    <x v="1"/>
  </r>
  <r>
    <s v="Emp ID-627"/>
    <x v="13"/>
    <x v="1"/>
    <x v="0"/>
    <x v="1"/>
    <x v="8"/>
    <x v="2"/>
    <d v="2018-03-10T00:00:00"/>
    <n v="58993"/>
    <n v="58993"/>
    <n v="0"/>
    <x v="0"/>
    <x v="5"/>
    <m/>
    <x v="1"/>
  </r>
  <r>
    <s v="Emp ID-628"/>
    <x v="19"/>
    <x v="5"/>
    <x v="3"/>
    <x v="1"/>
    <x v="40"/>
    <x v="1"/>
    <d v="2020-06-08T00:00:00"/>
    <n v="115765"/>
    <n v="115765"/>
    <n v="0"/>
    <x v="0"/>
    <x v="4"/>
    <d v="2021-02-02T00:00:00"/>
    <x v="0"/>
  </r>
  <r>
    <s v="Emp ID-629"/>
    <x v="2"/>
    <x v="3"/>
    <x v="1"/>
    <x v="0"/>
    <x v="20"/>
    <x v="0"/>
    <d v="2007-03-06T00:00:00"/>
    <n v="193044"/>
    <n v="222001"/>
    <n v="0.15"/>
    <x v="0"/>
    <x v="4"/>
    <m/>
    <x v="1"/>
  </r>
  <r>
    <s v="Emp ID-630"/>
    <x v="7"/>
    <x v="6"/>
    <x v="0"/>
    <x v="0"/>
    <x v="13"/>
    <x v="4"/>
    <d v="2011-06-17T00:00:00"/>
    <n v="56686"/>
    <n v="56686"/>
    <n v="0"/>
    <x v="0"/>
    <x v="0"/>
    <d v="2015-06-09T00:00:00"/>
    <x v="0"/>
  </r>
  <r>
    <s v="Emp ID-631"/>
    <x v="0"/>
    <x v="2"/>
    <x v="1"/>
    <x v="0"/>
    <x v="29"/>
    <x v="2"/>
    <d v="2019-10-25T00:00:00"/>
    <n v="131652"/>
    <n v="146134"/>
    <n v="0.11"/>
    <x v="0"/>
    <x v="0"/>
    <m/>
    <x v="1"/>
  </r>
  <r>
    <s v="Emp ID-632"/>
    <x v="2"/>
    <x v="6"/>
    <x v="1"/>
    <x v="0"/>
    <x v="15"/>
    <x v="1"/>
    <d v="2008-02-29T00:00:00"/>
    <n v="150577"/>
    <n v="188221"/>
    <n v="0.25"/>
    <x v="0"/>
    <x v="4"/>
    <m/>
    <x v="1"/>
  </r>
  <r>
    <s v="Emp ID-633"/>
    <x v="11"/>
    <x v="5"/>
    <x v="0"/>
    <x v="0"/>
    <x v="17"/>
    <x v="3"/>
    <d v="2018-12-27T00:00:00"/>
    <n v="87359"/>
    <n v="96968"/>
    <n v="0.11"/>
    <x v="2"/>
    <x v="9"/>
    <m/>
    <x v="1"/>
  </r>
  <r>
    <s v="Emp ID-634"/>
    <x v="13"/>
    <x v="1"/>
    <x v="2"/>
    <x v="0"/>
    <x v="33"/>
    <x v="0"/>
    <d v="2014-01-08T00:00:00"/>
    <n v="51877"/>
    <n v="51877"/>
    <n v="0"/>
    <x v="1"/>
    <x v="10"/>
    <m/>
    <x v="1"/>
  </r>
  <r>
    <s v="Emp ID-635"/>
    <x v="29"/>
    <x v="0"/>
    <x v="1"/>
    <x v="1"/>
    <x v="19"/>
    <x v="3"/>
    <d v="2017-01-18T00:00:00"/>
    <n v="86417"/>
    <n v="86417"/>
    <n v="0"/>
    <x v="0"/>
    <x v="2"/>
    <m/>
    <x v="1"/>
  </r>
  <r>
    <s v="Emp ID-636"/>
    <x v="27"/>
    <x v="0"/>
    <x v="0"/>
    <x v="0"/>
    <x v="13"/>
    <x v="4"/>
    <d v="2003-05-08T00:00:00"/>
    <n v="96548"/>
    <n v="96548"/>
    <n v="0"/>
    <x v="0"/>
    <x v="5"/>
    <m/>
    <x v="1"/>
  </r>
  <r>
    <s v="Emp ID-637"/>
    <x v="4"/>
    <x v="3"/>
    <x v="1"/>
    <x v="0"/>
    <x v="19"/>
    <x v="3"/>
    <d v="2014-01-23T00:00:00"/>
    <n v="92940"/>
    <n v="92940"/>
    <n v="0"/>
    <x v="1"/>
    <x v="11"/>
    <m/>
    <x v="1"/>
  </r>
  <r>
    <s v="Emp ID-638"/>
    <x v="13"/>
    <x v="3"/>
    <x v="2"/>
    <x v="1"/>
    <x v="21"/>
    <x v="2"/>
    <d v="2018-08-24T00:00:00"/>
    <n v="61410"/>
    <n v="61410"/>
    <n v="0"/>
    <x v="0"/>
    <x v="3"/>
    <m/>
    <x v="1"/>
  </r>
  <r>
    <s v="Emp ID-639"/>
    <x v="6"/>
    <x v="2"/>
    <x v="2"/>
    <x v="0"/>
    <x v="22"/>
    <x v="0"/>
    <d v="2010-04-25T00:00:00"/>
    <n v="110302"/>
    <n v="116920"/>
    <n v="0.06"/>
    <x v="0"/>
    <x v="4"/>
    <m/>
    <x v="1"/>
  </r>
  <r>
    <s v="Emp ID-640"/>
    <x v="2"/>
    <x v="5"/>
    <x v="2"/>
    <x v="0"/>
    <x v="15"/>
    <x v="1"/>
    <d v="2018-04-22T00:00:00"/>
    <n v="187205"/>
    <n v="232134"/>
    <n v="0.24"/>
    <x v="0"/>
    <x v="7"/>
    <d v="2022-06-20T00:00:00"/>
    <x v="0"/>
  </r>
  <r>
    <s v="Emp ID-641"/>
    <x v="4"/>
    <x v="1"/>
    <x v="3"/>
    <x v="1"/>
    <x v="15"/>
    <x v="1"/>
    <d v="2011-03-16T00:00:00"/>
    <n v="81687"/>
    <n v="81687"/>
    <n v="0"/>
    <x v="0"/>
    <x v="3"/>
    <m/>
    <x v="1"/>
  </r>
  <r>
    <s v="Emp ID-642"/>
    <x v="9"/>
    <x v="0"/>
    <x v="2"/>
    <x v="1"/>
    <x v="36"/>
    <x v="1"/>
    <d v="2009-08-15T00:00:00"/>
    <n v="241083"/>
    <n v="335105"/>
    <n v="0.39"/>
    <x v="0"/>
    <x v="7"/>
    <m/>
    <x v="1"/>
  </r>
  <r>
    <s v="Emp ID-643"/>
    <x v="9"/>
    <x v="2"/>
    <x v="2"/>
    <x v="0"/>
    <x v="31"/>
    <x v="3"/>
    <d v="2018-11-09T00:00:00"/>
    <n v="223805"/>
    <n v="304375"/>
    <n v="0.36"/>
    <x v="0"/>
    <x v="2"/>
    <m/>
    <x v="1"/>
  </r>
  <r>
    <s v="Emp ID-644"/>
    <x v="2"/>
    <x v="3"/>
    <x v="3"/>
    <x v="0"/>
    <x v="5"/>
    <x v="2"/>
    <d v="2021-07-16T00:00:00"/>
    <n v="161759"/>
    <n v="187640"/>
    <n v="0.16"/>
    <x v="0"/>
    <x v="4"/>
    <m/>
    <x v="1"/>
  </r>
  <r>
    <s v="Emp ID-645"/>
    <x v="3"/>
    <x v="0"/>
    <x v="0"/>
    <x v="1"/>
    <x v="28"/>
    <x v="3"/>
    <d v="2019-02-24T00:00:00"/>
    <n v="95899"/>
    <n v="105489"/>
    <n v="0.1"/>
    <x v="0"/>
    <x v="7"/>
    <d v="2021-03-08T00:00:00"/>
    <x v="0"/>
  </r>
  <r>
    <s v="Emp ID-646"/>
    <x v="4"/>
    <x v="2"/>
    <x v="3"/>
    <x v="1"/>
    <x v="37"/>
    <x v="1"/>
    <d v="2019-06-07T00:00:00"/>
    <n v="80700"/>
    <n v="80700"/>
    <n v="0"/>
    <x v="0"/>
    <x v="7"/>
    <m/>
    <x v="1"/>
  </r>
  <r>
    <s v="Emp ID-647"/>
    <x v="6"/>
    <x v="4"/>
    <x v="2"/>
    <x v="1"/>
    <x v="36"/>
    <x v="1"/>
    <d v="1997-03-11T00:00:00"/>
    <n v="128136"/>
    <n v="134543"/>
    <n v="0.05"/>
    <x v="1"/>
    <x v="10"/>
    <m/>
    <x v="1"/>
  </r>
  <r>
    <s v="Emp ID-648"/>
    <x v="13"/>
    <x v="6"/>
    <x v="3"/>
    <x v="0"/>
    <x v="38"/>
    <x v="3"/>
    <d v="2017-04-18T00:00:00"/>
    <n v="58745"/>
    <n v="58745"/>
    <n v="0"/>
    <x v="0"/>
    <x v="5"/>
    <m/>
    <x v="1"/>
  </r>
  <r>
    <s v="Emp ID-649"/>
    <x v="1"/>
    <x v="0"/>
    <x v="3"/>
    <x v="0"/>
    <x v="4"/>
    <x v="0"/>
    <d v="1992-05-04T00:00:00"/>
    <n v="76202"/>
    <n v="76202"/>
    <n v="0"/>
    <x v="0"/>
    <x v="5"/>
    <d v="1994-12-18T00:00:00"/>
    <x v="0"/>
  </r>
  <r>
    <s v="Emp ID-650"/>
    <x v="9"/>
    <x v="1"/>
    <x v="2"/>
    <x v="1"/>
    <x v="9"/>
    <x v="3"/>
    <d v="2018-03-19T00:00:00"/>
    <n v="195200"/>
    <n v="265472"/>
    <n v="0.36"/>
    <x v="0"/>
    <x v="5"/>
    <m/>
    <x v="1"/>
  </r>
  <r>
    <s v="Emp ID-651"/>
    <x v="13"/>
    <x v="2"/>
    <x v="1"/>
    <x v="0"/>
    <x v="15"/>
    <x v="1"/>
    <d v="2016-12-07T00:00:00"/>
    <n v="71454"/>
    <n v="71454"/>
    <n v="0"/>
    <x v="1"/>
    <x v="6"/>
    <m/>
    <x v="1"/>
  </r>
  <r>
    <s v="Emp ID-652"/>
    <x v="21"/>
    <x v="0"/>
    <x v="1"/>
    <x v="0"/>
    <x v="23"/>
    <x v="2"/>
    <d v="2020-02-03T00:00:00"/>
    <n v="94652"/>
    <n v="94652"/>
    <n v="0"/>
    <x v="0"/>
    <x v="0"/>
    <m/>
    <x v="1"/>
  </r>
  <r>
    <s v="Emp ID-653"/>
    <x v="1"/>
    <x v="0"/>
    <x v="1"/>
    <x v="1"/>
    <x v="8"/>
    <x v="2"/>
    <d v="2016-02-16T00:00:00"/>
    <n v="63411"/>
    <n v="63411"/>
    <n v="0"/>
    <x v="0"/>
    <x v="4"/>
    <m/>
    <x v="1"/>
  </r>
  <r>
    <s v="Emp ID-654"/>
    <x v="13"/>
    <x v="1"/>
    <x v="2"/>
    <x v="1"/>
    <x v="11"/>
    <x v="2"/>
    <d v="2020-02-17T00:00:00"/>
    <n v="67171"/>
    <n v="67171"/>
    <n v="0"/>
    <x v="1"/>
    <x v="1"/>
    <d v="2021-05-01T00:00:00"/>
    <x v="0"/>
  </r>
  <r>
    <s v="Emp ID-655"/>
    <x v="0"/>
    <x v="3"/>
    <x v="2"/>
    <x v="0"/>
    <x v="21"/>
    <x v="2"/>
    <d v="2019-07-06T00:00:00"/>
    <n v="152036"/>
    <n v="174841"/>
    <n v="0.15"/>
    <x v="2"/>
    <x v="9"/>
    <m/>
    <x v="1"/>
  </r>
  <r>
    <s v="Emp ID-656"/>
    <x v="8"/>
    <x v="5"/>
    <x v="1"/>
    <x v="0"/>
    <x v="0"/>
    <x v="0"/>
    <d v="2021-03-21T00:00:00"/>
    <n v="95562"/>
    <n v="95562"/>
    <n v="0"/>
    <x v="0"/>
    <x v="2"/>
    <m/>
    <x v="1"/>
  </r>
  <r>
    <s v="Emp ID-657"/>
    <x v="4"/>
    <x v="1"/>
    <x v="0"/>
    <x v="1"/>
    <x v="23"/>
    <x v="2"/>
    <d v="2019-11-04T00:00:00"/>
    <n v="96092"/>
    <n v="96092"/>
    <n v="0"/>
    <x v="0"/>
    <x v="5"/>
    <m/>
    <x v="1"/>
  </r>
  <r>
    <s v="Emp ID-658"/>
    <x v="9"/>
    <x v="5"/>
    <x v="1"/>
    <x v="1"/>
    <x v="20"/>
    <x v="0"/>
    <d v="2013-06-03T00:00:00"/>
    <n v="254289"/>
    <n v="353462"/>
    <n v="0.39"/>
    <x v="0"/>
    <x v="2"/>
    <m/>
    <x v="1"/>
  </r>
  <r>
    <s v="Emp ID-659"/>
    <x v="3"/>
    <x v="0"/>
    <x v="0"/>
    <x v="1"/>
    <x v="3"/>
    <x v="2"/>
    <d v="2019-07-10T00:00:00"/>
    <n v="69110"/>
    <n v="72566"/>
    <n v="0.05"/>
    <x v="0"/>
    <x v="2"/>
    <m/>
    <x v="1"/>
  </r>
  <r>
    <s v="Emp ID-660"/>
    <x v="9"/>
    <x v="6"/>
    <x v="2"/>
    <x v="1"/>
    <x v="27"/>
    <x v="1"/>
    <d v="2002-06-11T00:00:00"/>
    <n v="236314"/>
    <n v="316661"/>
    <n v="0.34"/>
    <x v="0"/>
    <x v="4"/>
    <m/>
    <x v="1"/>
  </r>
  <r>
    <s v="Emp ID-661"/>
    <x v="7"/>
    <x v="6"/>
    <x v="3"/>
    <x v="1"/>
    <x v="10"/>
    <x v="1"/>
    <d v="2007-06-19T00:00:00"/>
    <n v="45206"/>
    <n v="45206"/>
    <n v="0"/>
    <x v="0"/>
    <x v="7"/>
    <m/>
    <x v="1"/>
  </r>
  <r>
    <s v="Emp ID-662"/>
    <x v="9"/>
    <x v="2"/>
    <x v="0"/>
    <x v="0"/>
    <x v="6"/>
    <x v="2"/>
    <d v="2021-11-15T00:00:00"/>
    <n v="210708"/>
    <n v="280242"/>
    <n v="0.33"/>
    <x v="0"/>
    <x v="2"/>
    <m/>
    <x v="1"/>
  </r>
  <r>
    <s v="Emp ID-663"/>
    <x v="27"/>
    <x v="0"/>
    <x v="3"/>
    <x v="1"/>
    <x v="28"/>
    <x v="3"/>
    <d v="2021-09-26T00:00:00"/>
    <n v="87770"/>
    <n v="87770"/>
    <n v="0"/>
    <x v="0"/>
    <x v="5"/>
    <m/>
    <x v="1"/>
  </r>
  <r>
    <s v="Emp ID-664"/>
    <x v="6"/>
    <x v="3"/>
    <x v="3"/>
    <x v="0"/>
    <x v="31"/>
    <x v="3"/>
    <d v="2015-08-12T00:00:00"/>
    <n v="106858"/>
    <n v="112201"/>
    <n v="0.05"/>
    <x v="0"/>
    <x v="0"/>
    <m/>
    <x v="1"/>
  </r>
  <r>
    <s v="Emp ID-665"/>
    <x v="2"/>
    <x v="4"/>
    <x v="3"/>
    <x v="1"/>
    <x v="33"/>
    <x v="0"/>
    <d v="2015-04-14T00:00:00"/>
    <n v="155788"/>
    <n v="182272"/>
    <n v="0.17"/>
    <x v="0"/>
    <x v="0"/>
    <m/>
    <x v="1"/>
  </r>
  <r>
    <s v="Emp ID-666"/>
    <x v="15"/>
    <x v="4"/>
    <x v="2"/>
    <x v="0"/>
    <x v="15"/>
    <x v="1"/>
    <d v="2019-04-26T00:00:00"/>
    <n v="74891"/>
    <n v="74891"/>
    <n v="0"/>
    <x v="2"/>
    <x v="9"/>
    <m/>
    <x v="1"/>
  </r>
  <r>
    <s v="Emp ID-667"/>
    <x v="8"/>
    <x v="5"/>
    <x v="3"/>
    <x v="1"/>
    <x v="21"/>
    <x v="2"/>
    <d v="2021-12-18T00:00:00"/>
    <n v="95670"/>
    <n v="95670"/>
    <n v="0"/>
    <x v="0"/>
    <x v="3"/>
    <m/>
    <x v="1"/>
  </r>
  <r>
    <s v="Emp ID-668"/>
    <x v="5"/>
    <x v="1"/>
    <x v="0"/>
    <x v="0"/>
    <x v="13"/>
    <x v="4"/>
    <d v="2000-09-29T00:00:00"/>
    <n v="67837"/>
    <n v="67837"/>
    <n v="0"/>
    <x v="0"/>
    <x v="5"/>
    <m/>
    <x v="1"/>
  </r>
  <r>
    <s v="Emp ID-669"/>
    <x v="13"/>
    <x v="1"/>
    <x v="0"/>
    <x v="1"/>
    <x v="12"/>
    <x v="3"/>
    <d v="2010-06-04T00:00:00"/>
    <n v="72425"/>
    <n v="72425"/>
    <n v="0"/>
    <x v="1"/>
    <x v="10"/>
    <m/>
    <x v="1"/>
  </r>
  <r>
    <s v="Emp ID-670"/>
    <x v="4"/>
    <x v="1"/>
    <x v="3"/>
    <x v="0"/>
    <x v="27"/>
    <x v="1"/>
    <d v="1994-10-16T00:00:00"/>
    <n v="93103"/>
    <n v="93103"/>
    <n v="0"/>
    <x v="0"/>
    <x v="3"/>
    <m/>
    <x v="1"/>
  </r>
  <r>
    <s v="Emp ID-671"/>
    <x v="8"/>
    <x v="5"/>
    <x v="3"/>
    <x v="0"/>
    <x v="16"/>
    <x v="0"/>
    <d v="2015-10-14T00:00:00"/>
    <n v="76272"/>
    <n v="76272"/>
    <n v="0"/>
    <x v="0"/>
    <x v="4"/>
    <d v="2021-10-22T00:00:00"/>
    <x v="0"/>
  </r>
  <r>
    <s v="Emp ID-672"/>
    <x v="13"/>
    <x v="2"/>
    <x v="1"/>
    <x v="0"/>
    <x v="35"/>
    <x v="1"/>
    <d v="2003-06-24T00:00:00"/>
    <n v="55760"/>
    <n v="55760"/>
    <n v="0"/>
    <x v="0"/>
    <x v="5"/>
    <m/>
    <x v="1"/>
  </r>
  <r>
    <s v="Emp ID-673"/>
    <x v="9"/>
    <x v="3"/>
    <x v="3"/>
    <x v="0"/>
    <x v="9"/>
    <x v="3"/>
    <d v="2020-01-13T00:00:00"/>
    <n v="253294"/>
    <n v="354612"/>
    <n v="0.4"/>
    <x v="0"/>
    <x v="4"/>
    <m/>
    <x v="1"/>
  </r>
  <r>
    <s v="Emp ID-674"/>
    <x v="13"/>
    <x v="2"/>
    <x v="3"/>
    <x v="1"/>
    <x v="33"/>
    <x v="0"/>
    <d v="2007-08-16T00:00:00"/>
    <n v="58671"/>
    <n v="58671"/>
    <n v="0"/>
    <x v="0"/>
    <x v="7"/>
    <m/>
    <x v="1"/>
  </r>
  <r>
    <s v="Emp ID-675"/>
    <x v="5"/>
    <x v="1"/>
    <x v="0"/>
    <x v="0"/>
    <x v="28"/>
    <x v="3"/>
    <d v="2018-03-16T00:00:00"/>
    <n v="55457"/>
    <n v="55457"/>
    <n v="0"/>
    <x v="0"/>
    <x v="7"/>
    <m/>
    <x v="1"/>
  </r>
  <r>
    <s v="Emp ID-676"/>
    <x v="5"/>
    <x v="1"/>
    <x v="1"/>
    <x v="0"/>
    <x v="20"/>
    <x v="0"/>
    <d v="2017-09-26T00:00:00"/>
    <n v="72340"/>
    <n v="72340"/>
    <n v="0"/>
    <x v="0"/>
    <x v="3"/>
    <d v="2019-04-03T00:00:00"/>
    <x v="0"/>
  </r>
  <r>
    <s v="Emp ID-677"/>
    <x v="6"/>
    <x v="6"/>
    <x v="3"/>
    <x v="0"/>
    <x v="7"/>
    <x v="2"/>
    <d v="2016-11-02T00:00:00"/>
    <n v="122054"/>
    <n v="129377"/>
    <n v="0.06"/>
    <x v="0"/>
    <x v="3"/>
    <m/>
    <x v="1"/>
  </r>
  <r>
    <s v="Emp ID-678"/>
    <x v="2"/>
    <x v="0"/>
    <x v="1"/>
    <x v="0"/>
    <x v="5"/>
    <x v="2"/>
    <d v="2018-01-03T00:00:00"/>
    <n v="167100"/>
    <n v="200520"/>
    <n v="0.2"/>
    <x v="1"/>
    <x v="11"/>
    <m/>
    <x v="1"/>
  </r>
  <r>
    <s v="Emp ID-679"/>
    <x v="1"/>
    <x v="0"/>
    <x v="3"/>
    <x v="0"/>
    <x v="26"/>
    <x v="1"/>
    <d v="1997-04-23T00:00:00"/>
    <n v="78153"/>
    <n v="78153"/>
    <n v="0"/>
    <x v="0"/>
    <x v="4"/>
    <m/>
    <x v="1"/>
  </r>
  <r>
    <s v="Emp ID-680"/>
    <x v="6"/>
    <x v="2"/>
    <x v="1"/>
    <x v="0"/>
    <x v="17"/>
    <x v="3"/>
    <d v="2020-04-14T00:00:00"/>
    <n v="103524"/>
    <n v="112841"/>
    <n v="0.09"/>
    <x v="0"/>
    <x v="3"/>
    <m/>
    <x v="1"/>
  </r>
  <r>
    <s v="Emp ID-681"/>
    <x v="6"/>
    <x v="0"/>
    <x v="3"/>
    <x v="1"/>
    <x v="23"/>
    <x v="2"/>
    <d v="2017-08-05T00:00:00"/>
    <n v="119906"/>
    <n v="125901"/>
    <n v="0.05"/>
    <x v="0"/>
    <x v="7"/>
    <m/>
    <x v="1"/>
  </r>
  <r>
    <s v="Emp ID-682"/>
    <x v="7"/>
    <x v="6"/>
    <x v="2"/>
    <x v="0"/>
    <x v="21"/>
    <x v="2"/>
    <d v="2020-01-17T00:00:00"/>
    <n v="45061"/>
    <n v="45061"/>
    <n v="0"/>
    <x v="0"/>
    <x v="4"/>
    <m/>
    <x v="1"/>
  </r>
  <r>
    <s v="Emp ID-683"/>
    <x v="30"/>
    <x v="0"/>
    <x v="3"/>
    <x v="1"/>
    <x v="10"/>
    <x v="1"/>
    <d v="2003-01-17T00:00:00"/>
    <n v="91399"/>
    <n v="91399"/>
    <n v="0"/>
    <x v="0"/>
    <x v="0"/>
    <m/>
    <x v="1"/>
  </r>
  <r>
    <s v="Emp ID-684"/>
    <x v="14"/>
    <x v="0"/>
    <x v="0"/>
    <x v="1"/>
    <x v="21"/>
    <x v="2"/>
    <d v="2017-09-28T00:00:00"/>
    <n v="97336"/>
    <n v="97336"/>
    <n v="0"/>
    <x v="0"/>
    <x v="5"/>
    <m/>
    <x v="1"/>
  </r>
  <r>
    <s v="Emp ID-685"/>
    <x v="0"/>
    <x v="3"/>
    <x v="3"/>
    <x v="0"/>
    <x v="11"/>
    <x v="2"/>
    <d v="2017-01-20T00:00:00"/>
    <n v="124629"/>
    <n v="137092"/>
    <n v="0.1"/>
    <x v="0"/>
    <x v="7"/>
    <m/>
    <x v="1"/>
  </r>
  <r>
    <s v="Emp ID-686"/>
    <x v="9"/>
    <x v="4"/>
    <x v="2"/>
    <x v="0"/>
    <x v="21"/>
    <x v="2"/>
    <d v="2021-07-25T00:00:00"/>
    <n v="231850"/>
    <n v="322272"/>
    <n v="0.39"/>
    <x v="0"/>
    <x v="4"/>
    <m/>
    <x v="1"/>
  </r>
  <r>
    <s v="Emp ID-687"/>
    <x v="6"/>
    <x v="3"/>
    <x v="0"/>
    <x v="1"/>
    <x v="8"/>
    <x v="2"/>
    <d v="2018-06-04T00:00:00"/>
    <n v="128329"/>
    <n v="138595"/>
    <n v="0.08"/>
    <x v="0"/>
    <x v="3"/>
    <m/>
    <x v="1"/>
  </r>
  <r>
    <s v="Emp ID-688"/>
    <x v="9"/>
    <x v="6"/>
    <x v="2"/>
    <x v="1"/>
    <x v="18"/>
    <x v="3"/>
    <d v="2021-03-28T00:00:00"/>
    <n v="186033"/>
    <n v="249284"/>
    <n v="0.34"/>
    <x v="2"/>
    <x v="12"/>
    <m/>
    <x v="1"/>
  </r>
  <r>
    <s v="Emp ID-689"/>
    <x v="0"/>
    <x v="6"/>
    <x v="1"/>
    <x v="1"/>
    <x v="33"/>
    <x v="0"/>
    <d v="2021-07-26T00:00:00"/>
    <n v="121480"/>
    <n v="138487"/>
    <n v="0.14000000000000001"/>
    <x v="0"/>
    <x v="3"/>
    <m/>
    <x v="1"/>
  </r>
  <r>
    <s v="Emp ID-690"/>
    <x v="2"/>
    <x v="4"/>
    <x v="2"/>
    <x v="0"/>
    <x v="12"/>
    <x v="3"/>
    <d v="2010-05-21T00:00:00"/>
    <n v="153275"/>
    <n v="190061"/>
    <n v="0.24"/>
    <x v="0"/>
    <x v="7"/>
    <m/>
    <x v="1"/>
  </r>
  <r>
    <s v="Emp ID-691"/>
    <x v="4"/>
    <x v="1"/>
    <x v="0"/>
    <x v="0"/>
    <x v="39"/>
    <x v="0"/>
    <d v="2020-05-18T00:00:00"/>
    <n v="97830"/>
    <n v="97830"/>
    <n v="0"/>
    <x v="0"/>
    <x v="5"/>
    <m/>
    <x v="1"/>
  </r>
  <r>
    <s v="Emp ID-692"/>
    <x v="9"/>
    <x v="6"/>
    <x v="3"/>
    <x v="0"/>
    <x v="40"/>
    <x v="1"/>
    <d v="1999-03-13T00:00:00"/>
    <n v="239394"/>
    <n v="316000"/>
    <n v="0.32"/>
    <x v="0"/>
    <x v="5"/>
    <m/>
    <x v="1"/>
  </r>
  <r>
    <s v="Emp ID-693"/>
    <x v="7"/>
    <x v="2"/>
    <x v="2"/>
    <x v="0"/>
    <x v="39"/>
    <x v="0"/>
    <d v="2002-09-20T00:00:00"/>
    <n v="49738"/>
    <n v="49738"/>
    <n v="0"/>
    <x v="1"/>
    <x v="10"/>
    <m/>
    <x v="1"/>
  </r>
  <r>
    <s v="Emp ID-694"/>
    <x v="7"/>
    <x v="3"/>
    <x v="1"/>
    <x v="0"/>
    <x v="29"/>
    <x v="2"/>
    <d v="2018-05-27T00:00:00"/>
    <n v="45049"/>
    <n v="45049"/>
    <n v="0"/>
    <x v="0"/>
    <x v="0"/>
    <m/>
    <x v="1"/>
  </r>
  <r>
    <s v="Emp ID-695"/>
    <x v="2"/>
    <x v="2"/>
    <x v="0"/>
    <x v="0"/>
    <x v="5"/>
    <x v="2"/>
    <d v="2020-05-26T00:00:00"/>
    <n v="153628"/>
    <n v="198180"/>
    <n v="0.28999999999999998"/>
    <x v="1"/>
    <x v="1"/>
    <d v="2020-12-12T00:00:00"/>
    <x v="0"/>
  </r>
  <r>
    <s v="Emp ID-696"/>
    <x v="0"/>
    <x v="1"/>
    <x v="1"/>
    <x v="1"/>
    <x v="6"/>
    <x v="2"/>
    <d v="2021-06-15T00:00:00"/>
    <n v="142731"/>
    <n v="158431"/>
    <n v="0.11"/>
    <x v="1"/>
    <x v="6"/>
    <d v="2022-06-03T00:00:00"/>
    <x v="0"/>
  </r>
  <r>
    <s v="Emp ID-697"/>
    <x v="0"/>
    <x v="6"/>
    <x v="2"/>
    <x v="0"/>
    <x v="7"/>
    <x v="2"/>
    <d v="2020-05-15T00:00:00"/>
    <n v="137106"/>
    <n v="153559"/>
    <n v="0.12"/>
    <x v="2"/>
    <x v="12"/>
    <m/>
    <x v="1"/>
  </r>
  <r>
    <s v="Emp ID-698"/>
    <x v="9"/>
    <x v="2"/>
    <x v="3"/>
    <x v="0"/>
    <x v="36"/>
    <x v="1"/>
    <d v="2007-09-05T00:00:00"/>
    <n v="183239"/>
    <n v="241875"/>
    <n v="0.32"/>
    <x v="0"/>
    <x v="0"/>
    <m/>
    <x v="1"/>
  </r>
  <r>
    <s v="Emp ID-699"/>
    <x v="7"/>
    <x v="3"/>
    <x v="1"/>
    <x v="0"/>
    <x v="21"/>
    <x v="2"/>
    <d v="2019-05-25T00:00:00"/>
    <n v="45819"/>
    <n v="45819"/>
    <n v="0"/>
    <x v="0"/>
    <x v="4"/>
    <m/>
    <x v="1"/>
  </r>
  <r>
    <s v="Emp ID-700"/>
    <x v="7"/>
    <x v="3"/>
    <x v="0"/>
    <x v="0"/>
    <x v="36"/>
    <x v="1"/>
    <d v="2006-12-29T00:00:00"/>
    <n v="55518"/>
    <n v="55518"/>
    <n v="0"/>
    <x v="0"/>
    <x v="7"/>
    <m/>
    <x v="1"/>
  </r>
  <r>
    <s v="Emp ID-701"/>
    <x v="6"/>
    <x v="6"/>
    <x v="1"/>
    <x v="0"/>
    <x v="2"/>
    <x v="1"/>
    <d v="2012-03-11T00:00:00"/>
    <n v="108134"/>
    <n v="118947"/>
    <n v="0.1"/>
    <x v="1"/>
    <x v="6"/>
    <m/>
    <x v="1"/>
  </r>
  <r>
    <s v="Emp ID-702"/>
    <x v="6"/>
    <x v="6"/>
    <x v="0"/>
    <x v="0"/>
    <x v="0"/>
    <x v="0"/>
    <d v="1992-12-20T00:00:00"/>
    <n v="113950"/>
    <n v="124206"/>
    <n v="0.09"/>
    <x v="0"/>
    <x v="4"/>
    <m/>
    <x v="1"/>
  </r>
  <r>
    <s v="Emp ID-703"/>
    <x v="9"/>
    <x v="6"/>
    <x v="2"/>
    <x v="0"/>
    <x v="27"/>
    <x v="1"/>
    <d v="1998-04-01T00:00:00"/>
    <n v="182035"/>
    <n v="236646"/>
    <n v="0.3"/>
    <x v="0"/>
    <x v="2"/>
    <m/>
    <x v="1"/>
  </r>
  <r>
    <s v="Emp ID-704"/>
    <x v="2"/>
    <x v="3"/>
    <x v="2"/>
    <x v="1"/>
    <x v="25"/>
    <x v="3"/>
    <d v="2017-08-16T00:00:00"/>
    <n v="181356"/>
    <n v="223068"/>
    <n v="0.23"/>
    <x v="1"/>
    <x v="10"/>
    <m/>
    <x v="1"/>
  </r>
  <r>
    <s v="Emp ID-705"/>
    <x v="5"/>
    <x v="1"/>
    <x v="3"/>
    <x v="0"/>
    <x v="3"/>
    <x v="2"/>
    <d v="2019-08-21T00:00:00"/>
    <n v="66084"/>
    <n v="66084"/>
    <n v="0"/>
    <x v="0"/>
    <x v="0"/>
    <m/>
    <x v="1"/>
  </r>
  <r>
    <s v="Emp ID-706"/>
    <x v="29"/>
    <x v="0"/>
    <x v="2"/>
    <x v="0"/>
    <x v="19"/>
    <x v="3"/>
    <d v="2010-04-22T00:00:00"/>
    <n v="76912"/>
    <n v="76912"/>
    <n v="0"/>
    <x v="2"/>
    <x v="12"/>
    <m/>
    <x v="1"/>
  </r>
  <r>
    <s v="Emp ID-707"/>
    <x v="22"/>
    <x v="5"/>
    <x v="0"/>
    <x v="0"/>
    <x v="20"/>
    <x v="0"/>
    <d v="2018-05-07T00:00:00"/>
    <n v="67987"/>
    <n v="67987"/>
    <n v="0"/>
    <x v="0"/>
    <x v="4"/>
    <m/>
    <x v="1"/>
  </r>
  <r>
    <s v="Emp ID-708"/>
    <x v="13"/>
    <x v="6"/>
    <x v="1"/>
    <x v="1"/>
    <x v="13"/>
    <x v="4"/>
    <d v="2005-08-20T00:00:00"/>
    <n v="59833"/>
    <n v="59833"/>
    <n v="0"/>
    <x v="0"/>
    <x v="7"/>
    <m/>
    <x v="1"/>
  </r>
  <r>
    <s v="Emp ID-709"/>
    <x v="0"/>
    <x v="6"/>
    <x v="2"/>
    <x v="1"/>
    <x v="15"/>
    <x v="1"/>
    <d v="2005-04-11T00:00:00"/>
    <n v="128468"/>
    <n v="142599"/>
    <n v="0.11"/>
    <x v="0"/>
    <x v="2"/>
    <m/>
    <x v="1"/>
  </r>
  <r>
    <s v="Emp ID-710"/>
    <x v="6"/>
    <x v="1"/>
    <x v="3"/>
    <x v="1"/>
    <x v="34"/>
    <x v="3"/>
    <d v="2011-05-29T00:00:00"/>
    <n v="102440"/>
    <n v="108586"/>
    <n v="0.06"/>
    <x v="0"/>
    <x v="2"/>
    <m/>
    <x v="1"/>
  </r>
  <r>
    <s v="Emp ID-711"/>
    <x v="9"/>
    <x v="0"/>
    <x v="2"/>
    <x v="1"/>
    <x v="1"/>
    <x v="0"/>
    <d v="2010-12-30T00:00:00"/>
    <n v="246619"/>
    <n v="335402"/>
    <n v="0.36"/>
    <x v="0"/>
    <x v="4"/>
    <m/>
    <x v="1"/>
  </r>
  <r>
    <s v="Emp ID-712"/>
    <x v="6"/>
    <x v="4"/>
    <x v="3"/>
    <x v="0"/>
    <x v="34"/>
    <x v="3"/>
    <d v="2017-11-19T00:00:00"/>
    <n v="101143"/>
    <n v="107212"/>
    <n v="0.06"/>
    <x v="0"/>
    <x v="4"/>
    <m/>
    <x v="1"/>
  </r>
  <r>
    <s v="Emp ID-713"/>
    <x v="20"/>
    <x v="4"/>
    <x v="1"/>
    <x v="0"/>
    <x v="15"/>
    <x v="1"/>
    <d v="2005-10-14T00:00:00"/>
    <n v="51404"/>
    <n v="51404"/>
    <n v="0"/>
    <x v="2"/>
    <x v="8"/>
    <d v="2009-12-06T00:00:00"/>
    <x v="0"/>
  </r>
  <r>
    <s v="Emp ID-714"/>
    <x v="17"/>
    <x v="5"/>
    <x v="2"/>
    <x v="1"/>
    <x v="15"/>
    <x v="1"/>
    <d v="2015-11-21T00:00:00"/>
    <n v="87292"/>
    <n v="87292"/>
    <n v="0"/>
    <x v="0"/>
    <x v="7"/>
    <m/>
    <x v="1"/>
  </r>
  <r>
    <s v="Emp ID-715"/>
    <x v="2"/>
    <x v="6"/>
    <x v="2"/>
    <x v="0"/>
    <x v="21"/>
    <x v="2"/>
    <d v="2019-12-11T00:00:00"/>
    <n v="182321"/>
    <n v="233371"/>
    <n v="0.28000000000000003"/>
    <x v="1"/>
    <x v="10"/>
    <m/>
    <x v="1"/>
  </r>
  <r>
    <s v="Emp ID-716"/>
    <x v="28"/>
    <x v="0"/>
    <x v="3"/>
    <x v="1"/>
    <x v="10"/>
    <x v="1"/>
    <d v="2014-02-27T00:00:00"/>
    <n v="53929"/>
    <n v="53929"/>
    <n v="0"/>
    <x v="0"/>
    <x v="4"/>
    <d v="2017-12-22T00:00:00"/>
    <x v="0"/>
  </r>
  <r>
    <s v="Emp ID-717"/>
    <x v="9"/>
    <x v="3"/>
    <x v="1"/>
    <x v="0"/>
    <x v="31"/>
    <x v="3"/>
    <d v="2012-12-13T00:00:00"/>
    <n v="191571"/>
    <n v="252874"/>
    <n v="0.32"/>
    <x v="0"/>
    <x v="5"/>
    <m/>
    <x v="1"/>
  </r>
  <r>
    <s v="Emp ID-718"/>
    <x v="0"/>
    <x v="3"/>
    <x v="3"/>
    <x v="0"/>
    <x v="39"/>
    <x v="0"/>
    <d v="2009-01-30T00:00:00"/>
    <n v="150555"/>
    <n v="170127"/>
    <n v="0.13"/>
    <x v="0"/>
    <x v="3"/>
    <m/>
    <x v="1"/>
  </r>
  <r>
    <s v="Emp ID-719"/>
    <x v="6"/>
    <x v="2"/>
    <x v="3"/>
    <x v="1"/>
    <x v="27"/>
    <x v="1"/>
    <d v="2009-10-05T00:00:00"/>
    <n v="122890"/>
    <n v="131492"/>
    <n v="7.0000000000000007E-2"/>
    <x v="1"/>
    <x v="6"/>
    <m/>
    <x v="1"/>
  </r>
  <r>
    <s v="Emp ID-720"/>
    <x v="9"/>
    <x v="2"/>
    <x v="0"/>
    <x v="1"/>
    <x v="27"/>
    <x v="1"/>
    <d v="1997-05-26T00:00:00"/>
    <n v="216999"/>
    <n v="297289"/>
    <n v="0.37"/>
    <x v="0"/>
    <x v="4"/>
    <m/>
    <x v="1"/>
  </r>
  <r>
    <s v="Emp ID-721"/>
    <x v="6"/>
    <x v="4"/>
    <x v="3"/>
    <x v="1"/>
    <x v="35"/>
    <x v="1"/>
    <d v="2015-07-16T00:00:00"/>
    <n v="110565"/>
    <n v="120516"/>
    <n v="0.09"/>
    <x v="1"/>
    <x v="10"/>
    <m/>
    <x v="1"/>
  </r>
  <r>
    <s v="Emp ID-722"/>
    <x v="12"/>
    <x v="0"/>
    <x v="2"/>
    <x v="1"/>
    <x v="31"/>
    <x v="3"/>
    <d v="2015-04-19T00:00:00"/>
    <n v="48762"/>
    <n v="48762"/>
    <n v="0"/>
    <x v="0"/>
    <x v="0"/>
    <m/>
    <x v="1"/>
  </r>
  <r>
    <s v="Emp ID-723"/>
    <x v="25"/>
    <x v="5"/>
    <x v="2"/>
    <x v="0"/>
    <x v="10"/>
    <x v="1"/>
    <d v="2017-02-11T00:00:00"/>
    <n v="87036"/>
    <n v="87036"/>
    <n v="0"/>
    <x v="1"/>
    <x v="1"/>
    <m/>
    <x v="1"/>
  </r>
  <r>
    <s v="Emp ID-724"/>
    <x v="2"/>
    <x v="6"/>
    <x v="2"/>
    <x v="1"/>
    <x v="24"/>
    <x v="2"/>
    <d v="2016-11-28T00:00:00"/>
    <n v="177443"/>
    <n v="205834"/>
    <n v="0.16"/>
    <x v="0"/>
    <x v="0"/>
    <m/>
    <x v="1"/>
  </r>
  <r>
    <s v="Emp ID-725"/>
    <x v="14"/>
    <x v="0"/>
    <x v="0"/>
    <x v="0"/>
    <x v="9"/>
    <x v="3"/>
    <d v="2016-04-29T00:00:00"/>
    <n v="75862"/>
    <n v="75862"/>
    <n v="0"/>
    <x v="0"/>
    <x v="5"/>
    <m/>
    <x v="1"/>
  </r>
  <r>
    <s v="Emp ID-726"/>
    <x v="15"/>
    <x v="4"/>
    <x v="0"/>
    <x v="0"/>
    <x v="15"/>
    <x v="1"/>
    <d v="2019-04-26T00:00:00"/>
    <n v="90870"/>
    <n v="90870"/>
    <n v="0"/>
    <x v="0"/>
    <x v="2"/>
    <m/>
    <x v="1"/>
  </r>
  <r>
    <s v="Emp ID-727"/>
    <x v="11"/>
    <x v="5"/>
    <x v="3"/>
    <x v="0"/>
    <x v="24"/>
    <x v="2"/>
    <d v="2014-12-04T00:00:00"/>
    <n v="99202"/>
    <n v="110114"/>
    <n v="0.11"/>
    <x v="0"/>
    <x v="3"/>
    <m/>
    <x v="1"/>
  </r>
  <r>
    <s v="Emp ID-728"/>
    <x v="4"/>
    <x v="6"/>
    <x v="3"/>
    <x v="1"/>
    <x v="15"/>
    <x v="1"/>
    <d v="2007-09-22T00:00:00"/>
    <n v="92293"/>
    <n v="92293"/>
    <n v="0"/>
    <x v="1"/>
    <x v="11"/>
    <m/>
    <x v="1"/>
  </r>
  <r>
    <s v="Emp ID-729"/>
    <x v="29"/>
    <x v="0"/>
    <x v="3"/>
    <x v="1"/>
    <x v="36"/>
    <x v="1"/>
    <d v="1992-06-30T00:00:00"/>
    <n v="63196"/>
    <n v="63196"/>
    <n v="0"/>
    <x v="0"/>
    <x v="2"/>
    <d v="2014-10-26T00:00:00"/>
    <x v="0"/>
  </r>
  <r>
    <s v="Emp ID-730"/>
    <x v="25"/>
    <x v="5"/>
    <x v="2"/>
    <x v="0"/>
    <x v="35"/>
    <x v="1"/>
    <d v="2012-05-03T00:00:00"/>
    <n v="65340"/>
    <n v="65340"/>
    <n v="0"/>
    <x v="1"/>
    <x v="6"/>
    <d v="2018-05-09T00:00:00"/>
    <x v="0"/>
  </r>
  <r>
    <s v="Emp ID-731"/>
    <x v="9"/>
    <x v="6"/>
    <x v="3"/>
    <x v="1"/>
    <x v="15"/>
    <x v="1"/>
    <d v="2015-09-24T00:00:00"/>
    <n v="202680"/>
    <n v="267538"/>
    <n v="0.32"/>
    <x v="0"/>
    <x v="3"/>
    <d v="2022-08-17T00:00:00"/>
    <x v="0"/>
  </r>
  <r>
    <s v="Emp ID-732"/>
    <x v="3"/>
    <x v="0"/>
    <x v="1"/>
    <x v="0"/>
    <x v="30"/>
    <x v="1"/>
    <d v="2017-04-24T00:00:00"/>
    <n v="77461"/>
    <n v="84432"/>
    <n v="0.09"/>
    <x v="2"/>
    <x v="12"/>
    <m/>
    <x v="1"/>
  </r>
  <r>
    <s v="Emp ID-733"/>
    <x v="19"/>
    <x v="5"/>
    <x v="0"/>
    <x v="0"/>
    <x v="28"/>
    <x v="3"/>
    <d v="2016-09-09T00:00:00"/>
    <n v="109680"/>
    <n v="109680"/>
    <n v="0"/>
    <x v="1"/>
    <x v="11"/>
    <m/>
    <x v="1"/>
  </r>
  <r>
    <s v="Emp ID-734"/>
    <x v="2"/>
    <x v="1"/>
    <x v="1"/>
    <x v="0"/>
    <x v="22"/>
    <x v="0"/>
    <d v="1997-08-19T00:00:00"/>
    <n v="159567"/>
    <n v="204246"/>
    <n v="0.28000000000000003"/>
    <x v="0"/>
    <x v="3"/>
    <m/>
    <x v="1"/>
  </r>
  <r>
    <s v="Emp ID-735"/>
    <x v="25"/>
    <x v="5"/>
    <x v="2"/>
    <x v="1"/>
    <x v="36"/>
    <x v="1"/>
    <d v="2012-11-24T00:00:00"/>
    <n v="94407"/>
    <n v="94407"/>
    <n v="0"/>
    <x v="2"/>
    <x v="12"/>
    <m/>
    <x v="1"/>
  </r>
  <r>
    <s v="Emp ID-736"/>
    <x v="9"/>
    <x v="4"/>
    <x v="3"/>
    <x v="1"/>
    <x v="39"/>
    <x v="0"/>
    <d v="2002-08-16T00:00:00"/>
    <n v="234594"/>
    <n v="312010"/>
    <n v="0.33"/>
    <x v="0"/>
    <x v="0"/>
    <m/>
    <x v="1"/>
  </r>
  <r>
    <s v="Emp ID-737"/>
    <x v="28"/>
    <x v="0"/>
    <x v="2"/>
    <x v="1"/>
    <x v="35"/>
    <x v="1"/>
    <d v="2002-02-11T00:00:00"/>
    <n v="43080"/>
    <n v="43080"/>
    <n v="0"/>
    <x v="0"/>
    <x v="5"/>
    <m/>
    <x v="1"/>
  </r>
  <r>
    <s v="Emp ID-738"/>
    <x v="6"/>
    <x v="6"/>
    <x v="1"/>
    <x v="0"/>
    <x v="7"/>
    <x v="2"/>
    <d v="2021-05-09T00:00:00"/>
    <n v="129541"/>
    <n v="139904"/>
    <n v="0.08"/>
    <x v="0"/>
    <x v="3"/>
    <d v="2021-05-24T00:00:00"/>
    <x v="0"/>
  </r>
  <r>
    <s v="Emp ID-739"/>
    <x v="2"/>
    <x v="1"/>
    <x v="0"/>
    <x v="1"/>
    <x v="38"/>
    <x v="3"/>
    <d v="2013-12-27T00:00:00"/>
    <n v="165756"/>
    <n v="212168"/>
    <n v="0.28000000000000003"/>
    <x v="0"/>
    <x v="7"/>
    <d v="2020-06-09T00:00:00"/>
    <x v="0"/>
  </r>
  <r>
    <s v="Emp ID-740"/>
    <x v="0"/>
    <x v="2"/>
    <x v="2"/>
    <x v="1"/>
    <x v="18"/>
    <x v="3"/>
    <d v="2010-04-06T00:00:00"/>
    <n v="142878"/>
    <n v="160023"/>
    <n v="0.12"/>
    <x v="0"/>
    <x v="7"/>
    <m/>
    <x v="1"/>
  </r>
  <r>
    <s v="Emp ID-741"/>
    <x v="2"/>
    <x v="5"/>
    <x v="1"/>
    <x v="1"/>
    <x v="27"/>
    <x v="1"/>
    <d v="2006-10-28T00:00:00"/>
    <n v="187992"/>
    <n v="240630"/>
    <n v="0.28000000000000003"/>
    <x v="0"/>
    <x v="4"/>
    <m/>
    <x v="1"/>
  </r>
  <r>
    <s v="Emp ID-742"/>
    <x v="9"/>
    <x v="4"/>
    <x v="2"/>
    <x v="0"/>
    <x v="15"/>
    <x v="1"/>
    <d v="2019-02-25T00:00:00"/>
    <n v="249801"/>
    <n v="347223"/>
    <n v="0.39"/>
    <x v="2"/>
    <x v="12"/>
    <m/>
    <x v="1"/>
  </r>
  <r>
    <s v="Emp ID-743"/>
    <x v="32"/>
    <x v="0"/>
    <x v="0"/>
    <x v="1"/>
    <x v="35"/>
    <x v="1"/>
    <d v="2006-09-27T00:00:00"/>
    <n v="76505"/>
    <n v="76505"/>
    <n v="0"/>
    <x v="0"/>
    <x v="0"/>
    <d v="2007-04-08T00:00:00"/>
    <x v="0"/>
  </r>
  <r>
    <s v="Emp ID-744"/>
    <x v="31"/>
    <x v="0"/>
    <x v="3"/>
    <x v="1"/>
    <x v="38"/>
    <x v="3"/>
    <d v="2016-10-21T00:00:00"/>
    <n v="84297"/>
    <n v="84297"/>
    <n v="0"/>
    <x v="2"/>
    <x v="8"/>
    <m/>
    <x v="1"/>
  </r>
  <r>
    <s v="Emp ID-745"/>
    <x v="4"/>
    <x v="1"/>
    <x v="2"/>
    <x v="0"/>
    <x v="26"/>
    <x v="1"/>
    <d v="2017-01-09T00:00:00"/>
    <n v="75769"/>
    <n v="75769"/>
    <n v="0"/>
    <x v="2"/>
    <x v="8"/>
    <d v="2020-07-17T00:00:00"/>
    <x v="0"/>
  </r>
  <r>
    <s v="Emp ID-746"/>
    <x v="9"/>
    <x v="3"/>
    <x v="2"/>
    <x v="1"/>
    <x v="12"/>
    <x v="3"/>
    <d v="2013-08-17T00:00:00"/>
    <n v="235619"/>
    <n v="306305"/>
    <n v="0.3"/>
    <x v="0"/>
    <x v="0"/>
    <m/>
    <x v="1"/>
  </r>
  <r>
    <s v="Emp ID-747"/>
    <x v="2"/>
    <x v="5"/>
    <x v="2"/>
    <x v="1"/>
    <x v="28"/>
    <x v="3"/>
    <d v="2020-02-07T00:00:00"/>
    <n v="187187"/>
    <n v="220881"/>
    <n v="0.18"/>
    <x v="2"/>
    <x v="8"/>
    <m/>
    <x v="1"/>
  </r>
  <r>
    <s v="Emp ID-748"/>
    <x v="24"/>
    <x v="0"/>
    <x v="0"/>
    <x v="1"/>
    <x v="35"/>
    <x v="1"/>
    <d v="2005-07-27T00:00:00"/>
    <n v="68987"/>
    <n v="68987"/>
    <n v="0"/>
    <x v="0"/>
    <x v="2"/>
    <d v="2006-04-22T00:00:00"/>
    <x v="0"/>
  </r>
  <r>
    <s v="Emp ID-749"/>
    <x v="2"/>
    <x v="5"/>
    <x v="2"/>
    <x v="1"/>
    <x v="12"/>
    <x v="3"/>
    <d v="2007-03-15T00:00:00"/>
    <n v="155926"/>
    <n v="193348"/>
    <n v="0.24"/>
    <x v="0"/>
    <x v="7"/>
    <d v="2008-05-30T00:00:00"/>
    <x v="0"/>
  </r>
  <r>
    <s v="Emp ID-750"/>
    <x v="4"/>
    <x v="3"/>
    <x v="2"/>
    <x v="1"/>
    <x v="36"/>
    <x v="1"/>
    <d v="2016-05-04T00:00:00"/>
    <n v="93668"/>
    <n v="93668"/>
    <n v="0"/>
    <x v="0"/>
    <x v="2"/>
    <m/>
    <x v="1"/>
  </r>
  <r>
    <s v="Emp ID-751"/>
    <x v="16"/>
    <x v="4"/>
    <x v="0"/>
    <x v="1"/>
    <x v="31"/>
    <x v="3"/>
    <d v="2019-11-29T00:00:00"/>
    <n v="69647"/>
    <n v="69647"/>
    <n v="0"/>
    <x v="0"/>
    <x v="4"/>
    <d v="2022-04-20T00:00:00"/>
    <x v="0"/>
  </r>
  <r>
    <s v="Emp ID-752"/>
    <x v="27"/>
    <x v="0"/>
    <x v="3"/>
    <x v="1"/>
    <x v="4"/>
    <x v="0"/>
    <d v="2003-06-26T00:00:00"/>
    <n v="63318"/>
    <n v="63318"/>
    <n v="0"/>
    <x v="0"/>
    <x v="7"/>
    <m/>
    <x v="1"/>
  </r>
  <r>
    <s v="Emp ID-753"/>
    <x v="4"/>
    <x v="6"/>
    <x v="1"/>
    <x v="1"/>
    <x v="20"/>
    <x v="0"/>
    <d v="2017-02-12T00:00:00"/>
    <n v="77629"/>
    <n v="77629"/>
    <n v="0"/>
    <x v="1"/>
    <x v="10"/>
    <m/>
    <x v="1"/>
  </r>
  <r>
    <s v="Emp ID-754"/>
    <x v="0"/>
    <x v="4"/>
    <x v="1"/>
    <x v="1"/>
    <x v="39"/>
    <x v="0"/>
    <d v="2017-11-22T00:00:00"/>
    <n v="138808"/>
    <n v="159629"/>
    <n v="0.15"/>
    <x v="1"/>
    <x v="1"/>
    <m/>
    <x v="1"/>
  </r>
  <r>
    <s v="Emp ID-755"/>
    <x v="14"/>
    <x v="0"/>
    <x v="0"/>
    <x v="0"/>
    <x v="37"/>
    <x v="1"/>
    <d v="2014-03-05T00:00:00"/>
    <n v="88777"/>
    <n v="88777"/>
    <n v="0"/>
    <x v="0"/>
    <x v="2"/>
    <m/>
    <x v="1"/>
  </r>
  <r>
    <s v="Emp ID-756"/>
    <x v="2"/>
    <x v="3"/>
    <x v="3"/>
    <x v="0"/>
    <x v="33"/>
    <x v="0"/>
    <d v="2004-05-14T00:00:00"/>
    <n v="186378"/>
    <n v="234836"/>
    <n v="0.26"/>
    <x v="1"/>
    <x v="1"/>
    <m/>
    <x v="1"/>
  </r>
  <r>
    <s v="Emp ID-757"/>
    <x v="10"/>
    <x v="5"/>
    <x v="0"/>
    <x v="0"/>
    <x v="15"/>
    <x v="1"/>
    <d v="2015-04-23T00:00:00"/>
    <n v="60017"/>
    <n v="60017"/>
    <n v="0"/>
    <x v="0"/>
    <x v="2"/>
    <m/>
    <x v="1"/>
  </r>
  <r>
    <s v="Emp ID-758"/>
    <x v="0"/>
    <x v="1"/>
    <x v="2"/>
    <x v="0"/>
    <x v="15"/>
    <x v="1"/>
    <d v="2018-07-24T00:00:00"/>
    <n v="148991"/>
    <n v="166870"/>
    <n v="0.12"/>
    <x v="2"/>
    <x v="12"/>
    <m/>
    <x v="1"/>
  </r>
  <r>
    <s v="Emp ID-759"/>
    <x v="17"/>
    <x v="5"/>
    <x v="2"/>
    <x v="0"/>
    <x v="27"/>
    <x v="1"/>
    <d v="2008-03-25T00:00:00"/>
    <n v="97398"/>
    <n v="97398"/>
    <n v="0"/>
    <x v="2"/>
    <x v="8"/>
    <m/>
    <x v="1"/>
  </r>
  <r>
    <s v="Emp ID-760"/>
    <x v="15"/>
    <x v="4"/>
    <x v="1"/>
    <x v="0"/>
    <x v="20"/>
    <x v="0"/>
    <d v="2007-05-02T00:00:00"/>
    <n v="72805"/>
    <n v="72805"/>
    <n v="0"/>
    <x v="1"/>
    <x v="6"/>
    <m/>
    <x v="1"/>
  </r>
  <r>
    <s v="Emp ID-761"/>
    <x v="26"/>
    <x v="1"/>
    <x v="0"/>
    <x v="0"/>
    <x v="30"/>
    <x v="1"/>
    <d v="2021-01-17T00:00:00"/>
    <n v="72131"/>
    <n v="72131"/>
    <n v="0"/>
    <x v="1"/>
    <x v="6"/>
    <m/>
    <x v="1"/>
  </r>
  <r>
    <s v="Emp ID-762"/>
    <x v="6"/>
    <x v="4"/>
    <x v="1"/>
    <x v="1"/>
    <x v="14"/>
    <x v="0"/>
    <d v="1992-12-26T00:00:00"/>
    <n v="104668"/>
    <n v="113041"/>
    <n v="0.08"/>
    <x v="0"/>
    <x v="7"/>
    <m/>
    <x v="1"/>
  </r>
  <r>
    <s v="Emp ID-763"/>
    <x v="4"/>
    <x v="1"/>
    <x v="1"/>
    <x v="0"/>
    <x v="26"/>
    <x v="1"/>
    <d v="2017-08-05T00:00:00"/>
    <n v="89769"/>
    <n v="89769"/>
    <n v="0"/>
    <x v="0"/>
    <x v="0"/>
    <m/>
    <x v="1"/>
  </r>
  <r>
    <s v="Emp ID-764"/>
    <x v="6"/>
    <x v="1"/>
    <x v="3"/>
    <x v="0"/>
    <x v="5"/>
    <x v="2"/>
    <d v="2018-09-15T00:00:00"/>
    <n v="127616"/>
    <n v="136549"/>
    <n v="7.0000000000000007E-2"/>
    <x v="0"/>
    <x v="7"/>
    <m/>
    <x v="1"/>
  </r>
  <r>
    <s v="Emp ID-765"/>
    <x v="6"/>
    <x v="4"/>
    <x v="3"/>
    <x v="1"/>
    <x v="15"/>
    <x v="1"/>
    <d v="2012-07-09T00:00:00"/>
    <n v="109883"/>
    <n v="117575"/>
    <n v="7.0000000000000007E-2"/>
    <x v="0"/>
    <x v="7"/>
    <m/>
    <x v="1"/>
  </r>
  <r>
    <s v="Emp ID-766"/>
    <x v="20"/>
    <x v="4"/>
    <x v="1"/>
    <x v="0"/>
    <x v="6"/>
    <x v="2"/>
    <d v="2021-03-15T00:00:00"/>
    <n v="47974"/>
    <n v="47974"/>
    <n v="0"/>
    <x v="1"/>
    <x v="1"/>
    <m/>
    <x v="1"/>
  </r>
  <r>
    <s v="Emp ID-767"/>
    <x v="0"/>
    <x v="0"/>
    <x v="2"/>
    <x v="0"/>
    <x v="19"/>
    <x v="3"/>
    <d v="2015-03-27T00:00:00"/>
    <n v="120321"/>
    <n v="134760"/>
    <n v="0.12"/>
    <x v="0"/>
    <x v="5"/>
    <m/>
    <x v="1"/>
  </r>
  <r>
    <s v="Emp ID-768"/>
    <x v="12"/>
    <x v="0"/>
    <x v="1"/>
    <x v="0"/>
    <x v="22"/>
    <x v="0"/>
    <d v="2014-08-10T00:00:00"/>
    <n v="57446"/>
    <n v="57446"/>
    <n v="0"/>
    <x v="0"/>
    <x v="3"/>
    <m/>
    <x v="1"/>
  </r>
  <r>
    <s v="Emp ID-769"/>
    <x v="2"/>
    <x v="3"/>
    <x v="0"/>
    <x v="0"/>
    <x v="34"/>
    <x v="3"/>
    <d v="2009-06-04T00:00:00"/>
    <n v="174099"/>
    <n v="219365"/>
    <n v="0.26"/>
    <x v="0"/>
    <x v="5"/>
    <m/>
    <x v="1"/>
  </r>
  <r>
    <s v="Emp ID-770"/>
    <x v="0"/>
    <x v="2"/>
    <x v="1"/>
    <x v="1"/>
    <x v="20"/>
    <x v="0"/>
    <d v="2002-02-08T00:00:00"/>
    <n v="128703"/>
    <n v="145434"/>
    <n v="0.13"/>
    <x v="0"/>
    <x v="5"/>
    <m/>
    <x v="1"/>
  </r>
  <r>
    <s v="Emp ID-771"/>
    <x v="17"/>
    <x v="5"/>
    <x v="3"/>
    <x v="0"/>
    <x v="24"/>
    <x v="2"/>
    <d v="2015-11-09T00:00:00"/>
    <n v="65247"/>
    <n v="65247"/>
    <n v="0"/>
    <x v="0"/>
    <x v="3"/>
    <m/>
    <x v="1"/>
  </r>
  <r>
    <s v="Emp ID-772"/>
    <x v="10"/>
    <x v="5"/>
    <x v="0"/>
    <x v="1"/>
    <x v="5"/>
    <x v="2"/>
    <d v="2018-09-28T00:00:00"/>
    <n v="64247"/>
    <n v="64247"/>
    <n v="0"/>
    <x v="2"/>
    <x v="9"/>
    <m/>
    <x v="1"/>
  </r>
  <r>
    <s v="Emp ID-773"/>
    <x v="6"/>
    <x v="4"/>
    <x v="0"/>
    <x v="0"/>
    <x v="29"/>
    <x v="2"/>
    <d v="2012-06-11T00:00:00"/>
    <n v="118253"/>
    <n v="127713"/>
    <n v="0.08"/>
    <x v="0"/>
    <x v="5"/>
    <m/>
    <x v="1"/>
  </r>
  <r>
    <s v="Emp ID-774"/>
    <x v="19"/>
    <x v="5"/>
    <x v="1"/>
    <x v="0"/>
    <x v="15"/>
    <x v="1"/>
    <d v="2004-03-11T00:00:00"/>
    <n v="109422"/>
    <n v="109422"/>
    <n v="0"/>
    <x v="1"/>
    <x v="1"/>
    <m/>
    <x v="1"/>
  </r>
  <r>
    <s v="Emp ID-775"/>
    <x v="6"/>
    <x v="4"/>
    <x v="3"/>
    <x v="1"/>
    <x v="12"/>
    <x v="3"/>
    <d v="2019-02-06T00:00:00"/>
    <n v="126950"/>
    <n v="139645"/>
    <n v="0.1"/>
    <x v="0"/>
    <x v="2"/>
    <m/>
    <x v="1"/>
  </r>
  <r>
    <s v="Emp ID-776"/>
    <x v="14"/>
    <x v="0"/>
    <x v="1"/>
    <x v="0"/>
    <x v="9"/>
    <x v="3"/>
    <d v="2014-11-21T00:00:00"/>
    <n v="97500"/>
    <n v="97500"/>
    <n v="0"/>
    <x v="0"/>
    <x v="4"/>
    <m/>
    <x v="1"/>
  </r>
  <r>
    <s v="Emp ID-777"/>
    <x v="12"/>
    <x v="0"/>
    <x v="1"/>
    <x v="1"/>
    <x v="6"/>
    <x v="2"/>
    <d v="2021-01-17T00:00:00"/>
    <n v="41844"/>
    <n v="41844"/>
    <n v="0"/>
    <x v="1"/>
    <x v="1"/>
    <m/>
    <x v="1"/>
  </r>
  <r>
    <s v="Emp ID-778"/>
    <x v="13"/>
    <x v="3"/>
    <x v="0"/>
    <x v="1"/>
    <x v="19"/>
    <x v="3"/>
    <d v="2014-02-10T00:00:00"/>
    <n v="58875"/>
    <n v="58875"/>
    <n v="0"/>
    <x v="1"/>
    <x v="11"/>
    <m/>
    <x v="1"/>
  </r>
  <r>
    <s v="Emp ID-779"/>
    <x v="5"/>
    <x v="1"/>
    <x v="1"/>
    <x v="0"/>
    <x v="17"/>
    <x v="3"/>
    <d v="2015-11-10T00:00:00"/>
    <n v="64204"/>
    <n v="64204"/>
    <n v="0"/>
    <x v="0"/>
    <x v="7"/>
    <d v="2021-04-20T00:00:00"/>
    <x v="0"/>
  </r>
  <r>
    <s v="Emp ID-780"/>
    <x v="13"/>
    <x v="1"/>
    <x v="3"/>
    <x v="0"/>
    <x v="34"/>
    <x v="3"/>
    <d v="2010-05-09T00:00:00"/>
    <n v="67743"/>
    <n v="67743"/>
    <n v="0"/>
    <x v="1"/>
    <x v="10"/>
    <d v="2014-12-25T00:00:00"/>
    <x v="0"/>
  </r>
  <r>
    <s v="Emp ID-781"/>
    <x v="26"/>
    <x v="1"/>
    <x v="2"/>
    <x v="0"/>
    <x v="33"/>
    <x v="0"/>
    <d v="1997-07-30T00:00:00"/>
    <n v="71677"/>
    <n v="71677"/>
    <n v="0"/>
    <x v="0"/>
    <x v="7"/>
    <m/>
    <x v="1"/>
  </r>
  <r>
    <s v="Emp ID-782"/>
    <x v="12"/>
    <x v="0"/>
    <x v="2"/>
    <x v="1"/>
    <x v="22"/>
    <x v="0"/>
    <d v="2000-09-24T00:00:00"/>
    <n v="40063"/>
    <n v="40063"/>
    <n v="0"/>
    <x v="0"/>
    <x v="4"/>
    <m/>
    <x v="1"/>
  </r>
  <r>
    <s v="Emp ID-783"/>
    <x v="12"/>
    <x v="0"/>
    <x v="1"/>
    <x v="0"/>
    <x v="0"/>
    <x v="0"/>
    <d v="2004-04-30T00:00:00"/>
    <n v="40124"/>
    <n v="40124"/>
    <n v="0"/>
    <x v="0"/>
    <x v="5"/>
    <m/>
    <x v="1"/>
  </r>
  <r>
    <s v="Emp ID-784"/>
    <x v="18"/>
    <x v="5"/>
    <x v="1"/>
    <x v="1"/>
    <x v="4"/>
    <x v="0"/>
    <d v="2018-02-26T00:00:00"/>
    <n v="103183"/>
    <n v="103183"/>
    <n v="0"/>
    <x v="0"/>
    <x v="5"/>
    <d v="2021-07-09T00:00:00"/>
    <x v="0"/>
  </r>
  <r>
    <s v="Emp ID-785"/>
    <x v="27"/>
    <x v="0"/>
    <x v="3"/>
    <x v="1"/>
    <x v="36"/>
    <x v="1"/>
    <d v="1998-06-15T00:00:00"/>
    <n v="95239"/>
    <n v="95239"/>
    <n v="0"/>
    <x v="0"/>
    <x v="3"/>
    <m/>
    <x v="1"/>
  </r>
  <r>
    <s v="Emp ID-786"/>
    <x v="25"/>
    <x v="5"/>
    <x v="1"/>
    <x v="0"/>
    <x v="7"/>
    <x v="2"/>
    <d v="2019-11-09T00:00:00"/>
    <n v="75012"/>
    <n v="75012"/>
    <n v="0"/>
    <x v="0"/>
    <x v="2"/>
    <m/>
    <x v="1"/>
  </r>
  <r>
    <s v="Emp ID-787"/>
    <x v="23"/>
    <x v="0"/>
    <x v="1"/>
    <x v="0"/>
    <x v="29"/>
    <x v="2"/>
    <d v="2014-06-29T00:00:00"/>
    <n v="96366"/>
    <n v="96366"/>
    <n v="0"/>
    <x v="1"/>
    <x v="11"/>
    <m/>
    <x v="1"/>
  </r>
  <r>
    <s v="Emp ID-788"/>
    <x v="7"/>
    <x v="6"/>
    <x v="3"/>
    <x v="0"/>
    <x v="38"/>
    <x v="3"/>
    <d v="2014-07-29T00:00:00"/>
    <n v="40897"/>
    <n v="40897"/>
    <n v="0"/>
    <x v="0"/>
    <x v="0"/>
    <m/>
    <x v="1"/>
  </r>
  <r>
    <s v="Emp ID-789"/>
    <x v="6"/>
    <x v="2"/>
    <x v="0"/>
    <x v="0"/>
    <x v="17"/>
    <x v="3"/>
    <d v="2016-08-23T00:00:00"/>
    <n v="124928"/>
    <n v="132424"/>
    <n v="0.06"/>
    <x v="1"/>
    <x v="1"/>
    <m/>
    <x v="1"/>
  </r>
  <r>
    <s v="Emp ID-790"/>
    <x v="6"/>
    <x v="2"/>
    <x v="2"/>
    <x v="0"/>
    <x v="10"/>
    <x v="1"/>
    <d v="2013-06-14T00:00:00"/>
    <n v="108221"/>
    <n v="113632"/>
    <n v="0.05"/>
    <x v="2"/>
    <x v="8"/>
    <m/>
    <x v="1"/>
  </r>
  <r>
    <s v="Emp ID-791"/>
    <x v="15"/>
    <x v="4"/>
    <x v="3"/>
    <x v="1"/>
    <x v="30"/>
    <x v="1"/>
    <d v="2007-02-20T00:00:00"/>
    <n v="75579"/>
    <n v="75579"/>
    <n v="0"/>
    <x v="0"/>
    <x v="0"/>
    <m/>
    <x v="1"/>
  </r>
  <r>
    <s v="Emp ID-792"/>
    <x v="0"/>
    <x v="4"/>
    <x v="1"/>
    <x v="1"/>
    <x v="12"/>
    <x v="3"/>
    <d v="2015-12-27T00:00:00"/>
    <n v="129903"/>
    <n v="146790"/>
    <n v="0.13"/>
    <x v="2"/>
    <x v="12"/>
    <m/>
    <x v="1"/>
  </r>
  <r>
    <s v="Emp ID-793"/>
    <x v="2"/>
    <x v="2"/>
    <x v="0"/>
    <x v="0"/>
    <x v="6"/>
    <x v="2"/>
    <d v="2021-04-17T00:00:00"/>
    <n v="186870"/>
    <n v="224244"/>
    <n v="0.2"/>
    <x v="1"/>
    <x v="6"/>
    <m/>
    <x v="1"/>
  </r>
  <r>
    <s v="Emp ID-794"/>
    <x v="13"/>
    <x v="1"/>
    <x v="0"/>
    <x v="1"/>
    <x v="17"/>
    <x v="3"/>
    <d v="2010-04-23T00:00:00"/>
    <n v="57531"/>
    <n v="57531"/>
    <n v="0"/>
    <x v="0"/>
    <x v="2"/>
    <m/>
    <x v="1"/>
  </r>
  <r>
    <s v="Emp ID-795"/>
    <x v="7"/>
    <x v="2"/>
    <x v="0"/>
    <x v="1"/>
    <x v="30"/>
    <x v="1"/>
    <d v="2011-04-24T00:00:00"/>
    <n v="55894"/>
    <n v="55894"/>
    <n v="0"/>
    <x v="0"/>
    <x v="0"/>
    <m/>
    <x v="1"/>
  </r>
  <r>
    <s v="Emp ID-796"/>
    <x v="17"/>
    <x v="5"/>
    <x v="1"/>
    <x v="0"/>
    <x v="34"/>
    <x v="3"/>
    <d v="2012-04-27T00:00:00"/>
    <n v="72903"/>
    <n v="72903"/>
    <n v="0"/>
    <x v="0"/>
    <x v="3"/>
    <m/>
    <x v="1"/>
  </r>
  <r>
    <s v="Emp ID-797"/>
    <x v="7"/>
    <x v="2"/>
    <x v="3"/>
    <x v="1"/>
    <x v="17"/>
    <x v="3"/>
    <d v="2015-11-09T00:00:00"/>
    <n v="45369"/>
    <n v="45369"/>
    <n v="0"/>
    <x v="1"/>
    <x v="10"/>
    <m/>
    <x v="1"/>
  </r>
  <r>
    <s v="Emp ID-798"/>
    <x v="6"/>
    <x v="2"/>
    <x v="2"/>
    <x v="1"/>
    <x v="33"/>
    <x v="0"/>
    <d v="2010-06-15T00:00:00"/>
    <n v="106578"/>
    <n v="116170"/>
    <n v="0.09"/>
    <x v="0"/>
    <x v="4"/>
    <m/>
    <x v="1"/>
  </r>
  <r>
    <s v="Emp ID-799"/>
    <x v="15"/>
    <x v="4"/>
    <x v="0"/>
    <x v="0"/>
    <x v="27"/>
    <x v="1"/>
    <d v="1999-09-13T00:00:00"/>
    <n v="92994"/>
    <n v="92994"/>
    <n v="0"/>
    <x v="0"/>
    <x v="2"/>
    <m/>
    <x v="1"/>
  </r>
  <r>
    <s v="Emp ID-800"/>
    <x v="4"/>
    <x v="1"/>
    <x v="2"/>
    <x v="1"/>
    <x v="1"/>
    <x v="0"/>
    <d v="1997-03-13T00:00:00"/>
    <n v="83685"/>
    <n v="83685"/>
    <n v="0"/>
    <x v="1"/>
    <x v="10"/>
    <m/>
    <x v="1"/>
  </r>
  <r>
    <s v="Emp ID-801"/>
    <x v="21"/>
    <x v="0"/>
    <x v="0"/>
    <x v="1"/>
    <x v="35"/>
    <x v="1"/>
    <d v="2010-09-14T00:00:00"/>
    <n v="99335"/>
    <n v="99335"/>
    <n v="0"/>
    <x v="0"/>
    <x v="3"/>
    <m/>
    <x v="1"/>
  </r>
  <r>
    <s v="Emp ID-802"/>
    <x v="0"/>
    <x v="4"/>
    <x v="1"/>
    <x v="1"/>
    <x v="34"/>
    <x v="3"/>
    <d v="2013-04-18T00:00:00"/>
    <n v="131179"/>
    <n v="150856"/>
    <n v="0.15"/>
    <x v="0"/>
    <x v="7"/>
    <m/>
    <x v="1"/>
  </r>
  <r>
    <s v="Emp ID-803"/>
    <x v="3"/>
    <x v="0"/>
    <x v="2"/>
    <x v="1"/>
    <x v="25"/>
    <x v="3"/>
    <d v="2016-05-03T00:00:00"/>
    <n v="73899"/>
    <n v="77594"/>
    <n v="0.05"/>
    <x v="1"/>
    <x v="11"/>
    <m/>
    <x v="1"/>
  </r>
  <r>
    <s v="Emp ID-804"/>
    <x v="9"/>
    <x v="3"/>
    <x v="1"/>
    <x v="1"/>
    <x v="14"/>
    <x v="0"/>
    <d v="2013-03-29T00:00:00"/>
    <n v="252325"/>
    <n v="353255"/>
    <n v="0.4"/>
    <x v="0"/>
    <x v="7"/>
    <m/>
    <x v="1"/>
  </r>
  <r>
    <s v="Emp ID-805"/>
    <x v="13"/>
    <x v="2"/>
    <x v="0"/>
    <x v="0"/>
    <x v="23"/>
    <x v="2"/>
    <d v="2015-03-05T00:00:00"/>
    <n v="52697"/>
    <n v="52697"/>
    <n v="0"/>
    <x v="0"/>
    <x v="0"/>
    <m/>
    <x v="1"/>
  </r>
  <r>
    <s v="Emp ID-806"/>
    <x v="19"/>
    <x v="5"/>
    <x v="2"/>
    <x v="0"/>
    <x v="7"/>
    <x v="2"/>
    <d v="2020-09-25T00:00:00"/>
    <n v="123588"/>
    <n v="123588"/>
    <n v="0"/>
    <x v="2"/>
    <x v="12"/>
    <m/>
    <x v="1"/>
  </r>
  <r>
    <s v="Emp ID-807"/>
    <x v="9"/>
    <x v="3"/>
    <x v="3"/>
    <x v="0"/>
    <x v="40"/>
    <x v="1"/>
    <d v="2021-12-26T00:00:00"/>
    <n v="243568"/>
    <n v="323945"/>
    <n v="0.33"/>
    <x v="0"/>
    <x v="5"/>
    <m/>
    <x v="1"/>
  </r>
  <r>
    <s v="Emp ID-808"/>
    <x v="2"/>
    <x v="1"/>
    <x v="0"/>
    <x v="1"/>
    <x v="37"/>
    <x v="1"/>
    <d v="2001-07-20T00:00:00"/>
    <n v="199176"/>
    <n v="246978"/>
    <n v="0.24"/>
    <x v="0"/>
    <x v="3"/>
    <m/>
    <x v="1"/>
  </r>
  <r>
    <s v="Emp ID-809"/>
    <x v="1"/>
    <x v="0"/>
    <x v="2"/>
    <x v="0"/>
    <x v="16"/>
    <x v="0"/>
    <d v="1996-06-22T00:00:00"/>
    <n v="82806"/>
    <n v="82806"/>
    <n v="0"/>
    <x v="0"/>
    <x v="0"/>
    <m/>
    <x v="1"/>
  </r>
  <r>
    <s v="Emp ID-810"/>
    <x v="2"/>
    <x v="6"/>
    <x v="2"/>
    <x v="0"/>
    <x v="26"/>
    <x v="1"/>
    <d v="1997-06-20T00:00:00"/>
    <n v="164399"/>
    <n v="205499"/>
    <n v="0.25"/>
    <x v="0"/>
    <x v="0"/>
    <m/>
    <x v="1"/>
  </r>
  <r>
    <s v="Emp ID-811"/>
    <x v="0"/>
    <x v="4"/>
    <x v="1"/>
    <x v="0"/>
    <x v="24"/>
    <x v="2"/>
    <d v="2017-04-14T00:00:00"/>
    <n v="154956"/>
    <n v="175100"/>
    <n v="0.13"/>
    <x v="0"/>
    <x v="3"/>
    <m/>
    <x v="1"/>
  </r>
  <r>
    <s v="Emp ID-812"/>
    <x v="0"/>
    <x v="6"/>
    <x v="1"/>
    <x v="1"/>
    <x v="24"/>
    <x v="2"/>
    <d v="2017-01-29T00:00:00"/>
    <n v="143970"/>
    <n v="161246"/>
    <n v="0.12"/>
    <x v="0"/>
    <x v="0"/>
    <d v="2017-12-09T00:00:00"/>
    <x v="0"/>
  </r>
  <r>
    <s v="Emp ID-813"/>
    <x v="2"/>
    <x v="1"/>
    <x v="3"/>
    <x v="1"/>
    <x v="27"/>
    <x v="1"/>
    <d v="2020-09-25T00:00:00"/>
    <n v="163143"/>
    <n v="208823"/>
    <n v="0.28000000000000003"/>
    <x v="2"/>
    <x v="12"/>
    <m/>
    <x v="1"/>
  </r>
  <r>
    <s v="Emp ID-814"/>
    <x v="4"/>
    <x v="3"/>
    <x v="2"/>
    <x v="0"/>
    <x v="31"/>
    <x v="3"/>
    <d v="2020-07-24T00:00:00"/>
    <n v="89390"/>
    <n v="89390"/>
    <n v="0"/>
    <x v="0"/>
    <x v="0"/>
    <m/>
    <x v="1"/>
  </r>
  <r>
    <s v="Emp ID-815"/>
    <x v="23"/>
    <x v="0"/>
    <x v="1"/>
    <x v="1"/>
    <x v="12"/>
    <x v="3"/>
    <d v="2017-10-05T00:00:00"/>
    <n v="67468"/>
    <n v="67468"/>
    <n v="0"/>
    <x v="0"/>
    <x v="4"/>
    <m/>
    <x v="1"/>
  </r>
  <r>
    <s v="Emp ID-816"/>
    <x v="11"/>
    <x v="5"/>
    <x v="1"/>
    <x v="0"/>
    <x v="37"/>
    <x v="1"/>
    <d v="2016-03-12T00:00:00"/>
    <n v="100810"/>
    <n v="112907"/>
    <n v="0.12"/>
    <x v="2"/>
    <x v="9"/>
    <m/>
    <x v="1"/>
  </r>
  <r>
    <s v="Emp ID-817"/>
    <x v="4"/>
    <x v="2"/>
    <x v="1"/>
    <x v="0"/>
    <x v="25"/>
    <x v="3"/>
    <d v="2019-03-18T00:00:00"/>
    <n v="74779"/>
    <n v="74779"/>
    <n v="0"/>
    <x v="0"/>
    <x v="3"/>
    <m/>
    <x v="1"/>
  </r>
  <r>
    <s v="Emp ID-818"/>
    <x v="24"/>
    <x v="0"/>
    <x v="3"/>
    <x v="0"/>
    <x v="7"/>
    <x v="2"/>
    <d v="2017-11-09T00:00:00"/>
    <n v="63985"/>
    <n v="63985"/>
    <n v="0"/>
    <x v="0"/>
    <x v="4"/>
    <m/>
    <x v="1"/>
  </r>
  <r>
    <s v="Emp ID-819"/>
    <x v="29"/>
    <x v="0"/>
    <x v="1"/>
    <x v="0"/>
    <x v="14"/>
    <x v="0"/>
    <d v="2004-07-08T00:00:00"/>
    <n v="77903"/>
    <n v="77903"/>
    <n v="0"/>
    <x v="0"/>
    <x v="0"/>
    <m/>
    <x v="1"/>
  </r>
  <r>
    <s v="Emp ID-820"/>
    <x v="2"/>
    <x v="6"/>
    <x v="3"/>
    <x v="1"/>
    <x v="29"/>
    <x v="2"/>
    <d v="2017-06-12T00:00:00"/>
    <n v="164396"/>
    <n v="212071"/>
    <n v="0.28999999999999998"/>
    <x v="0"/>
    <x v="7"/>
    <m/>
    <x v="1"/>
  </r>
  <r>
    <s v="Emp ID-821"/>
    <x v="30"/>
    <x v="0"/>
    <x v="3"/>
    <x v="1"/>
    <x v="7"/>
    <x v="2"/>
    <d v="2021-06-28T00:00:00"/>
    <n v="71234"/>
    <n v="71234"/>
    <n v="0"/>
    <x v="0"/>
    <x v="0"/>
    <m/>
    <x v="1"/>
  </r>
  <r>
    <s v="Emp ID-822"/>
    <x v="6"/>
    <x v="2"/>
    <x v="3"/>
    <x v="1"/>
    <x v="20"/>
    <x v="0"/>
    <d v="2004-04-19T00:00:00"/>
    <n v="122487"/>
    <n v="132286"/>
    <n v="0.08"/>
    <x v="1"/>
    <x v="6"/>
    <m/>
    <x v="1"/>
  </r>
  <r>
    <s v="Emp ID-823"/>
    <x v="6"/>
    <x v="4"/>
    <x v="2"/>
    <x v="0"/>
    <x v="24"/>
    <x v="2"/>
    <d v="2017-01-03T00:00:00"/>
    <n v="101870"/>
    <n v="112057"/>
    <n v="0.1"/>
    <x v="0"/>
    <x v="3"/>
    <m/>
    <x v="1"/>
  </r>
  <r>
    <s v="Emp ID-824"/>
    <x v="28"/>
    <x v="0"/>
    <x v="0"/>
    <x v="1"/>
    <x v="14"/>
    <x v="0"/>
    <d v="2020-06-27T00:00:00"/>
    <n v="40316"/>
    <n v="40316"/>
    <n v="0"/>
    <x v="2"/>
    <x v="8"/>
    <m/>
    <x v="1"/>
  </r>
  <r>
    <s v="Emp ID-825"/>
    <x v="6"/>
    <x v="0"/>
    <x v="0"/>
    <x v="0"/>
    <x v="0"/>
    <x v="0"/>
    <d v="2005-02-08T00:00:00"/>
    <n v="115145"/>
    <n v="120902"/>
    <n v="0.05"/>
    <x v="1"/>
    <x v="1"/>
    <m/>
    <x v="1"/>
  </r>
  <r>
    <s v="Emp ID-826"/>
    <x v="21"/>
    <x v="0"/>
    <x v="1"/>
    <x v="0"/>
    <x v="19"/>
    <x v="3"/>
    <d v="2009-03-13T00:00:00"/>
    <n v="62335"/>
    <n v="62335"/>
    <n v="0"/>
    <x v="2"/>
    <x v="8"/>
    <m/>
    <x v="1"/>
  </r>
  <r>
    <s v="Emp ID-827"/>
    <x v="7"/>
    <x v="2"/>
    <x v="1"/>
    <x v="1"/>
    <x v="16"/>
    <x v="0"/>
    <d v="2006-05-10T00:00:00"/>
    <n v="41561"/>
    <n v="41561"/>
    <n v="0"/>
    <x v="0"/>
    <x v="5"/>
    <m/>
    <x v="1"/>
  </r>
  <r>
    <s v="Emp ID-828"/>
    <x v="0"/>
    <x v="2"/>
    <x v="2"/>
    <x v="0"/>
    <x v="17"/>
    <x v="3"/>
    <d v="2011-04-24T00:00:00"/>
    <n v="131183"/>
    <n v="149549"/>
    <n v="0.14000000000000001"/>
    <x v="1"/>
    <x v="6"/>
    <d v="2016-03-16T00:00:00"/>
    <x v="0"/>
  </r>
  <r>
    <s v="Emp ID-829"/>
    <x v="1"/>
    <x v="0"/>
    <x v="1"/>
    <x v="0"/>
    <x v="15"/>
    <x v="1"/>
    <d v="2002-07-08T00:00:00"/>
    <n v="92655"/>
    <n v="92655"/>
    <n v="0"/>
    <x v="1"/>
    <x v="11"/>
    <m/>
    <x v="1"/>
  </r>
  <r>
    <s v="Emp ID-830"/>
    <x v="0"/>
    <x v="1"/>
    <x v="1"/>
    <x v="0"/>
    <x v="37"/>
    <x v="1"/>
    <d v="1996-04-02T00:00:00"/>
    <n v="157057"/>
    <n v="175904"/>
    <n v="0.12"/>
    <x v="0"/>
    <x v="4"/>
    <m/>
    <x v="1"/>
  </r>
  <r>
    <s v="Emp ID-831"/>
    <x v="14"/>
    <x v="0"/>
    <x v="2"/>
    <x v="0"/>
    <x v="22"/>
    <x v="0"/>
    <d v="2005-02-09T00:00:00"/>
    <n v="64462"/>
    <n v="64462"/>
    <n v="0"/>
    <x v="0"/>
    <x v="2"/>
    <m/>
    <x v="1"/>
  </r>
  <r>
    <s v="Emp ID-832"/>
    <x v="10"/>
    <x v="5"/>
    <x v="3"/>
    <x v="0"/>
    <x v="12"/>
    <x v="3"/>
    <d v="2005-10-07T00:00:00"/>
    <n v="79352"/>
    <n v="79352"/>
    <n v="0"/>
    <x v="0"/>
    <x v="0"/>
    <m/>
    <x v="1"/>
  </r>
  <r>
    <s v="Emp ID-833"/>
    <x v="0"/>
    <x v="6"/>
    <x v="2"/>
    <x v="0"/>
    <x v="0"/>
    <x v="0"/>
    <d v="2001-03-27T00:00:00"/>
    <n v="157812"/>
    <n v="175171"/>
    <n v="0.11"/>
    <x v="0"/>
    <x v="4"/>
    <m/>
    <x v="1"/>
  </r>
  <r>
    <s v="Emp ID-834"/>
    <x v="10"/>
    <x v="5"/>
    <x v="3"/>
    <x v="1"/>
    <x v="5"/>
    <x v="2"/>
    <d v="2018-09-11T00:00:00"/>
    <n v="80745"/>
    <n v="80745"/>
    <n v="0"/>
    <x v="0"/>
    <x v="2"/>
    <m/>
    <x v="1"/>
  </r>
  <r>
    <s v="Emp ID-835"/>
    <x v="27"/>
    <x v="0"/>
    <x v="1"/>
    <x v="0"/>
    <x v="4"/>
    <x v="0"/>
    <d v="1996-02-18T00:00:00"/>
    <n v="75354"/>
    <n v="75354"/>
    <n v="0"/>
    <x v="0"/>
    <x v="5"/>
    <d v="1996-12-14T00:00:00"/>
    <x v="0"/>
  </r>
  <r>
    <s v="Emp ID-836"/>
    <x v="11"/>
    <x v="5"/>
    <x v="0"/>
    <x v="1"/>
    <x v="16"/>
    <x v="0"/>
    <d v="2018-09-20T00:00:00"/>
    <n v="78938"/>
    <n v="89989"/>
    <n v="0.14000000000000001"/>
    <x v="0"/>
    <x v="3"/>
    <m/>
    <x v="1"/>
  </r>
  <r>
    <s v="Emp ID-837"/>
    <x v="19"/>
    <x v="5"/>
    <x v="3"/>
    <x v="1"/>
    <x v="1"/>
    <x v="0"/>
    <d v="2008-09-10T00:00:00"/>
    <n v="96313"/>
    <n v="96313"/>
    <n v="0"/>
    <x v="0"/>
    <x v="5"/>
    <m/>
    <x v="1"/>
  </r>
  <r>
    <s v="Emp ID-838"/>
    <x v="2"/>
    <x v="5"/>
    <x v="2"/>
    <x v="1"/>
    <x v="15"/>
    <x v="1"/>
    <d v="2010-11-29T00:00:00"/>
    <n v="153767"/>
    <n v="195284"/>
    <n v="0.27"/>
    <x v="0"/>
    <x v="3"/>
    <m/>
    <x v="1"/>
  </r>
  <r>
    <s v="Emp ID-839"/>
    <x v="6"/>
    <x v="6"/>
    <x v="0"/>
    <x v="0"/>
    <x v="34"/>
    <x v="3"/>
    <d v="2015-09-19T00:00:00"/>
    <n v="103423"/>
    <n v="109628"/>
    <n v="0.06"/>
    <x v="0"/>
    <x v="7"/>
    <m/>
    <x v="1"/>
  </r>
  <r>
    <s v="Emp ID-840"/>
    <x v="8"/>
    <x v="5"/>
    <x v="3"/>
    <x v="0"/>
    <x v="6"/>
    <x v="2"/>
    <d v="2021-06-23T00:00:00"/>
    <n v="86464"/>
    <n v="86464"/>
    <n v="0"/>
    <x v="1"/>
    <x v="6"/>
    <m/>
    <x v="1"/>
  </r>
  <r>
    <s v="Emp ID-841"/>
    <x v="8"/>
    <x v="5"/>
    <x v="3"/>
    <x v="0"/>
    <x v="7"/>
    <x v="2"/>
    <d v="2018-01-14T00:00:00"/>
    <n v="80516"/>
    <n v="80516"/>
    <n v="0"/>
    <x v="2"/>
    <x v="12"/>
    <m/>
    <x v="1"/>
  </r>
  <r>
    <s v="Emp ID-842"/>
    <x v="6"/>
    <x v="4"/>
    <x v="2"/>
    <x v="0"/>
    <x v="29"/>
    <x v="2"/>
    <d v="2013-08-21T00:00:00"/>
    <n v="105390"/>
    <n v="111713"/>
    <n v="0.06"/>
    <x v="0"/>
    <x v="7"/>
    <m/>
    <x v="1"/>
  </r>
  <r>
    <s v="Emp ID-843"/>
    <x v="21"/>
    <x v="0"/>
    <x v="1"/>
    <x v="0"/>
    <x v="2"/>
    <x v="1"/>
    <d v="2021-09-06T00:00:00"/>
    <n v="83418"/>
    <n v="83418"/>
    <n v="0"/>
    <x v="1"/>
    <x v="6"/>
    <m/>
    <x v="1"/>
  </r>
  <r>
    <s v="Emp ID-844"/>
    <x v="29"/>
    <x v="0"/>
    <x v="2"/>
    <x v="0"/>
    <x v="15"/>
    <x v="1"/>
    <d v="2017-11-03T00:00:00"/>
    <n v="66660"/>
    <n v="66660"/>
    <n v="0"/>
    <x v="0"/>
    <x v="5"/>
    <m/>
    <x v="1"/>
  </r>
  <r>
    <s v="Emp ID-845"/>
    <x v="6"/>
    <x v="4"/>
    <x v="2"/>
    <x v="1"/>
    <x v="1"/>
    <x v="0"/>
    <d v="2015-06-10T00:00:00"/>
    <n v="101985"/>
    <n v="109124"/>
    <n v="7.0000000000000007E-2"/>
    <x v="0"/>
    <x v="4"/>
    <m/>
    <x v="1"/>
  </r>
  <r>
    <s v="Emp ID-846"/>
    <x v="9"/>
    <x v="2"/>
    <x v="3"/>
    <x v="1"/>
    <x v="7"/>
    <x v="2"/>
    <d v="2018-12-05T00:00:00"/>
    <n v="199504"/>
    <n v="259355"/>
    <n v="0.3"/>
    <x v="0"/>
    <x v="5"/>
    <m/>
    <x v="1"/>
  </r>
  <r>
    <s v="Emp ID-847"/>
    <x v="0"/>
    <x v="1"/>
    <x v="3"/>
    <x v="0"/>
    <x v="27"/>
    <x v="1"/>
    <d v="2006-10-05T00:00:00"/>
    <n v="147966"/>
    <n v="164242"/>
    <n v="0.11"/>
    <x v="2"/>
    <x v="9"/>
    <d v="2019-05-23T00:00:00"/>
    <x v="0"/>
  </r>
  <r>
    <s v="Emp ID-848"/>
    <x v="20"/>
    <x v="4"/>
    <x v="2"/>
    <x v="1"/>
    <x v="32"/>
    <x v="0"/>
    <d v="2014-06-20T00:00:00"/>
    <n v="41728"/>
    <n v="41728"/>
    <n v="0"/>
    <x v="1"/>
    <x v="1"/>
    <m/>
    <x v="1"/>
  </r>
  <r>
    <s v="Emp ID-849"/>
    <x v="4"/>
    <x v="3"/>
    <x v="2"/>
    <x v="1"/>
    <x v="39"/>
    <x v="0"/>
    <d v="2011-02-17T00:00:00"/>
    <n v="94422"/>
    <n v="94422"/>
    <n v="0"/>
    <x v="0"/>
    <x v="3"/>
    <m/>
    <x v="1"/>
  </r>
  <r>
    <s v="Emp ID-850"/>
    <x v="2"/>
    <x v="1"/>
    <x v="3"/>
    <x v="1"/>
    <x v="11"/>
    <x v="2"/>
    <d v="2015-06-29T00:00:00"/>
    <n v="191026"/>
    <n v="221590"/>
    <n v="0.16"/>
    <x v="0"/>
    <x v="7"/>
    <m/>
    <x v="1"/>
  </r>
  <r>
    <s v="Emp ID-851"/>
    <x v="9"/>
    <x v="0"/>
    <x v="0"/>
    <x v="1"/>
    <x v="34"/>
    <x v="3"/>
    <d v="2010-11-29T00:00:00"/>
    <n v="186725"/>
    <n v="246477"/>
    <n v="0.32"/>
    <x v="2"/>
    <x v="8"/>
    <m/>
    <x v="1"/>
  </r>
  <r>
    <s v="Emp ID-852"/>
    <x v="20"/>
    <x v="4"/>
    <x v="0"/>
    <x v="0"/>
    <x v="16"/>
    <x v="0"/>
    <d v="2009-08-20T00:00:00"/>
    <n v="52800"/>
    <n v="52800"/>
    <n v="0"/>
    <x v="0"/>
    <x v="3"/>
    <m/>
    <x v="1"/>
  </r>
  <r>
    <s v="Emp ID-853"/>
    <x v="19"/>
    <x v="5"/>
    <x v="2"/>
    <x v="1"/>
    <x v="36"/>
    <x v="1"/>
    <d v="2010-12-05T00:00:00"/>
    <n v="113982"/>
    <n v="113982"/>
    <n v="0"/>
    <x v="0"/>
    <x v="0"/>
    <m/>
    <x v="1"/>
  </r>
  <r>
    <s v="Emp ID-854"/>
    <x v="5"/>
    <x v="1"/>
    <x v="0"/>
    <x v="0"/>
    <x v="36"/>
    <x v="1"/>
    <d v="2021-03-16T00:00:00"/>
    <n v="56239"/>
    <n v="56239"/>
    <n v="0"/>
    <x v="1"/>
    <x v="1"/>
    <m/>
    <x v="1"/>
  </r>
  <r>
    <s v="Emp ID-855"/>
    <x v="7"/>
    <x v="1"/>
    <x v="1"/>
    <x v="1"/>
    <x v="3"/>
    <x v="2"/>
    <d v="2021-03-02T00:00:00"/>
    <n v="44732"/>
    <n v="44732"/>
    <n v="0"/>
    <x v="2"/>
    <x v="9"/>
    <m/>
    <x v="1"/>
  </r>
  <r>
    <s v="Emp ID-856"/>
    <x v="2"/>
    <x v="6"/>
    <x v="3"/>
    <x v="1"/>
    <x v="37"/>
    <x v="1"/>
    <d v="2014-06-26T00:00:00"/>
    <n v="153961"/>
    <n v="192451"/>
    <n v="0.25"/>
    <x v="1"/>
    <x v="6"/>
    <m/>
    <x v="1"/>
  </r>
  <r>
    <s v="Emp ID-857"/>
    <x v="23"/>
    <x v="0"/>
    <x v="2"/>
    <x v="0"/>
    <x v="15"/>
    <x v="1"/>
    <d v="2006-12-18T00:00:00"/>
    <n v="68337"/>
    <n v="68337"/>
    <n v="0"/>
    <x v="1"/>
    <x v="1"/>
    <m/>
    <x v="1"/>
  </r>
  <r>
    <s v="Emp ID-858"/>
    <x v="0"/>
    <x v="4"/>
    <x v="3"/>
    <x v="1"/>
    <x v="15"/>
    <x v="1"/>
    <d v="2010-05-07T00:00:00"/>
    <n v="145093"/>
    <n v="162504"/>
    <n v="0.12"/>
    <x v="0"/>
    <x v="2"/>
    <m/>
    <x v="1"/>
  </r>
  <r>
    <s v="Emp ID-859"/>
    <x v="30"/>
    <x v="0"/>
    <x v="2"/>
    <x v="0"/>
    <x v="3"/>
    <x v="2"/>
    <d v="2021-03-11T00:00:00"/>
    <n v="74170"/>
    <n v="74170"/>
    <n v="0"/>
    <x v="0"/>
    <x v="5"/>
    <m/>
    <x v="1"/>
  </r>
  <r>
    <s v="Emp ID-860"/>
    <x v="17"/>
    <x v="5"/>
    <x v="0"/>
    <x v="1"/>
    <x v="1"/>
    <x v="0"/>
    <d v="1996-03-29T00:00:00"/>
    <n v="62605"/>
    <n v="62605"/>
    <n v="0"/>
    <x v="0"/>
    <x v="5"/>
    <m/>
    <x v="1"/>
  </r>
  <r>
    <s v="Emp ID-861"/>
    <x v="6"/>
    <x v="0"/>
    <x v="2"/>
    <x v="0"/>
    <x v="10"/>
    <x v="1"/>
    <d v="2020-03-13T00:00:00"/>
    <n v="107195"/>
    <n v="116843"/>
    <n v="0.09"/>
    <x v="0"/>
    <x v="5"/>
    <m/>
    <x v="1"/>
  </r>
  <r>
    <s v="Emp ID-862"/>
    <x v="0"/>
    <x v="6"/>
    <x v="2"/>
    <x v="1"/>
    <x v="15"/>
    <x v="1"/>
    <d v="2018-01-11T00:00:00"/>
    <n v="127422"/>
    <n v="146535"/>
    <n v="0.15"/>
    <x v="0"/>
    <x v="7"/>
    <m/>
    <x v="1"/>
  </r>
  <r>
    <s v="Emp ID-863"/>
    <x v="2"/>
    <x v="3"/>
    <x v="0"/>
    <x v="0"/>
    <x v="25"/>
    <x v="3"/>
    <d v="2017-06-26T00:00:00"/>
    <n v="161269"/>
    <n v="204812"/>
    <n v="0.27"/>
    <x v="0"/>
    <x v="4"/>
    <m/>
    <x v="1"/>
  </r>
  <r>
    <s v="Emp ID-864"/>
    <x v="9"/>
    <x v="6"/>
    <x v="3"/>
    <x v="0"/>
    <x v="24"/>
    <x v="2"/>
    <d v="2014-02-05T00:00:00"/>
    <n v="203445"/>
    <n v="272616"/>
    <n v="0.34"/>
    <x v="2"/>
    <x v="8"/>
    <m/>
    <x v="1"/>
  </r>
  <r>
    <s v="Emp ID-865"/>
    <x v="0"/>
    <x v="4"/>
    <x v="0"/>
    <x v="0"/>
    <x v="17"/>
    <x v="3"/>
    <d v="2011-01-17T00:00:00"/>
    <n v="131353"/>
    <n v="145802"/>
    <n v="0.11"/>
    <x v="1"/>
    <x v="6"/>
    <m/>
    <x v="1"/>
  </r>
  <r>
    <s v="Emp ID-866"/>
    <x v="31"/>
    <x v="0"/>
    <x v="1"/>
    <x v="1"/>
    <x v="15"/>
    <x v="1"/>
    <d v="2010-03-16T00:00:00"/>
    <n v="88182"/>
    <n v="88182"/>
    <n v="0"/>
    <x v="1"/>
    <x v="11"/>
    <m/>
    <x v="1"/>
  </r>
  <r>
    <s v="Emp ID-867"/>
    <x v="14"/>
    <x v="0"/>
    <x v="2"/>
    <x v="1"/>
    <x v="22"/>
    <x v="0"/>
    <d v="2019-08-26T00:00:00"/>
    <n v="75780"/>
    <n v="75780"/>
    <n v="0"/>
    <x v="0"/>
    <x v="0"/>
    <m/>
    <x v="1"/>
  </r>
  <r>
    <s v="Emp ID-868"/>
    <x v="13"/>
    <x v="1"/>
    <x v="0"/>
    <x v="0"/>
    <x v="15"/>
    <x v="1"/>
    <d v="2019-04-02T00:00:00"/>
    <n v="52621"/>
    <n v="52621"/>
    <n v="0"/>
    <x v="1"/>
    <x v="10"/>
    <m/>
    <x v="1"/>
  </r>
  <r>
    <s v="Emp ID-869"/>
    <x v="11"/>
    <x v="5"/>
    <x v="0"/>
    <x v="1"/>
    <x v="33"/>
    <x v="0"/>
    <d v="2018-02-15T00:00:00"/>
    <n v="106079"/>
    <n v="120930"/>
    <n v="0.14000000000000001"/>
    <x v="0"/>
    <x v="5"/>
    <d v="2021-04-09T00:00:00"/>
    <x v="0"/>
  </r>
  <r>
    <s v="Emp ID-870"/>
    <x v="21"/>
    <x v="0"/>
    <x v="3"/>
    <x v="1"/>
    <x v="23"/>
    <x v="2"/>
    <d v="2017-02-11T00:00:00"/>
    <n v="92058"/>
    <n v="92058"/>
    <n v="0"/>
    <x v="0"/>
    <x v="5"/>
    <m/>
    <x v="1"/>
  </r>
  <r>
    <s v="Emp ID-871"/>
    <x v="17"/>
    <x v="5"/>
    <x v="1"/>
    <x v="1"/>
    <x v="14"/>
    <x v="0"/>
    <d v="2019-03-03T00:00:00"/>
    <n v="67114"/>
    <n v="67114"/>
    <n v="0"/>
    <x v="0"/>
    <x v="3"/>
    <m/>
    <x v="1"/>
  </r>
  <r>
    <s v="Emp ID-872"/>
    <x v="13"/>
    <x v="2"/>
    <x v="0"/>
    <x v="0"/>
    <x v="6"/>
    <x v="2"/>
    <d v="2020-07-12T00:00:00"/>
    <n v="56565"/>
    <n v="56565"/>
    <n v="0"/>
    <x v="2"/>
    <x v="12"/>
    <m/>
    <x v="1"/>
  </r>
  <r>
    <s v="Emp ID-873"/>
    <x v="16"/>
    <x v="4"/>
    <x v="1"/>
    <x v="0"/>
    <x v="22"/>
    <x v="0"/>
    <d v="2011-05-20T00:00:00"/>
    <n v="64937"/>
    <n v="64937"/>
    <n v="0"/>
    <x v="0"/>
    <x v="3"/>
    <m/>
    <x v="1"/>
  </r>
  <r>
    <s v="Emp ID-874"/>
    <x v="6"/>
    <x v="6"/>
    <x v="1"/>
    <x v="0"/>
    <x v="13"/>
    <x v="4"/>
    <d v="2006-09-07T00:00:00"/>
    <n v="127626"/>
    <n v="140389"/>
    <n v="0.1"/>
    <x v="0"/>
    <x v="4"/>
    <m/>
    <x v="1"/>
  </r>
  <r>
    <s v="Emp ID-875"/>
    <x v="23"/>
    <x v="0"/>
    <x v="3"/>
    <x v="1"/>
    <x v="22"/>
    <x v="0"/>
    <d v="2004-01-27T00:00:00"/>
    <n v="88478"/>
    <n v="88478"/>
    <n v="0"/>
    <x v="0"/>
    <x v="5"/>
    <m/>
    <x v="1"/>
  </r>
  <r>
    <s v="Emp ID-876"/>
    <x v="3"/>
    <x v="0"/>
    <x v="2"/>
    <x v="0"/>
    <x v="35"/>
    <x v="1"/>
    <d v="2014-04-20T00:00:00"/>
    <n v="91679"/>
    <n v="98097"/>
    <n v="7.0000000000000007E-2"/>
    <x v="1"/>
    <x v="1"/>
    <m/>
    <x v="1"/>
  </r>
  <r>
    <s v="Emp ID-877"/>
    <x v="2"/>
    <x v="1"/>
    <x v="3"/>
    <x v="1"/>
    <x v="32"/>
    <x v="0"/>
    <d v="1992-03-19T00:00:00"/>
    <n v="199848"/>
    <n v="231824"/>
    <n v="0.16"/>
    <x v="1"/>
    <x v="1"/>
    <m/>
    <x v="1"/>
  </r>
  <r>
    <s v="Emp ID-878"/>
    <x v="24"/>
    <x v="0"/>
    <x v="1"/>
    <x v="1"/>
    <x v="8"/>
    <x v="2"/>
    <d v="2018-11-10T00:00:00"/>
    <n v="61944"/>
    <n v="61944"/>
    <n v="0"/>
    <x v="1"/>
    <x v="6"/>
    <m/>
    <x v="1"/>
  </r>
  <r>
    <s v="Emp ID-879"/>
    <x v="0"/>
    <x v="1"/>
    <x v="2"/>
    <x v="0"/>
    <x v="23"/>
    <x v="2"/>
    <d v="2017-08-13T00:00:00"/>
    <n v="154624"/>
    <n v="177818"/>
    <n v="0.15"/>
    <x v="0"/>
    <x v="5"/>
    <m/>
    <x v="1"/>
  </r>
  <r>
    <s v="Emp ID-880"/>
    <x v="4"/>
    <x v="3"/>
    <x v="0"/>
    <x v="1"/>
    <x v="2"/>
    <x v="1"/>
    <d v="2009-10-23T00:00:00"/>
    <n v="79447"/>
    <n v="79447"/>
    <n v="0"/>
    <x v="1"/>
    <x v="6"/>
    <m/>
    <x v="1"/>
  </r>
  <r>
    <s v="Emp ID-881"/>
    <x v="4"/>
    <x v="1"/>
    <x v="1"/>
    <x v="1"/>
    <x v="10"/>
    <x v="1"/>
    <d v="1998-02-26T00:00:00"/>
    <n v="71111"/>
    <n v="71111"/>
    <n v="0"/>
    <x v="2"/>
    <x v="9"/>
    <m/>
    <x v="1"/>
  </r>
  <r>
    <s v="Emp ID-882"/>
    <x v="0"/>
    <x v="1"/>
    <x v="0"/>
    <x v="1"/>
    <x v="26"/>
    <x v="1"/>
    <d v="2014-10-19T00:00:00"/>
    <n v="159538"/>
    <n v="177087"/>
    <n v="0.11"/>
    <x v="0"/>
    <x v="4"/>
    <m/>
    <x v="1"/>
  </r>
  <r>
    <s v="Emp ID-883"/>
    <x v="8"/>
    <x v="5"/>
    <x v="3"/>
    <x v="0"/>
    <x v="40"/>
    <x v="1"/>
    <d v="2018-10-02T00:00:00"/>
    <n v="111404"/>
    <n v="111404"/>
    <n v="0"/>
    <x v="2"/>
    <x v="9"/>
    <m/>
    <x v="1"/>
  </r>
  <r>
    <s v="Emp ID-884"/>
    <x v="2"/>
    <x v="6"/>
    <x v="2"/>
    <x v="1"/>
    <x v="6"/>
    <x v="2"/>
    <d v="2020-08-15T00:00:00"/>
    <n v="172007"/>
    <n v="216729"/>
    <n v="0.26"/>
    <x v="0"/>
    <x v="4"/>
    <m/>
    <x v="1"/>
  </r>
  <r>
    <s v="Emp ID-885"/>
    <x v="9"/>
    <x v="6"/>
    <x v="1"/>
    <x v="0"/>
    <x v="17"/>
    <x v="3"/>
    <d v="2011-07-21T00:00:00"/>
    <n v="219474"/>
    <n v="298485"/>
    <n v="0.36"/>
    <x v="2"/>
    <x v="8"/>
    <m/>
    <x v="1"/>
  </r>
  <r>
    <s v="Emp ID-886"/>
    <x v="2"/>
    <x v="2"/>
    <x v="3"/>
    <x v="1"/>
    <x v="12"/>
    <x v="3"/>
    <d v="2019-05-15T00:00:00"/>
    <n v="174415"/>
    <n v="214530"/>
    <n v="0.23"/>
    <x v="0"/>
    <x v="4"/>
    <m/>
    <x v="1"/>
  </r>
  <r>
    <s v="Emp ID-887"/>
    <x v="23"/>
    <x v="0"/>
    <x v="2"/>
    <x v="0"/>
    <x v="9"/>
    <x v="3"/>
    <d v="2021-01-21T00:00:00"/>
    <n v="90333"/>
    <n v="90333"/>
    <n v="0"/>
    <x v="2"/>
    <x v="9"/>
    <m/>
    <x v="1"/>
  </r>
  <r>
    <s v="Emp ID-888"/>
    <x v="16"/>
    <x v="4"/>
    <x v="2"/>
    <x v="1"/>
    <x v="6"/>
    <x v="2"/>
    <d v="2021-01-21T00:00:00"/>
    <n v="67299"/>
    <n v="67299"/>
    <n v="0"/>
    <x v="0"/>
    <x v="3"/>
    <m/>
    <x v="1"/>
  </r>
  <r>
    <s v="Emp ID-889"/>
    <x v="28"/>
    <x v="0"/>
    <x v="0"/>
    <x v="0"/>
    <x v="27"/>
    <x v="1"/>
    <d v="2005-02-23T00:00:00"/>
    <n v="45286"/>
    <n v="45286"/>
    <n v="0"/>
    <x v="0"/>
    <x v="2"/>
    <m/>
    <x v="1"/>
  </r>
  <r>
    <s v="Emp ID-890"/>
    <x v="2"/>
    <x v="6"/>
    <x v="0"/>
    <x v="1"/>
    <x v="35"/>
    <x v="1"/>
    <d v="2007-08-08T00:00:00"/>
    <n v="194723"/>
    <n v="243404"/>
    <n v="0.25"/>
    <x v="0"/>
    <x v="3"/>
    <m/>
    <x v="1"/>
  </r>
  <r>
    <s v="Emp ID-891"/>
    <x v="6"/>
    <x v="1"/>
    <x v="0"/>
    <x v="1"/>
    <x v="37"/>
    <x v="1"/>
    <d v="2012-08-10T00:00:00"/>
    <n v="109850"/>
    <n v="117540"/>
    <n v="7.0000000000000007E-2"/>
    <x v="1"/>
    <x v="10"/>
    <d v="2020-02-04T00:00:00"/>
    <x v="0"/>
  </r>
  <r>
    <s v="Emp ID-892"/>
    <x v="20"/>
    <x v="4"/>
    <x v="0"/>
    <x v="0"/>
    <x v="39"/>
    <x v="0"/>
    <d v="2014-04-19T00:00:00"/>
    <n v="45295"/>
    <n v="45295"/>
    <n v="0"/>
    <x v="2"/>
    <x v="12"/>
    <m/>
    <x v="1"/>
  </r>
  <r>
    <s v="Emp ID-893"/>
    <x v="32"/>
    <x v="0"/>
    <x v="1"/>
    <x v="0"/>
    <x v="9"/>
    <x v="3"/>
    <d v="2010-08-23T00:00:00"/>
    <n v="61310"/>
    <n v="61310"/>
    <n v="0"/>
    <x v="0"/>
    <x v="3"/>
    <m/>
    <x v="1"/>
  </r>
  <r>
    <s v="Emp ID-894"/>
    <x v="27"/>
    <x v="0"/>
    <x v="0"/>
    <x v="1"/>
    <x v="0"/>
    <x v="0"/>
    <d v="2016-11-09T00:00:00"/>
    <n v="87851"/>
    <n v="87851"/>
    <n v="0"/>
    <x v="1"/>
    <x v="1"/>
    <m/>
    <x v="1"/>
  </r>
  <r>
    <s v="Emp ID-895"/>
    <x v="20"/>
    <x v="4"/>
    <x v="2"/>
    <x v="0"/>
    <x v="11"/>
    <x v="2"/>
    <d v="2018-03-12T00:00:00"/>
    <n v="47913"/>
    <n v="47913"/>
    <n v="0"/>
    <x v="0"/>
    <x v="0"/>
    <m/>
    <x v="1"/>
  </r>
  <r>
    <s v="Emp ID-896"/>
    <x v="20"/>
    <x v="4"/>
    <x v="2"/>
    <x v="0"/>
    <x v="26"/>
    <x v="1"/>
    <d v="2017-09-07T00:00:00"/>
    <n v="46727"/>
    <n v="46727"/>
    <n v="0"/>
    <x v="0"/>
    <x v="7"/>
    <d v="2018-05-31T00:00:00"/>
    <x v="0"/>
  </r>
  <r>
    <s v="Emp ID-897"/>
    <x v="0"/>
    <x v="4"/>
    <x v="2"/>
    <x v="1"/>
    <x v="5"/>
    <x v="2"/>
    <d v="2021-04-16T00:00:00"/>
    <n v="133400"/>
    <n v="148074"/>
    <n v="0.11"/>
    <x v="0"/>
    <x v="3"/>
    <m/>
    <x v="1"/>
  </r>
  <r>
    <s v="Emp ID-898"/>
    <x v="29"/>
    <x v="0"/>
    <x v="2"/>
    <x v="0"/>
    <x v="38"/>
    <x v="3"/>
    <d v="2020-04-22T00:00:00"/>
    <n v="90535"/>
    <n v="90535"/>
    <n v="0"/>
    <x v="0"/>
    <x v="4"/>
    <m/>
    <x v="1"/>
  </r>
  <r>
    <s v="Emp ID-899"/>
    <x v="4"/>
    <x v="6"/>
    <x v="2"/>
    <x v="1"/>
    <x v="0"/>
    <x v="0"/>
    <d v="2006-07-11T00:00:00"/>
    <n v="93343"/>
    <n v="93343"/>
    <n v="0"/>
    <x v="1"/>
    <x v="1"/>
    <m/>
    <x v="1"/>
  </r>
  <r>
    <s v="Emp ID-900"/>
    <x v="16"/>
    <x v="4"/>
    <x v="3"/>
    <x v="0"/>
    <x v="18"/>
    <x v="3"/>
    <d v="2006-02-23T00:00:00"/>
    <n v="63705"/>
    <n v="63705"/>
    <n v="0"/>
    <x v="0"/>
    <x v="4"/>
    <m/>
    <x v="1"/>
  </r>
  <r>
    <s v="Emp ID-901"/>
    <x v="9"/>
    <x v="1"/>
    <x v="3"/>
    <x v="1"/>
    <x v="35"/>
    <x v="1"/>
    <d v="2000-02-28T00:00:00"/>
    <n v="258081"/>
    <n v="335505"/>
    <n v="0.3"/>
    <x v="0"/>
    <x v="2"/>
    <m/>
    <x v="1"/>
  </r>
  <r>
    <s v="Emp ID-902"/>
    <x v="20"/>
    <x v="4"/>
    <x v="0"/>
    <x v="1"/>
    <x v="35"/>
    <x v="1"/>
    <d v="2020-09-21T00:00:00"/>
    <n v="54654"/>
    <n v="54654"/>
    <n v="0"/>
    <x v="0"/>
    <x v="3"/>
    <m/>
    <x v="1"/>
  </r>
  <r>
    <s v="Emp ID-903"/>
    <x v="7"/>
    <x v="1"/>
    <x v="1"/>
    <x v="1"/>
    <x v="36"/>
    <x v="1"/>
    <d v="1998-09-24T00:00:00"/>
    <n v="58006"/>
    <n v="58006"/>
    <n v="0"/>
    <x v="0"/>
    <x v="0"/>
    <m/>
    <x v="1"/>
  </r>
  <r>
    <s v="Emp ID-904"/>
    <x v="0"/>
    <x v="2"/>
    <x v="1"/>
    <x v="0"/>
    <x v="34"/>
    <x v="3"/>
    <d v="2011-03-18T00:00:00"/>
    <n v="150034"/>
    <n v="168038"/>
    <n v="0.12"/>
    <x v="1"/>
    <x v="10"/>
    <m/>
    <x v="1"/>
  </r>
  <r>
    <s v="Emp ID-905"/>
    <x v="2"/>
    <x v="4"/>
    <x v="2"/>
    <x v="0"/>
    <x v="31"/>
    <x v="3"/>
    <d v="2007-05-30T00:00:00"/>
    <n v="198562"/>
    <n v="242246"/>
    <n v="0.22"/>
    <x v="0"/>
    <x v="0"/>
    <m/>
    <x v="1"/>
  </r>
  <r>
    <s v="Emp ID-906"/>
    <x v="5"/>
    <x v="1"/>
    <x v="0"/>
    <x v="0"/>
    <x v="28"/>
    <x v="3"/>
    <d v="2009-05-27T00:00:00"/>
    <n v="62411"/>
    <n v="62411"/>
    <n v="0"/>
    <x v="0"/>
    <x v="4"/>
    <d v="2021-08-14T00:00:00"/>
    <x v="0"/>
  </r>
  <r>
    <s v="Emp ID-907"/>
    <x v="11"/>
    <x v="5"/>
    <x v="0"/>
    <x v="1"/>
    <x v="4"/>
    <x v="0"/>
    <d v="1992-01-09T00:00:00"/>
    <n v="111299"/>
    <n v="124655"/>
    <n v="0.12"/>
    <x v="0"/>
    <x v="4"/>
    <m/>
    <x v="1"/>
  </r>
  <r>
    <s v="Emp ID-908"/>
    <x v="7"/>
    <x v="6"/>
    <x v="0"/>
    <x v="0"/>
    <x v="19"/>
    <x v="3"/>
    <d v="2019-07-13T00:00:00"/>
    <n v="41545"/>
    <n v="41545"/>
    <n v="0"/>
    <x v="0"/>
    <x v="4"/>
    <m/>
    <x v="1"/>
  </r>
  <r>
    <s v="Emp ID-909"/>
    <x v="24"/>
    <x v="0"/>
    <x v="1"/>
    <x v="1"/>
    <x v="3"/>
    <x v="2"/>
    <d v="2019-04-14T00:00:00"/>
    <n v="74467"/>
    <n v="74467"/>
    <n v="0"/>
    <x v="0"/>
    <x v="7"/>
    <d v="2021-01-15T00:00:00"/>
    <x v="0"/>
  </r>
  <r>
    <s v="Emp ID-910"/>
    <x v="6"/>
    <x v="3"/>
    <x v="0"/>
    <x v="1"/>
    <x v="18"/>
    <x v="3"/>
    <d v="2002-02-09T00:00:00"/>
    <n v="117545"/>
    <n v="124598"/>
    <n v="0.06"/>
    <x v="0"/>
    <x v="3"/>
    <m/>
    <x v="1"/>
  </r>
  <r>
    <s v="Emp ID-911"/>
    <x v="6"/>
    <x v="4"/>
    <x v="2"/>
    <x v="1"/>
    <x v="2"/>
    <x v="1"/>
    <d v="2012-03-15T00:00:00"/>
    <n v="117226"/>
    <n v="126604"/>
    <n v="0.08"/>
    <x v="0"/>
    <x v="3"/>
    <m/>
    <x v="1"/>
  </r>
  <r>
    <s v="Emp ID-912"/>
    <x v="7"/>
    <x v="3"/>
    <x v="3"/>
    <x v="0"/>
    <x v="3"/>
    <x v="2"/>
    <d v="2019-01-24T00:00:00"/>
    <n v="55767"/>
    <n v="55767"/>
    <n v="0"/>
    <x v="0"/>
    <x v="3"/>
    <m/>
    <x v="1"/>
  </r>
  <r>
    <s v="Emp ID-913"/>
    <x v="13"/>
    <x v="1"/>
    <x v="1"/>
    <x v="0"/>
    <x v="7"/>
    <x v="2"/>
    <d v="2016-11-17T00:00:00"/>
    <n v="60930"/>
    <n v="60930"/>
    <n v="0"/>
    <x v="0"/>
    <x v="5"/>
    <m/>
    <x v="1"/>
  </r>
  <r>
    <s v="Emp ID-914"/>
    <x v="2"/>
    <x v="1"/>
    <x v="2"/>
    <x v="0"/>
    <x v="5"/>
    <x v="2"/>
    <d v="2018-10-24T00:00:00"/>
    <n v="154973"/>
    <n v="199915"/>
    <n v="0.28999999999999998"/>
    <x v="2"/>
    <x v="12"/>
    <m/>
    <x v="1"/>
  </r>
  <r>
    <s v="Emp ID-915"/>
    <x v="21"/>
    <x v="0"/>
    <x v="1"/>
    <x v="0"/>
    <x v="29"/>
    <x v="2"/>
    <d v="2017-10-21T00:00:00"/>
    <n v="69332"/>
    <n v="69332"/>
    <n v="0"/>
    <x v="0"/>
    <x v="7"/>
    <m/>
    <x v="1"/>
  </r>
  <r>
    <s v="Emp ID-916"/>
    <x v="8"/>
    <x v="5"/>
    <x v="0"/>
    <x v="0"/>
    <x v="1"/>
    <x v="0"/>
    <d v="2001-04-09T00:00:00"/>
    <n v="119699"/>
    <n v="119699"/>
    <n v="0"/>
    <x v="1"/>
    <x v="6"/>
    <m/>
    <x v="1"/>
  </r>
  <r>
    <s v="Emp ID-917"/>
    <x v="2"/>
    <x v="4"/>
    <x v="2"/>
    <x v="0"/>
    <x v="28"/>
    <x v="3"/>
    <d v="2020-09-20T00:00:00"/>
    <n v="198176"/>
    <n v="231866"/>
    <n v="0.17"/>
    <x v="2"/>
    <x v="8"/>
    <m/>
    <x v="1"/>
  </r>
  <r>
    <s v="Emp ID-918"/>
    <x v="13"/>
    <x v="2"/>
    <x v="0"/>
    <x v="0"/>
    <x v="15"/>
    <x v="1"/>
    <d v="2012-08-06T00:00:00"/>
    <n v="58586"/>
    <n v="58586"/>
    <n v="0"/>
    <x v="2"/>
    <x v="12"/>
    <m/>
    <x v="1"/>
  </r>
  <r>
    <s v="Emp ID-919"/>
    <x v="26"/>
    <x v="1"/>
    <x v="3"/>
    <x v="1"/>
    <x v="31"/>
    <x v="3"/>
    <d v="2011-11-28T00:00:00"/>
    <n v="74010"/>
    <n v="74010"/>
    <n v="0"/>
    <x v="0"/>
    <x v="2"/>
    <m/>
    <x v="1"/>
  </r>
  <r>
    <s v="Emp ID-920"/>
    <x v="26"/>
    <x v="1"/>
    <x v="2"/>
    <x v="1"/>
    <x v="24"/>
    <x v="2"/>
    <d v="2020-02-03T00:00:00"/>
    <n v="96598"/>
    <n v="96598"/>
    <n v="0"/>
    <x v="0"/>
    <x v="3"/>
    <m/>
    <x v="1"/>
  </r>
  <r>
    <s v="Emp ID-921"/>
    <x v="6"/>
    <x v="1"/>
    <x v="2"/>
    <x v="0"/>
    <x v="14"/>
    <x v="0"/>
    <d v="2003-05-21T00:00:00"/>
    <n v="106444"/>
    <n v="111766"/>
    <n v="0.05"/>
    <x v="0"/>
    <x v="3"/>
    <m/>
    <x v="1"/>
  </r>
  <r>
    <s v="Emp ID-922"/>
    <x v="2"/>
    <x v="2"/>
    <x v="3"/>
    <x v="1"/>
    <x v="11"/>
    <x v="2"/>
    <d v="2017-08-10T00:00:00"/>
    <n v="156931"/>
    <n v="200872"/>
    <n v="0.28000000000000003"/>
    <x v="0"/>
    <x v="0"/>
    <m/>
    <x v="1"/>
  </r>
  <r>
    <s v="Emp ID-923"/>
    <x v="2"/>
    <x v="6"/>
    <x v="0"/>
    <x v="0"/>
    <x v="19"/>
    <x v="3"/>
    <d v="2014-10-16T00:00:00"/>
    <n v="171360"/>
    <n v="210773"/>
    <n v="0.23"/>
    <x v="2"/>
    <x v="8"/>
    <m/>
    <x v="1"/>
  </r>
  <r>
    <s v="Emp ID-924"/>
    <x v="14"/>
    <x v="0"/>
    <x v="0"/>
    <x v="0"/>
    <x v="15"/>
    <x v="1"/>
    <d v="2009-04-05T00:00:00"/>
    <n v="64505"/>
    <n v="64505"/>
    <n v="0"/>
    <x v="0"/>
    <x v="4"/>
    <m/>
    <x v="1"/>
  </r>
  <r>
    <s v="Emp ID-925"/>
    <x v="11"/>
    <x v="5"/>
    <x v="2"/>
    <x v="1"/>
    <x v="24"/>
    <x v="2"/>
    <d v="2021-10-09T00:00:00"/>
    <n v="102298"/>
    <n v="115597"/>
    <n v="0.13"/>
    <x v="2"/>
    <x v="9"/>
    <m/>
    <x v="1"/>
  </r>
  <r>
    <s v="Emp ID-926"/>
    <x v="0"/>
    <x v="1"/>
    <x v="3"/>
    <x v="0"/>
    <x v="5"/>
    <x v="2"/>
    <d v="2019-09-13T00:00:00"/>
    <n v="133297"/>
    <n v="150626"/>
    <n v="0.13"/>
    <x v="2"/>
    <x v="9"/>
    <m/>
    <x v="1"/>
  </r>
  <r>
    <s v="Emp ID-927"/>
    <x v="0"/>
    <x v="4"/>
    <x v="2"/>
    <x v="0"/>
    <x v="6"/>
    <x v="2"/>
    <d v="2021-03-17T00:00:00"/>
    <n v="155080"/>
    <n v="170588"/>
    <n v="0.1"/>
    <x v="0"/>
    <x v="5"/>
    <m/>
    <x v="1"/>
  </r>
  <r>
    <s v="Emp ID-928"/>
    <x v="4"/>
    <x v="1"/>
    <x v="2"/>
    <x v="1"/>
    <x v="11"/>
    <x v="2"/>
    <d v="2018-08-13T00:00:00"/>
    <n v="81828"/>
    <n v="81828"/>
    <n v="0"/>
    <x v="0"/>
    <x v="4"/>
    <m/>
    <x v="1"/>
  </r>
  <r>
    <s v="Emp ID-929"/>
    <x v="0"/>
    <x v="6"/>
    <x v="3"/>
    <x v="0"/>
    <x v="13"/>
    <x v="4"/>
    <d v="2000-10-24T00:00:00"/>
    <n v="149417"/>
    <n v="168841"/>
    <n v="0.13"/>
    <x v="1"/>
    <x v="11"/>
    <m/>
    <x v="1"/>
  </r>
  <r>
    <s v="Emp ID-930"/>
    <x v="6"/>
    <x v="1"/>
    <x v="3"/>
    <x v="1"/>
    <x v="2"/>
    <x v="1"/>
    <d v="2012-04-25T00:00:00"/>
    <n v="113269"/>
    <n v="123463"/>
    <n v="0.09"/>
    <x v="2"/>
    <x v="12"/>
    <m/>
    <x v="1"/>
  </r>
  <r>
    <s v="Emp ID-931"/>
    <x v="0"/>
    <x v="0"/>
    <x v="1"/>
    <x v="1"/>
    <x v="30"/>
    <x v="1"/>
    <d v="2017-12-16T00:00:00"/>
    <n v="136716"/>
    <n v="153122"/>
    <n v="0.12"/>
    <x v="0"/>
    <x v="5"/>
    <m/>
    <x v="1"/>
  </r>
  <r>
    <s v="Emp ID-932"/>
    <x v="0"/>
    <x v="1"/>
    <x v="2"/>
    <x v="1"/>
    <x v="36"/>
    <x v="1"/>
    <d v="2011-10-20T00:00:00"/>
    <n v="122644"/>
    <n v="137361"/>
    <n v="0.12"/>
    <x v="0"/>
    <x v="5"/>
    <m/>
    <x v="1"/>
  </r>
  <r>
    <s v="Emp ID-933"/>
    <x v="6"/>
    <x v="1"/>
    <x v="0"/>
    <x v="0"/>
    <x v="2"/>
    <x v="1"/>
    <d v="2000-05-07T00:00:00"/>
    <n v="106428"/>
    <n v="113878"/>
    <n v="7.0000000000000007E-2"/>
    <x v="0"/>
    <x v="2"/>
    <m/>
    <x v="1"/>
  </r>
  <r>
    <s v="Emp ID-934"/>
    <x v="9"/>
    <x v="2"/>
    <x v="3"/>
    <x v="1"/>
    <x v="9"/>
    <x v="3"/>
    <d v="2009-01-17T00:00:00"/>
    <n v="238236"/>
    <n v="312089"/>
    <n v="0.31"/>
    <x v="0"/>
    <x v="0"/>
    <m/>
    <x v="1"/>
  </r>
  <r>
    <s v="Emp ID-935"/>
    <x v="2"/>
    <x v="2"/>
    <x v="3"/>
    <x v="0"/>
    <x v="14"/>
    <x v="0"/>
    <d v="2012-12-21T00:00:00"/>
    <n v="153253"/>
    <n v="190034"/>
    <n v="0.24"/>
    <x v="0"/>
    <x v="5"/>
    <m/>
    <x v="1"/>
  </r>
  <r>
    <s v="Emp ID-936"/>
    <x v="6"/>
    <x v="3"/>
    <x v="1"/>
    <x v="0"/>
    <x v="8"/>
    <x v="2"/>
    <d v="2014-10-03T00:00:00"/>
    <n v="103707"/>
    <n v="113041"/>
    <n v="0.09"/>
    <x v="0"/>
    <x v="7"/>
    <m/>
    <x v="1"/>
  </r>
  <r>
    <s v="Emp ID-937"/>
    <x v="9"/>
    <x v="3"/>
    <x v="2"/>
    <x v="0"/>
    <x v="12"/>
    <x v="3"/>
    <d v="2012-08-09T00:00:00"/>
    <n v="245360"/>
    <n v="336143"/>
    <n v="0.37"/>
    <x v="0"/>
    <x v="5"/>
    <m/>
    <x v="1"/>
  </r>
  <r>
    <s v="Emp ID-938"/>
    <x v="25"/>
    <x v="5"/>
    <x v="2"/>
    <x v="1"/>
    <x v="6"/>
    <x v="2"/>
    <d v="2021-07-08T00:00:00"/>
    <n v="67275"/>
    <n v="67275"/>
    <n v="0"/>
    <x v="0"/>
    <x v="7"/>
    <m/>
    <x v="1"/>
  </r>
  <r>
    <s v="Emp ID-939"/>
    <x v="6"/>
    <x v="0"/>
    <x v="1"/>
    <x v="1"/>
    <x v="15"/>
    <x v="1"/>
    <d v="2015-01-22T00:00:00"/>
    <n v="101288"/>
    <n v="111417"/>
    <n v="0.1"/>
    <x v="0"/>
    <x v="3"/>
    <m/>
    <x v="1"/>
  </r>
  <r>
    <s v="Emp ID-940"/>
    <x v="2"/>
    <x v="4"/>
    <x v="2"/>
    <x v="0"/>
    <x v="27"/>
    <x v="1"/>
    <d v="1993-08-28T00:00:00"/>
    <n v="177443"/>
    <n v="221804"/>
    <n v="0.25"/>
    <x v="2"/>
    <x v="12"/>
    <m/>
    <x v="1"/>
  </r>
  <r>
    <s v="Emp ID-941"/>
    <x v="21"/>
    <x v="0"/>
    <x v="1"/>
    <x v="0"/>
    <x v="17"/>
    <x v="3"/>
    <d v="2016-04-27T00:00:00"/>
    <n v="91400"/>
    <n v="91400"/>
    <n v="0"/>
    <x v="0"/>
    <x v="2"/>
    <m/>
    <x v="1"/>
  </r>
  <r>
    <s v="Emp ID-942"/>
    <x v="9"/>
    <x v="4"/>
    <x v="3"/>
    <x v="1"/>
    <x v="18"/>
    <x v="3"/>
    <d v="2007-09-10T00:00:00"/>
    <n v="181247"/>
    <n v="241059"/>
    <n v="0.33"/>
    <x v="2"/>
    <x v="12"/>
    <m/>
    <x v="1"/>
  </r>
  <r>
    <s v="Emp ID-943"/>
    <x v="0"/>
    <x v="4"/>
    <x v="0"/>
    <x v="1"/>
    <x v="34"/>
    <x v="3"/>
    <d v="2003-10-20T00:00:00"/>
    <n v="135558"/>
    <n v="154536"/>
    <n v="0.14000000000000001"/>
    <x v="0"/>
    <x v="3"/>
    <m/>
    <x v="1"/>
  </r>
  <r>
    <s v="Emp ID-944"/>
    <x v="7"/>
    <x v="3"/>
    <x v="2"/>
    <x v="1"/>
    <x v="37"/>
    <x v="1"/>
    <d v="2011-12-17T00:00:00"/>
    <n v="56878"/>
    <n v="56878"/>
    <n v="0"/>
    <x v="0"/>
    <x v="0"/>
    <m/>
    <x v="1"/>
  </r>
  <r>
    <s v="Emp ID-945"/>
    <x v="30"/>
    <x v="0"/>
    <x v="2"/>
    <x v="1"/>
    <x v="8"/>
    <x v="2"/>
    <d v="2019-09-20T00:00:00"/>
    <n v="94735"/>
    <n v="94735"/>
    <n v="0"/>
    <x v="1"/>
    <x v="10"/>
    <m/>
    <x v="1"/>
  </r>
  <r>
    <s v="Emp ID-946"/>
    <x v="13"/>
    <x v="1"/>
    <x v="1"/>
    <x v="1"/>
    <x v="38"/>
    <x v="3"/>
    <d v="2007-05-27T00:00:00"/>
    <n v="51234"/>
    <n v="51234"/>
    <n v="0"/>
    <x v="0"/>
    <x v="0"/>
    <m/>
    <x v="1"/>
  </r>
  <r>
    <s v="Emp ID-947"/>
    <x v="9"/>
    <x v="4"/>
    <x v="2"/>
    <x v="1"/>
    <x v="11"/>
    <x v="2"/>
    <d v="2015-01-14T00:00:00"/>
    <n v="230025"/>
    <n v="308234"/>
    <n v="0.34"/>
    <x v="0"/>
    <x v="3"/>
    <m/>
    <x v="1"/>
  </r>
  <r>
    <s v="Emp ID-948"/>
    <x v="0"/>
    <x v="4"/>
    <x v="2"/>
    <x v="0"/>
    <x v="9"/>
    <x v="3"/>
    <d v="2010-03-11T00:00:00"/>
    <n v="134006"/>
    <n v="151427"/>
    <n v="0.13"/>
    <x v="1"/>
    <x v="10"/>
    <m/>
    <x v="1"/>
  </r>
  <r>
    <s v="Emp ID-949"/>
    <x v="6"/>
    <x v="2"/>
    <x v="3"/>
    <x v="0"/>
    <x v="22"/>
    <x v="0"/>
    <d v="2009-10-06T00:00:00"/>
    <n v="103096"/>
    <n v="110313"/>
    <n v="7.0000000000000007E-2"/>
    <x v="1"/>
    <x v="10"/>
    <m/>
    <x v="1"/>
  </r>
  <r>
    <s v="Emp ID-950"/>
    <x v="7"/>
    <x v="3"/>
    <x v="1"/>
    <x v="1"/>
    <x v="7"/>
    <x v="2"/>
    <d v="2016-08-20T00:00:00"/>
    <n v="58703"/>
    <n v="58703"/>
    <n v="0"/>
    <x v="0"/>
    <x v="7"/>
    <m/>
    <x v="1"/>
  </r>
  <r>
    <s v="Emp ID-951"/>
    <x v="0"/>
    <x v="0"/>
    <x v="2"/>
    <x v="1"/>
    <x v="29"/>
    <x v="2"/>
    <d v="2012-12-24T00:00:00"/>
    <n v="132544"/>
    <n v="145798"/>
    <n v="0.1"/>
    <x v="2"/>
    <x v="9"/>
    <m/>
    <x v="1"/>
  </r>
  <r>
    <s v="Emp ID-952"/>
    <x v="6"/>
    <x v="2"/>
    <x v="1"/>
    <x v="1"/>
    <x v="24"/>
    <x v="2"/>
    <d v="2020-04-15T00:00:00"/>
    <n v="126671"/>
    <n v="138071"/>
    <n v="0.09"/>
    <x v="0"/>
    <x v="4"/>
    <m/>
    <x v="1"/>
  </r>
  <r>
    <s v="Emp ID-953"/>
    <x v="5"/>
    <x v="1"/>
    <x v="0"/>
    <x v="0"/>
    <x v="29"/>
    <x v="2"/>
    <d v="2021-01-22T00:00:00"/>
    <n v="56405"/>
    <n v="56405"/>
    <n v="0"/>
    <x v="0"/>
    <x v="2"/>
    <m/>
    <x v="1"/>
  </r>
  <r>
    <s v="Emp ID-954"/>
    <x v="3"/>
    <x v="0"/>
    <x v="2"/>
    <x v="0"/>
    <x v="9"/>
    <x v="3"/>
    <d v="2014-11-29T00:00:00"/>
    <n v="88730"/>
    <n v="95828"/>
    <n v="0.08"/>
    <x v="1"/>
    <x v="1"/>
    <m/>
    <x v="1"/>
  </r>
  <r>
    <s v="Emp ID-955"/>
    <x v="13"/>
    <x v="2"/>
    <x v="1"/>
    <x v="1"/>
    <x v="38"/>
    <x v="3"/>
    <d v="2008-09-17T00:00:00"/>
    <n v="62861"/>
    <n v="62861"/>
    <n v="0"/>
    <x v="0"/>
    <x v="0"/>
    <m/>
    <x v="1"/>
  </r>
  <r>
    <s v="Emp ID-956"/>
    <x v="2"/>
    <x v="4"/>
    <x v="3"/>
    <x v="0"/>
    <x v="26"/>
    <x v="1"/>
    <d v="2006-07-21T00:00:00"/>
    <n v="151246"/>
    <n v="183008"/>
    <n v="0.21"/>
    <x v="2"/>
    <x v="12"/>
    <m/>
    <x v="1"/>
  </r>
  <r>
    <s v="Emp ID-957"/>
    <x v="0"/>
    <x v="0"/>
    <x v="1"/>
    <x v="0"/>
    <x v="26"/>
    <x v="1"/>
    <d v="1997-04-12T00:00:00"/>
    <n v="154388"/>
    <n v="169827"/>
    <n v="0.1"/>
    <x v="0"/>
    <x v="0"/>
    <m/>
    <x v="1"/>
  </r>
  <r>
    <s v="Emp ID-958"/>
    <x v="2"/>
    <x v="4"/>
    <x v="1"/>
    <x v="0"/>
    <x v="36"/>
    <x v="1"/>
    <d v="1994-09-26T00:00:00"/>
    <n v="162978"/>
    <n v="190684"/>
    <n v="0.17"/>
    <x v="0"/>
    <x v="4"/>
    <d v="2004-05-24T00:00:00"/>
    <x v="0"/>
  </r>
  <r>
    <s v="Emp ID-959"/>
    <x v="29"/>
    <x v="0"/>
    <x v="2"/>
    <x v="1"/>
    <x v="0"/>
    <x v="0"/>
    <d v="1993-11-17T00:00:00"/>
    <n v="80170"/>
    <n v="80170"/>
    <n v="0"/>
    <x v="0"/>
    <x v="4"/>
    <m/>
    <x v="1"/>
  </r>
  <r>
    <s v="Emp ID-960"/>
    <x v="4"/>
    <x v="3"/>
    <x v="1"/>
    <x v="0"/>
    <x v="18"/>
    <x v="3"/>
    <d v="2021-04-28T00:00:00"/>
    <n v="98520"/>
    <n v="98520"/>
    <n v="0"/>
    <x v="0"/>
    <x v="4"/>
    <m/>
    <x v="1"/>
  </r>
  <r>
    <s v="Emp ID-961"/>
    <x v="6"/>
    <x v="2"/>
    <x v="1"/>
    <x v="1"/>
    <x v="27"/>
    <x v="1"/>
    <d v="1999-12-29T00:00:00"/>
    <n v="116527"/>
    <n v="124684"/>
    <n v="7.0000000000000007E-2"/>
    <x v="0"/>
    <x v="3"/>
    <m/>
    <x v="1"/>
  </r>
  <r>
    <s v="Emp ID-962"/>
    <x v="2"/>
    <x v="1"/>
    <x v="0"/>
    <x v="1"/>
    <x v="5"/>
    <x v="2"/>
    <d v="2019-11-07T00:00:00"/>
    <n v="174607"/>
    <n v="225243"/>
    <n v="0.28999999999999998"/>
    <x v="0"/>
    <x v="7"/>
    <m/>
    <x v="1"/>
  </r>
  <r>
    <s v="Emp ID-963"/>
    <x v="13"/>
    <x v="3"/>
    <x v="0"/>
    <x v="1"/>
    <x v="32"/>
    <x v="0"/>
    <d v="2006-04-12T00:00:00"/>
    <n v="64202"/>
    <n v="64202"/>
    <n v="0"/>
    <x v="0"/>
    <x v="7"/>
    <m/>
    <x v="1"/>
  </r>
  <r>
    <s v="Emp ID-964"/>
    <x v="13"/>
    <x v="3"/>
    <x v="3"/>
    <x v="1"/>
    <x v="37"/>
    <x v="1"/>
    <d v="2019-07-25T00:00:00"/>
    <n v="50883"/>
    <n v="50883"/>
    <n v="0"/>
    <x v="1"/>
    <x v="1"/>
    <d v="2021-03-02T00:00:00"/>
    <x v="0"/>
  </r>
  <r>
    <s v="Emp ID-965"/>
    <x v="23"/>
    <x v="0"/>
    <x v="2"/>
    <x v="0"/>
    <x v="9"/>
    <x v="3"/>
    <d v="2016-11-03T00:00:00"/>
    <n v="94618"/>
    <n v="94618"/>
    <n v="0"/>
    <x v="0"/>
    <x v="7"/>
    <m/>
    <x v="1"/>
  </r>
  <r>
    <s v="Emp ID-966"/>
    <x v="2"/>
    <x v="6"/>
    <x v="0"/>
    <x v="1"/>
    <x v="3"/>
    <x v="2"/>
    <d v="2019-10-15T00:00:00"/>
    <n v="151556"/>
    <n v="181867"/>
    <n v="0.2"/>
    <x v="0"/>
    <x v="4"/>
    <m/>
    <x v="1"/>
  </r>
  <r>
    <s v="Emp ID-967"/>
    <x v="25"/>
    <x v="5"/>
    <x v="0"/>
    <x v="0"/>
    <x v="17"/>
    <x v="3"/>
    <d v="2020-03-08T00:00:00"/>
    <n v="80659"/>
    <n v="80659"/>
    <n v="0"/>
    <x v="0"/>
    <x v="3"/>
    <m/>
    <x v="1"/>
  </r>
  <r>
    <s v="Emp ID-968"/>
    <x v="2"/>
    <x v="4"/>
    <x v="2"/>
    <x v="1"/>
    <x v="40"/>
    <x v="1"/>
    <d v="2019-11-03T00:00:00"/>
    <n v="195385"/>
    <n v="236416"/>
    <n v="0.21"/>
    <x v="1"/>
    <x v="11"/>
    <m/>
    <x v="1"/>
  </r>
  <r>
    <s v="Emp ID-969"/>
    <x v="28"/>
    <x v="0"/>
    <x v="2"/>
    <x v="1"/>
    <x v="7"/>
    <x v="2"/>
    <d v="2016-05-19T00:00:00"/>
    <n v="52693"/>
    <n v="52693"/>
    <n v="0"/>
    <x v="2"/>
    <x v="9"/>
    <m/>
    <x v="1"/>
  </r>
  <r>
    <s v="Emp ID-970"/>
    <x v="32"/>
    <x v="0"/>
    <x v="0"/>
    <x v="0"/>
    <x v="32"/>
    <x v="0"/>
    <d v="2016-04-26T00:00:00"/>
    <n v="72045"/>
    <n v="72045"/>
    <n v="0"/>
    <x v="0"/>
    <x v="3"/>
    <m/>
    <x v="1"/>
  </r>
  <r>
    <s v="Emp ID-971"/>
    <x v="13"/>
    <x v="6"/>
    <x v="1"/>
    <x v="1"/>
    <x v="40"/>
    <x v="1"/>
    <d v="2005-11-28T00:00:00"/>
    <n v="62749"/>
    <n v="62749"/>
    <n v="0"/>
    <x v="2"/>
    <x v="8"/>
    <m/>
    <x v="1"/>
  </r>
  <r>
    <s v="Emp ID-972"/>
    <x v="0"/>
    <x v="6"/>
    <x v="2"/>
    <x v="1"/>
    <x v="27"/>
    <x v="1"/>
    <d v="2018-06-04T00:00:00"/>
    <n v="154884"/>
    <n v="170372"/>
    <n v="0.1"/>
    <x v="1"/>
    <x v="6"/>
    <m/>
    <x v="1"/>
  </r>
  <r>
    <s v="Emp ID-973"/>
    <x v="23"/>
    <x v="0"/>
    <x v="0"/>
    <x v="1"/>
    <x v="22"/>
    <x v="0"/>
    <d v="2016-03-08T00:00:00"/>
    <n v="96566"/>
    <n v="96566"/>
    <n v="0"/>
    <x v="0"/>
    <x v="7"/>
    <m/>
    <x v="1"/>
  </r>
  <r>
    <s v="Emp ID-974"/>
    <x v="28"/>
    <x v="0"/>
    <x v="0"/>
    <x v="1"/>
    <x v="15"/>
    <x v="1"/>
    <d v="2001-08-23T00:00:00"/>
    <n v="54994"/>
    <n v="54994"/>
    <n v="0"/>
    <x v="0"/>
    <x v="7"/>
    <m/>
    <x v="1"/>
  </r>
  <r>
    <s v="Emp ID-975"/>
    <x v="32"/>
    <x v="0"/>
    <x v="3"/>
    <x v="0"/>
    <x v="28"/>
    <x v="3"/>
    <d v="2012-02-05T00:00:00"/>
    <n v="61523"/>
    <n v="61523"/>
    <n v="0"/>
    <x v="0"/>
    <x v="7"/>
    <m/>
    <x v="1"/>
  </r>
  <r>
    <s v="Emp ID-976"/>
    <x v="9"/>
    <x v="4"/>
    <x v="3"/>
    <x v="1"/>
    <x v="15"/>
    <x v="1"/>
    <d v="2010-12-12T00:00:00"/>
    <n v="190512"/>
    <n v="251476"/>
    <n v="0.32"/>
    <x v="0"/>
    <x v="7"/>
    <m/>
    <x v="1"/>
  </r>
  <r>
    <s v="Emp ID-977"/>
    <x v="8"/>
    <x v="5"/>
    <x v="2"/>
    <x v="0"/>
    <x v="17"/>
    <x v="3"/>
    <d v="2013-02-13T00:00:00"/>
    <n v="124827"/>
    <n v="124827"/>
    <n v="0"/>
    <x v="1"/>
    <x v="10"/>
    <m/>
    <x v="1"/>
  </r>
  <r>
    <s v="Emp ID-978"/>
    <x v="6"/>
    <x v="3"/>
    <x v="1"/>
    <x v="1"/>
    <x v="4"/>
    <x v="0"/>
    <d v="2019-01-19T00:00:00"/>
    <n v="101577"/>
    <n v="106656"/>
    <n v="0.05"/>
    <x v="0"/>
    <x v="2"/>
    <m/>
    <x v="1"/>
  </r>
  <r>
    <s v="Emp ID-979"/>
    <x v="6"/>
    <x v="3"/>
    <x v="1"/>
    <x v="0"/>
    <x v="18"/>
    <x v="3"/>
    <d v="2005-10-17T00:00:00"/>
    <n v="105223"/>
    <n v="115745"/>
    <n v="0.1"/>
    <x v="0"/>
    <x v="3"/>
    <m/>
    <x v="1"/>
  </r>
  <r>
    <s v="Emp ID-980"/>
    <x v="30"/>
    <x v="0"/>
    <x v="3"/>
    <x v="1"/>
    <x v="35"/>
    <x v="1"/>
    <d v="2008-07-06T00:00:00"/>
    <n v="94815"/>
    <n v="94815"/>
    <n v="0"/>
    <x v="0"/>
    <x v="2"/>
    <m/>
    <x v="1"/>
  </r>
  <r>
    <s v="Emp ID-981"/>
    <x v="6"/>
    <x v="3"/>
    <x v="2"/>
    <x v="0"/>
    <x v="6"/>
    <x v="2"/>
    <d v="2021-12-15T00:00:00"/>
    <n v="114893"/>
    <n v="121787"/>
    <n v="0.06"/>
    <x v="1"/>
    <x v="11"/>
    <m/>
    <x v="1"/>
  </r>
  <r>
    <s v="Emp ID-982"/>
    <x v="4"/>
    <x v="6"/>
    <x v="2"/>
    <x v="0"/>
    <x v="25"/>
    <x v="3"/>
    <d v="2017-01-10T00:00:00"/>
    <n v="80622"/>
    <n v="80622"/>
    <n v="0"/>
    <x v="0"/>
    <x v="5"/>
    <m/>
    <x v="1"/>
  </r>
  <r>
    <s v="Emp ID-983"/>
    <x v="9"/>
    <x v="0"/>
    <x v="2"/>
    <x v="0"/>
    <x v="4"/>
    <x v="0"/>
    <d v="2016-11-11T00:00:00"/>
    <n v="246589"/>
    <n v="327963"/>
    <n v="0.33"/>
    <x v="0"/>
    <x v="3"/>
    <d v="2017-03-26T00:00:00"/>
    <x v="0"/>
  </r>
  <r>
    <s v="Emp ID-984"/>
    <x v="6"/>
    <x v="6"/>
    <x v="2"/>
    <x v="1"/>
    <x v="37"/>
    <x v="1"/>
    <d v="2018-05-20T00:00:00"/>
    <n v="119397"/>
    <n v="130143"/>
    <n v="0.09"/>
    <x v="1"/>
    <x v="10"/>
    <d v="2019-03-14T00:00:00"/>
    <x v="0"/>
  </r>
  <r>
    <s v="Emp ID-985"/>
    <x v="2"/>
    <x v="1"/>
    <x v="3"/>
    <x v="0"/>
    <x v="6"/>
    <x v="2"/>
    <d v="2021-12-19T00:00:00"/>
    <n v="150666"/>
    <n v="185319"/>
    <n v="0.23"/>
    <x v="1"/>
    <x v="11"/>
    <m/>
    <x v="1"/>
  </r>
  <r>
    <s v="Emp ID-986"/>
    <x v="0"/>
    <x v="0"/>
    <x v="0"/>
    <x v="0"/>
    <x v="30"/>
    <x v="1"/>
    <d v="2002-01-09T00:00:00"/>
    <n v="148035"/>
    <n v="168760"/>
    <n v="0.14000000000000001"/>
    <x v="0"/>
    <x v="3"/>
    <m/>
    <x v="1"/>
  </r>
  <r>
    <s v="Emp ID-987"/>
    <x v="2"/>
    <x v="2"/>
    <x v="3"/>
    <x v="1"/>
    <x v="33"/>
    <x v="0"/>
    <d v="2017-06-05T00:00:00"/>
    <n v="158898"/>
    <n v="187500"/>
    <n v="0.18"/>
    <x v="0"/>
    <x v="4"/>
    <m/>
    <x v="1"/>
  </r>
  <r>
    <s v="Emp ID-988"/>
    <x v="17"/>
    <x v="5"/>
    <x v="3"/>
    <x v="0"/>
    <x v="15"/>
    <x v="1"/>
    <d v="2012-02-28T00:00:00"/>
    <n v="89659"/>
    <n v="89659"/>
    <n v="0"/>
    <x v="1"/>
    <x v="10"/>
    <m/>
    <x v="1"/>
  </r>
  <r>
    <s v="Emp ID-989"/>
    <x v="2"/>
    <x v="1"/>
    <x v="2"/>
    <x v="0"/>
    <x v="38"/>
    <x v="3"/>
    <d v="2007-04-29T00:00:00"/>
    <n v="171487"/>
    <n v="210929"/>
    <n v="0.23"/>
    <x v="0"/>
    <x v="3"/>
    <m/>
    <x v="1"/>
  </r>
  <r>
    <s v="Emp ID-990"/>
    <x v="9"/>
    <x v="1"/>
    <x v="1"/>
    <x v="0"/>
    <x v="19"/>
    <x v="3"/>
    <d v="2016-08-21T00:00:00"/>
    <n v="258498"/>
    <n v="348972"/>
    <n v="0.35"/>
    <x v="0"/>
    <x v="7"/>
    <m/>
    <x v="1"/>
  </r>
  <r>
    <s v="Emp ID-991"/>
    <x v="0"/>
    <x v="0"/>
    <x v="0"/>
    <x v="1"/>
    <x v="17"/>
    <x v="3"/>
    <d v="2010-11-29T00:00:00"/>
    <n v="146961"/>
    <n v="163127"/>
    <n v="0.11"/>
    <x v="0"/>
    <x v="7"/>
    <m/>
    <x v="1"/>
  </r>
  <r>
    <s v="Emp ID-992"/>
    <x v="15"/>
    <x v="4"/>
    <x v="0"/>
    <x v="1"/>
    <x v="35"/>
    <x v="1"/>
    <d v="1998-04-22T00:00:00"/>
    <n v="85369"/>
    <n v="85369"/>
    <n v="0"/>
    <x v="2"/>
    <x v="8"/>
    <d v="2004-11-27T00:00:00"/>
    <x v="0"/>
  </r>
  <r>
    <s v="Emp ID-993"/>
    <x v="1"/>
    <x v="0"/>
    <x v="1"/>
    <x v="1"/>
    <x v="23"/>
    <x v="2"/>
    <d v="2015-06-14T00:00:00"/>
    <n v="67489"/>
    <n v="67489"/>
    <n v="0"/>
    <x v="0"/>
    <x v="2"/>
    <m/>
    <x v="1"/>
  </r>
  <r>
    <s v="Emp ID-994"/>
    <x v="2"/>
    <x v="0"/>
    <x v="1"/>
    <x v="0"/>
    <x v="30"/>
    <x v="1"/>
    <d v="2018-10-06T00:00:00"/>
    <n v="166259"/>
    <n v="194523"/>
    <n v="0.17"/>
    <x v="0"/>
    <x v="2"/>
    <m/>
    <x v="1"/>
  </r>
  <r>
    <s v="Emp ID-995"/>
    <x v="28"/>
    <x v="0"/>
    <x v="3"/>
    <x v="0"/>
    <x v="0"/>
    <x v="0"/>
    <d v="2009-01-07T00:00:00"/>
    <n v="47032"/>
    <n v="47032"/>
    <n v="0"/>
    <x v="0"/>
    <x v="7"/>
    <m/>
    <x v="1"/>
  </r>
  <r>
    <s v="Emp ID-996"/>
    <x v="4"/>
    <x v="6"/>
    <x v="2"/>
    <x v="1"/>
    <x v="29"/>
    <x v="2"/>
    <d v="2016-09-18T00:00:00"/>
    <n v="98427"/>
    <n v="98427"/>
    <n v="0"/>
    <x v="0"/>
    <x v="7"/>
    <m/>
    <x v="1"/>
  </r>
  <r>
    <s v="Emp ID-997"/>
    <x v="7"/>
    <x v="2"/>
    <x v="2"/>
    <x v="0"/>
    <x v="18"/>
    <x v="3"/>
    <d v="2010-05-31T00:00:00"/>
    <n v="47387"/>
    <n v="47387"/>
    <n v="0"/>
    <x v="1"/>
    <x v="11"/>
    <d v="2018-01-08T00:00:00"/>
    <x v="0"/>
  </r>
  <r>
    <s v="Emp ID-998"/>
    <x v="2"/>
    <x v="6"/>
    <x v="2"/>
    <x v="1"/>
    <x v="11"/>
    <x v="2"/>
    <d v="2019-06-10T00:00:00"/>
    <n v="176710"/>
    <n v="203216"/>
    <n v="0.15"/>
    <x v="0"/>
    <x v="4"/>
    <m/>
    <x v="1"/>
  </r>
  <r>
    <s v="Emp ID-999"/>
    <x v="4"/>
    <x v="2"/>
    <x v="2"/>
    <x v="0"/>
    <x v="29"/>
    <x v="2"/>
    <d v="2012-01-28T00:00:00"/>
    <n v="95960"/>
    <n v="95960"/>
    <n v="0"/>
    <x v="1"/>
    <x v="11"/>
    <m/>
    <x v="1"/>
  </r>
  <r>
    <s v="Emp ID-1000"/>
    <x v="9"/>
    <x v="3"/>
    <x v="3"/>
    <x v="0"/>
    <x v="20"/>
    <x v="0"/>
    <d v="2020-07-26T00:00:00"/>
    <n v="216195"/>
    <n v="283215"/>
    <n v="0.31"/>
    <x v="0"/>
    <x v="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BA4560-6FD7-4929-8428-8F629B0BE40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10:Q16" firstHeaderRow="1" firstDataRow="1" firstDataCol="1"/>
  <pivotFields count="15">
    <pivotField showAll="0"/>
    <pivotField showAll="0"/>
    <pivotField showAll="0">
      <items count="8">
        <item x="3"/>
        <item x="5"/>
        <item x="2"/>
        <item x="4"/>
        <item x="0"/>
        <item x="6"/>
        <item x="1"/>
        <item t="default"/>
      </items>
    </pivotField>
    <pivotField showAll="0"/>
    <pivotField showAll="0">
      <items count="3">
        <item x="0"/>
        <item x="1"/>
        <item t="default"/>
      </items>
    </pivotField>
    <pivotField showAll="0"/>
    <pivotField axis="axisRow" showAll="0" sortType="ascending">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s>
  <rowFields count="1">
    <field x="6"/>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7A5A6D-88D6-4313-9775-23F2E1A8D36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Q7" firstHeaderRow="1" firstDataRow="1" firstDataCol="0"/>
  <pivotFields count="15">
    <pivotField dataField="1" showAll="0"/>
    <pivotField showAll="0"/>
    <pivotField showAll="0">
      <items count="8">
        <item x="3"/>
        <item x="5"/>
        <item x="2"/>
        <item x="4"/>
        <item x="0"/>
        <item x="6"/>
        <item x="1"/>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ADB92F-04C5-4CD9-8854-622A659D92D2}"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6:T7" firstHeaderRow="1" firstDataRow="1" firstDataCol="0"/>
  <pivotFields count="15">
    <pivotField showAll="0"/>
    <pivotField showAll="0"/>
    <pivotField showAll="0">
      <items count="8">
        <item x="3"/>
        <item x="5"/>
        <item x="2"/>
        <item x="4"/>
        <item x="0"/>
        <item x="6"/>
        <item x="1"/>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dataField="1" showAll="0"/>
    <pivotField showAll="0"/>
    <pivotField showAll="0"/>
    <pivotField showAll="0">
      <items count="4">
        <item x="2"/>
        <item x="1"/>
        <item x="0"/>
        <item t="default"/>
      </items>
    </pivotField>
    <pivotField showAll="0"/>
    <pivotField showAll="0"/>
    <pivotField showAll="0"/>
  </pivotFields>
  <rowItems count="1">
    <i/>
  </rowItems>
  <colItems count="1">
    <i/>
  </colItems>
  <dataFields count="1">
    <dataField name="Sum of Annual Salar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300AA7-A0BC-4CE9-90C8-305316048DF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5">
    <pivotField dataField="1" showAll="0"/>
    <pivotField showAll="0"/>
    <pivotField showAll="0">
      <items count="8">
        <item x="3"/>
        <item x="5"/>
        <item x="2"/>
        <item x="4"/>
        <item x="0"/>
        <item x="6"/>
        <item x="1"/>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A72D5A-2584-441D-8621-797E60ABC1F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15">
    <pivotField showAll="0"/>
    <pivotField showAll="0"/>
    <pivotField showAll="0">
      <items count="8">
        <item x="3"/>
        <item x="5"/>
        <item x="2"/>
        <item x="4"/>
        <item x="0"/>
        <item x="6"/>
        <item x="1"/>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dataField="1" showAll="0"/>
  </pivotFields>
  <rowItems count="1">
    <i/>
  </rowItems>
  <colItems count="1">
    <i/>
  </colItems>
  <dataFields count="1">
    <dataField name="Sum of Left statu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CDE13-03D4-453E-A78B-EE90C4D952FE}"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7:H20" firstHeaderRow="1" firstDataRow="1" firstDataCol="1"/>
  <pivotFields count="15">
    <pivotField dataField="1" showAll="0"/>
    <pivotField showAll="0"/>
    <pivotField showAll="0">
      <items count="8">
        <item x="3"/>
        <item x="5"/>
        <item x="2"/>
        <item x="4"/>
        <item x="0"/>
        <item x="6"/>
        <item x="1"/>
        <item t="default"/>
      </items>
    </pivotField>
    <pivotField showAll="0"/>
    <pivotField axis="axisRow"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s>
  <rowFields count="1">
    <field x="4"/>
  </rowFields>
  <rowItems count="3">
    <i>
      <x/>
    </i>
    <i>
      <x v="1"/>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3D2D2C-B41A-4606-898A-C57705A8CCFE}"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3:H26" firstHeaderRow="1" firstDataRow="1" firstDataCol="1"/>
  <pivotFields count="15">
    <pivotField showAll="0"/>
    <pivotField showAll="0"/>
    <pivotField dataField="1" showAll="0">
      <items count="8">
        <item x="3"/>
        <item x="5"/>
        <item x="2"/>
        <item x="4"/>
        <item x="0"/>
        <item x="6"/>
        <item x="1"/>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axis="axisRow" showAll="0">
      <items count="3">
        <item x="1"/>
        <item x="0"/>
        <item t="default"/>
      </items>
    </pivotField>
  </pivotFields>
  <rowFields count="1">
    <field x="14"/>
  </rowFields>
  <rowItems count="3">
    <i>
      <x/>
    </i>
    <i>
      <x v="1"/>
    </i>
    <i t="grand">
      <x/>
    </i>
  </rowItems>
  <colItems count="1">
    <i/>
  </colItems>
  <dataFields count="1">
    <dataField name="Count of Departme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6F461A-6109-400E-AB58-0FEF858D2183}"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9:H15" firstHeaderRow="1" firstDataRow="1" firstDataCol="1"/>
  <pivotFields count="15">
    <pivotField dataField="1" showAll="0"/>
    <pivotField showAll="0"/>
    <pivotField showAll="0">
      <items count="8">
        <item x="3"/>
        <item x="5"/>
        <item x="2"/>
        <item x="4"/>
        <item x="0"/>
        <item x="6"/>
        <item x="1"/>
        <item t="default"/>
      </items>
    </pivotField>
    <pivotField showAll="0"/>
    <pivotField showAll="0">
      <items count="3">
        <item x="0"/>
        <item x="1"/>
        <item t="default"/>
      </items>
    </pivotField>
    <pivotField showAll="0"/>
    <pivotField axis="axisRow"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s>
  <rowFields count="1">
    <field x="6"/>
  </rowFields>
  <rowItems count="6">
    <i>
      <x/>
    </i>
    <i>
      <x v="1"/>
    </i>
    <i>
      <x v="2"/>
    </i>
    <i>
      <x v="3"/>
    </i>
    <i>
      <x v="4"/>
    </i>
    <i t="grand">
      <x/>
    </i>
  </rowItems>
  <colItems count="1">
    <i/>
  </colItems>
  <dataFields count="1">
    <dataField name="Count of Employee ID" fld="0" subtotal="count" baseField="6"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0453BF-5687-4174-9D76-ECA32852D0B5}"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pivotFields count="15">
    <pivotField showAll="0"/>
    <pivotField showAll="0"/>
    <pivotField showAll="0">
      <items count="8">
        <item x="3"/>
        <item x="5"/>
        <item x="2"/>
        <item x="4"/>
        <item x="0"/>
        <item x="6"/>
        <item x="1"/>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showAll="0"/>
    <pivotField dataField="1" showAll="0"/>
    <pivotField showAll="0">
      <items count="4">
        <item x="2"/>
        <item x="1"/>
        <item x="0"/>
        <item t="default"/>
      </items>
    </pivotField>
    <pivotField showAll="0"/>
    <pivotField showAll="0"/>
    <pivotField showAll="0"/>
  </pivotFields>
  <rowItems count="1">
    <i/>
  </rowItems>
  <colItems count="1">
    <i/>
  </colItems>
  <dataFields count="1">
    <dataField name="Sum of Bonus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0739E0-487C-4210-B7E7-09B7AE34D867}"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H7" firstHeaderRow="1" firstDataRow="1" firstDataCol="1"/>
  <pivotFields count="15">
    <pivotField showAll="0"/>
    <pivotField showAll="0"/>
    <pivotField showAll="0">
      <items count="8">
        <item x="3"/>
        <item x="5"/>
        <item x="2"/>
        <item x="4"/>
        <item x="0"/>
        <item x="6"/>
        <item x="1"/>
        <item t="default"/>
      </items>
    </pivotField>
    <pivotField axis="axisRow" showAll="0">
      <items count="5">
        <item x="3"/>
        <item x="1"/>
        <item x="0"/>
        <item x="2"/>
        <item t="default"/>
      </items>
    </pivotField>
    <pivotField showAll="0">
      <items count="3">
        <item x="0"/>
        <item x="1"/>
        <item t="default"/>
      </items>
    </pivotField>
    <pivotField showAll="0"/>
    <pivotField showAll="0">
      <items count="6">
        <item x="2"/>
        <item x="3"/>
        <item x="1"/>
        <item x="0"/>
        <item x="4"/>
        <item t="default"/>
      </items>
    </pivotField>
    <pivotField numFmtId="14" showAll="0"/>
    <pivotField showAll="0"/>
    <pivotField dataField="1" showAll="0"/>
    <pivotField showAll="0"/>
    <pivotField showAll="0">
      <items count="4">
        <item x="2"/>
        <item x="1"/>
        <item x="0"/>
        <item t="default"/>
      </items>
    </pivotField>
    <pivotField showAll="0"/>
    <pivotField showAll="0"/>
    <pivotField showAll="0"/>
  </pivotFields>
  <rowFields count="1">
    <field x="3"/>
  </rowFields>
  <rowItems count="5">
    <i>
      <x/>
    </i>
    <i>
      <x v="1"/>
    </i>
    <i>
      <x v="2"/>
    </i>
    <i>
      <x v="3"/>
    </i>
    <i t="grand">
      <x/>
    </i>
  </rowItems>
  <colItems count="1">
    <i/>
  </colItems>
  <dataFields count="1">
    <dataField name="Sum of Total salary" fld="9" baseField="0" baseItem="0"/>
  </dataFields>
  <formats count="5">
    <format dxfId="37">
      <pivotArea collapsedLevelsAreSubtotals="1" fieldPosition="0">
        <references count="1">
          <reference field="3" count="1">
            <x v="0"/>
          </reference>
        </references>
      </pivotArea>
    </format>
    <format dxfId="36">
      <pivotArea collapsedLevelsAreSubtotals="1" fieldPosition="0">
        <references count="1">
          <reference field="3" count="1">
            <x v="1"/>
          </reference>
        </references>
      </pivotArea>
    </format>
    <format dxfId="35">
      <pivotArea collapsedLevelsAreSubtotals="1" fieldPosition="0">
        <references count="1">
          <reference field="3" count="1">
            <x v="2"/>
          </reference>
        </references>
      </pivotArea>
    </format>
    <format dxfId="34">
      <pivotArea collapsedLevelsAreSubtotals="1" fieldPosition="0">
        <references count="1">
          <reference field="3" count="1">
            <x v="3"/>
          </reference>
        </references>
      </pivotArea>
    </format>
    <format dxfId="3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6CB697-C23F-4D89-ABBD-84C276D67F3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B13" firstHeaderRow="1" firstDataRow="1" firstDataCol="1"/>
  <pivotFields count="15">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sortType="descending">
      <items count="8">
        <item x="1"/>
        <item x="6"/>
        <item x="0"/>
        <item x="4"/>
        <item x="2"/>
        <item x="5"/>
        <item x="3"/>
        <item t="default"/>
      </items>
    </pivotField>
    <pivotField dataField="1" showAll="0"/>
    <pivotField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s>
  <rowFields count="1">
    <field x="2"/>
  </rowFields>
  <rowItems count="8">
    <i>
      <x/>
    </i>
    <i>
      <x v="1"/>
    </i>
    <i>
      <x v="2"/>
    </i>
    <i>
      <x v="3"/>
    </i>
    <i>
      <x v="4"/>
    </i>
    <i>
      <x v="5"/>
    </i>
    <i>
      <x v="6"/>
    </i>
    <i t="grand">
      <x/>
    </i>
  </rowItems>
  <colItems count="1">
    <i/>
  </colItems>
  <dataFields count="1">
    <dataField name="Count of Business Unit" fld="3" subtotal="count" baseField="0"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A4E0FF-B0AC-41F8-922D-BEBFE8744B37}"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K5" firstHeaderRow="1" firstDataRow="1" firstDataCol="1"/>
  <pivotFields count="15">
    <pivotField showAll="0"/>
    <pivotField showAll="0"/>
    <pivotField showAll="0">
      <items count="8">
        <item x="3"/>
        <item x="5"/>
        <item x="2"/>
        <item x="4"/>
        <item x="0"/>
        <item x="6"/>
        <item x="1"/>
        <item t="default"/>
      </items>
    </pivotField>
    <pivotField showAll="0"/>
    <pivotField axis="axisRow"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dataField="1" showAll="0"/>
  </pivotFields>
  <rowFields count="1">
    <field x="4"/>
  </rowFields>
  <rowItems count="3">
    <i>
      <x/>
    </i>
    <i>
      <x v="1"/>
    </i>
    <i t="grand">
      <x/>
    </i>
  </rowItems>
  <colItems count="1">
    <i/>
  </colItems>
  <dataFields count="1">
    <dataField name="Sum of Left status" fld="1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70A017-AF42-4B84-9F31-577A07E55245}"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5">
    <pivotField showAll="0"/>
    <pivotField showAll="0"/>
    <pivotField showAll="0">
      <items count="8">
        <item x="3"/>
        <item x="5"/>
        <item x="2"/>
        <item x="4"/>
        <item x="0"/>
        <item x="6"/>
        <item x="1"/>
        <item t="default"/>
      </items>
    </pivotField>
    <pivotField showAll="0"/>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items count="6">
        <item x="2"/>
        <item x="3"/>
        <item x="1"/>
        <item x="0"/>
        <item x="4"/>
        <item t="default"/>
      </items>
    </pivotField>
    <pivotField numFmtId="14" showAll="0"/>
    <pivotField showAll="0"/>
    <pivotField dataField="1" showAll="0"/>
    <pivotField showAll="0"/>
    <pivotField showAll="0">
      <items count="4">
        <item x="2"/>
        <item x="1"/>
        <item x="0"/>
        <item t="default"/>
      </items>
    </pivotField>
    <pivotField showAll="0"/>
    <pivotField showAll="0"/>
    <pivotField showAll="0"/>
  </pivotFields>
  <rowItems count="1">
    <i/>
  </rowItems>
  <colItems count="1">
    <i/>
  </colItems>
  <dataFields count="1">
    <dataField name="Sum of Total salary" fld="9" baseField="0" baseItem="0" numFmtId="166"/>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0B4C21-3C82-4D29-B9C2-EF5A6517CB7C}"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E16" firstHeaderRow="1" firstDataRow="1" firstDataCol="1"/>
  <pivotFields count="15">
    <pivotField showAll="0"/>
    <pivotField showAll="0"/>
    <pivotField showAll="0">
      <items count="8">
        <item x="3"/>
        <item x="5"/>
        <item x="2"/>
        <item x="4"/>
        <item x="0"/>
        <item x="6"/>
        <item x="1"/>
        <item t="default"/>
      </items>
    </pivotField>
    <pivotField dataField="1"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axis="axisRow" showAll="0">
      <items count="14">
        <item x="5"/>
        <item x="10"/>
        <item x="11"/>
        <item x="2"/>
        <item x="1"/>
        <item x="7"/>
        <item x="8"/>
        <item x="4"/>
        <item x="3"/>
        <item x="9"/>
        <item x="12"/>
        <item x="0"/>
        <item x="6"/>
        <item t="default"/>
      </items>
    </pivotField>
    <pivotField showAll="0"/>
    <pivotField showAll="0"/>
  </pivotFields>
  <rowFields count="1">
    <field x="12"/>
  </rowFields>
  <rowItems count="14">
    <i>
      <x/>
    </i>
    <i>
      <x v="1"/>
    </i>
    <i>
      <x v="2"/>
    </i>
    <i>
      <x v="3"/>
    </i>
    <i>
      <x v="4"/>
    </i>
    <i>
      <x v="5"/>
    </i>
    <i>
      <x v="6"/>
    </i>
    <i>
      <x v="7"/>
    </i>
    <i>
      <x v="8"/>
    </i>
    <i>
      <x v="9"/>
    </i>
    <i>
      <x v="10"/>
    </i>
    <i>
      <x v="11"/>
    </i>
    <i>
      <x v="12"/>
    </i>
    <i t="grand">
      <x/>
    </i>
  </rowItems>
  <colItems count="1">
    <i/>
  </colItems>
  <dataFields count="1">
    <dataField name="Count of Business Unit" fld="3"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850008-B754-43EE-912B-8167800186A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8:E52" firstHeaderRow="1" firstDataRow="1" firstDataCol="1"/>
  <pivotFields count="15">
    <pivotField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dataField="1" showAll="0">
      <items count="8">
        <item x="3"/>
        <item x="5"/>
        <item x="2"/>
        <item x="4"/>
        <item x="0"/>
        <item x="6"/>
        <item x="1"/>
        <item t="default"/>
      </items>
    </pivotField>
    <pivotField showAll="0"/>
    <pivotField showAll="0">
      <items count="3">
        <item x="0"/>
        <item x="1"/>
        <item t="default"/>
      </items>
    </pivotField>
    <pivotField showAll="0"/>
    <pivotField showAll="0">
      <items count="6">
        <item x="2"/>
        <item x="3"/>
        <item x="1"/>
        <item x="0"/>
        <item x="4"/>
        <item t="default"/>
      </items>
    </pivotField>
    <pivotField numFmtId="14" showAll="0"/>
    <pivotField showAll="0"/>
    <pivotField showAll="0"/>
    <pivotField showAll="0"/>
    <pivotField showAll="0">
      <items count="4">
        <item x="2"/>
        <item x="1"/>
        <item x="0"/>
        <item t="default"/>
      </items>
    </pivotField>
    <pivotField showAll="0"/>
    <pivotField showAll="0"/>
    <pivotField showAll="0"/>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 of Department"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81D56E2-4E7B-413A-9CDB-4AA3570836A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L22"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dataField="1"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Items count="1">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204F083-9D9D-4107-9E28-5B5C14EE294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5:L26"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dataField="1" showAll="0"/>
  </pivotFields>
  <rowItems count="1">
    <i/>
  </rowItems>
  <colItems count="1">
    <i/>
  </colItems>
  <dataFields count="1">
    <dataField name="Sum of Total commission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278DFF2-1C53-46B6-9044-A8CCD5E6948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10">
    <pivotField dataField="1"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735D264-C204-42DE-B878-8BE5EF5C27C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L18"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430C65F-3C55-4E9F-855D-EFD025EB7B2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0">
    <pivotField dataField="1"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93F2CB4-79FC-4422-9971-737EBFE3D316}"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L2:M34" firstHeaderRow="1" firstDataRow="1" firstDataCol="1"/>
  <pivotFields count="10">
    <pivotField dataField="1" showAll="0"/>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filters count="1">
    <filter fld="1" type="dateBetween" evalOrder="-1" id="20" name="Date">
      <autoFilter ref="A1">
        <filterColumn colId="0">
          <customFilters and="1">
            <customFilter operator="greaterThanOrEqual" val="43282"/>
            <customFilter operator="lessThanOrEqual" val="433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BD8F871-51B1-4EBB-A8E7-6BAA8ABB8EB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dataField="1" showAll="0"/>
  </pivotFields>
  <rowItems count="1">
    <i/>
  </rowItems>
  <colItems count="1">
    <i/>
  </colItems>
  <dataFields count="1">
    <dataField name="Sum of Total commission " fld="9" baseField="0" baseItem="0" numFmtId="166"/>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C397733-C5D0-46FC-928D-30BA68616F2F}"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909512C-E8F3-4233-A5A1-489840A4B983}"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17:G23" firstHeaderRow="1" firstDataRow="1" firstDataCol="1"/>
  <pivotFields count="10">
    <pivotField showAll="0"/>
    <pivotField numFmtId="14" showAll="0"/>
    <pivotField showAll="0">
      <items count="6">
        <item x="3"/>
        <item x="2"/>
        <item x="0"/>
        <item x="4"/>
        <item x="1"/>
        <item t="default"/>
      </items>
    </pivotField>
    <pivotField axis="axisRow" showAll="0">
      <items count="6">
        <item x="4"/>
        <item x="0"/>
        <item x="2"/>
        <item x="1"/>
        <item x="3"/>
        <item t="default"/>
      </items>
    </pivotField>
    <pivotField showAll="0"/>
    <pivotField showAll="0"/>
    <pivotField dataField="1"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Fields count="1">
    <field x="3"/>
  </rowFields>
  <rowItems count="6">
    <i>
      <x/>
    </i>
    <i>
      <x v="1"/>
    </i>
    <i>
      <x v="2"/>
    </i>
    <i>
      <x v="3"/>
    </i>
    <i>
      <x v="4"/>
    </i>
    <i t="grand">
      <x/>
    </i>
  </rowItems>
  <colItems count="1">
    <i/>
  </colItems>
  <dataFields count="1">
    <dataField name="Sum of Total sales" fld="6" baseField="0" baseItem="0" numFmtId="166"/>
  </dataFields>
  <formats count="1">
    <format dxfId="25">
      <pivotArea outline="0" collapsedLevelsAreSubtotals="1" fieldPosition="0"/>
    </format>
  </formats>
  <chartFormats count="4">
    <chartFormat chart="10"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A5A73B6-5F3C-4889-9735-F3E1941A1F80}"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2:D8" firstHeaderRow="1" firstDataRow="1" firstDataCol="1"/>
  <pivotFields count="10">
    <pivotField showAll="0"/>
    <pivotField numFmtId="14" showAll="0"/>
    <pivotField axis="axisRow"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Fields count="1">
    <field x="2"/>
  </rowFields>
  <rowItems count="6">
    <i>
      <x/>
    </i>
    <i>
      <x v="1"/>
    </i>
    <i>
      <x v="2"/>
    </i>
    <i>
      <x v="3"/>
    </i>
    <i>
      <x v="4"/>
    </i>
    <i t="grand">
      <x/>
    </i>
  </rowItems>
  <colItems count="1">
    <i/>
  </colItems>
  <dataFields count="1">
    <dataField name="Sum of Quantity" fld="4" baseField="0" baseItem="0"/>
  </dataFields>
  <chartFormats count="2">
    <chartFormat chart="5"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4C4BD2D-9D3E-4BE0-8063-21BD96337FD4}"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7:J23" firstHeaderRow="1" firstDataRow="1" firstDataCol="1"/>
  <pivotFields count="10">
    <pivotField showAll="0"/>
    <pivotField numFmtId="14" showAll="0"/>
    <pivotField showAll="0">
      <items count="6">
        <item x="3"/>
        <item x="2"/>
        <item x="0"/>
        <item x="4"/>
        <item x="1"/>
        <item t="default"/>
      </items>
    </pivotField>
    <pivotField axis="axisRow" showAll="0">
      <items count="6">
        <item x="4"/>
        <item x="0"/>
        <item x="2"/>
        <item x="1"/>
        <item x="3"/>
        <item t="default"/>
      </items>
    </pivotField>
    <pivotField showAll="0"/>
    <pivotField showAll="0"/>
    <pivotField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dataField="1" showAll="0"/>
  </pivotFields>
  <rowFields count="1">
    <field x="3"/>
  </rowFields>
  <rowItems count="6">
    <i>
      <x/>
    </i>
    <i>
      <x v="1"/>
    </i>
    <i>
      <x v="2"/>
    </i>
    <i>
      <x v="3"/>
    </i>
    <i>
      <x v="4"/>
    </i>
    <i t="grand">
      <x/>
    </i>
  </rowItems>
  <colItems count="1">
    <i/>
  </colItems>
  <dataFields count="1">
    <dataField name="Sum of Total commission " fld="9" baseField="0" baseItem="0" numFmtId="166"/>
  </dataFields>
  <formats count="1">
    <format dxfId="2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8EDDB44-677C-4768-B60A-0DFDC96B75C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0">
    <pivotField showAll="0"/>
    <pivotField numFmtId="14" showAll="0"/>
    <pivotField showAll="0">
      <items count="6">
        <item x="3"/>
        <item x="2"/>
        <item x="0"/>
        <item x="4"/>
        <item x="1"/>
        <item t="default"/>
      </items>
    </pivotField>
    <pivotField showAll="0">
      <items count="6">
        <item x="4"/>
        <item x="0"/>
        <item x="2"/>
        <item x="1"/>
        <item x="3"/>
        <item t="default"/>
      </items>
    </pivotField>
    <pivotField showAll="0"/>
    <pivotField showAll="0"/>
    <pivotField dataField="1" showAll="0"/>
    <pivotField showAll="0"/>
    <pivotField showAll="0">
      <items count="35">
        <item x="5"/>
        <item x="3"/>
        <item x="6"/>
        <item x="8"/>
        <item x="10"/>
        <item x="9"/>
        <item x="7"/>
        <item x="11"/>
        <item x="2"/>
        <item x="0"/>
        <item x="1"/>
        <item x="4"/>
        <item f="1" x="12"/>
        <item f="1" x="13"/>
        <item f="1" x="14"/>
        <item f="1" x="15"/>
        <item f="1" x="16"/>
        <item f="1" x="17"/>
        <item f="1" x="18"/>
        <item f="1" x="19"/>
        <item f="1" x="20"/>
        <item f="1" x="21"/>
        <item f="1" x="22"/>
        <item f="1" x="23"/>
        <item f="1" x="24"/>
        <item f="1" x="25"/>
        <item f="1" x="26"/>
        <item f="1" x="27"/>
        <item f="1" x="28"/>
        <item f="1" x="29"/>
        <item f="1" x="30"/>
        <item f="1" x="31"/>
        <item f="1" x="32"/>
        <item f="1" x="33"/>
        <item t="default"/>
      </items>
    </pivotField>
    <pivotField showAll="0"/>
  </pivotFields>
  <rowItems count="1">
    <i/>
  </rowItems>
  <colItems count="1">
    <i/>
  </colItems>
  <dataFields count="1">
    <dataField name="Sum of Total sales" fld="6" baseField="0" baseItem="0" numFmtId="166"/>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F78C3EF-CEA9-47E2-B319-020A37C17EE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58" firstHeaderRow="1" firstDataRow="1" firstDataCol="1"/>
  <pivotFields count="10">
    <pivotField dataField="1" showAll="0"/>
    <pivotField numFmtId="14" showAll="0"/>
    <pivotField showAll="0"/>
    <pivotField showAll="0"/>
    <pivotField showAll="0"/>
    <pivotField showAll="0"/>
    <pivotField showAll="0"/>
    <pivotField showAll="0"/>
    <pivotField axis="axisRow" showAll="0">
      <items count="35">
        <item x="5"/>
        <item x="3"/>
        <item f="1" x="12"/>
        <item f="1" x="21"/>
        <item f="1" x="22"/>
        <item f="1" x="23"/>
        <item f="1" x="24"/>
        <item f="1" x="25"/>
        <item f="1" x="26"/>
        <item f="1" x="27"/>
        <item f="1" x="28"/>
        <item f="1" x="29"/>
        <item f="1" x="30"/>
        <item f="1" x="13"/>
        <item f="1" x="31"/>
        <item f="1" x="32"/>
        <item f="1" x="33"/>
        <item f="1" x="14"/>
        <item f="1" x="15"/>
        <item f="1" x="16"/>
        <item f="1" x="17"/>
        <item f="1" x="18"/>
        <item f="1" x="19"/>
        <item f="1" x="20"/>
        <item x="6"/>
        <item x="8"/>
        <item x="10"/>
        <item x="9"/>
        <item x="7"/>
        <item x="11"/>
        <item x="2"/>
        <item x="0"/>
        <item x="1"/>
        <item x="4"/>
        <item t="default"/>
      </items>
    </pivotField>
    <pivotField showAll="0"/>
  </pivotFields>
  <rowFields count="1">
    <field x="8"/>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71599F-F676-44D8-9729-7736869E74FC}" autoFormatId="16" applyNumberFormats="0" applyBorderFormats="0" applyFontFormats="0" applyPatternFormats="0" applyAlignmentFormats="0" applyWidthHeightFormats="0">
  <queryTableRefresh nextId="16">
    <queryTableFields count="15">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Total salary" tableColumnId="10"/>
      <queryTableField id="11" name="Bonus %" tableColumnId="11"/>
      <queryTableField id="12" name="Country" tableColumnId="12"/>
      <queryTableField id="13" name="City" tableColumnId="13"/>
      <queryTableField id="14" name="Exit Date" tableColumnId="14"/>
      <queryTableField id="15" name="Left statu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305296C-50AC-482F-8D59-59D73B87DD4B}" autoFormatId="16" applyNumberFormats="0" applyBorderFormats="0" applyFontFormats="0" applyPatternFormats="0" applyAlignmentFormats="0" applyWidthHeightFormats="0">
  <queryTableRefresh nextId="14">
    <queryTableFields count="10">
      <queryTableField id="12" name="Order ID" tableColumnId="10"/>
      <queryTableField id="1" name="Date" tableColumnId="1"/>
      <queryTableField id="2" name="Item" tableColumnId="2"/>
      <queryTableField id="3" name="Sales Rep" tableColumnId="3"/>
      <queryTableField id="4" name="Quantity" tableColumnId="4"/>
      <queryTableField id="5" name="Price" tableColumnId="5"/>
      <queryTableField id="6" name="Total sales" tableColumnId="6"/>
      <queryTableField id="7" name="Commission" tableColumnId="7"/>
      <queryTableField id="8" name="State" tableColumnId="8"/>
      <queryTableField id="9" name="Total commission "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937B91B-26A2-45D0-97A4-29277C822FA4}" sourceName="Sales Rep">
  <pivotTables>
    <pivotTable tabId="6" name="PivotTable12"/>
    <pivotTable tabId="6" name="PivotTable10"/>
    <pivotTable tabId="6" name="PivotTable11"/>
    <pivotTable tabId="6" name="PivotTable3"/>
    <pivotTable tabId="6" name="PivotTable5"/>
    <pivotTable tabId="6" name="PivotTable6"/>
    <pivotTable tabId="6" name="PivotTable8"/>
    <pivotTable tabId="6" name="PivotTable9"/>
    <pivotTable tabId="5" name="PivotTable1"/>
    <pivotTable tabId="5" name="PivotTable3"/>
    <pivotTable tabId="5" name="PivotTable4"/>
    <pivotTable tabId="5" name="PivotTable5"/>
  </pivotTables>
  <data>
    <tabular pivotCacheId="1665186097">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C133204-64AC-49EA-9A21-7A7E837C277B}" sourceName="Item">
  <pivotTables>
    <pivotTable tabId="6" name="PivotTable11"/>
    <pivotTable tabId="6" name="PivotTable10"/>
    <pivotTable tabId="6" name="PivotTable12"/>
    <pivotTable tabId="6" name="PivotTable3"/>
    <pivotTable tabId="6" name="PivotTable5"/>
    <pivotTable tabId="6" name="PivotTable6"/>
    <pivotTable tabId="6" name="PivotTable8"/>
    <pivotTable tabId="6" name="PivotTable9"/>
    <pivotTable tabId="5" name="PivotTable1"/>
    <pivotTable tabId="5" name="PivotTable3"/>
    <pivotTable tabId="5" name="PivotTable4"/>
    <pivotTable tabId="5" name="PivotTable5"/>
  </pivotTables>
  <data>
    <tabular pivotCacheId="1665186097">
      <items count="5">
        <i x="3" s="1"/>
        <i x="2"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54C3182-B5D2-4A1E-A4D1-CA4F8DF81DE3}" sourceName="Age group">
  <pivotTables>
    <pivotTable tabId="8" name="PivotTable3"/>
    <pivotTable tabId="8" name="PivotTable1"/>
    <pivotTable tabId="8" name="PivotTable10"/>
    <pivotTable tabId="8" name="PivotTable11"/>
    <pivotTable tabId="8" name="PivotTable12"/>
    <pivotTable tabId="8" name="PivotTable2"/>
    <pivotTable tabId="8" name="PivotTable4"/>
    <pivotTable tabId="8" name="PivotTable5"/>
    <pivotTable tabId="8" name="PivotTable6"/>
    <pivotTable tabId="8" name="PivotTable7"/>
    <pivotTable tabId="8" name="PivotTable8"/>
    <pivotTable tabId="8" name="PivotTable9"/>
    <pivotTable tabId="4" name="PivotTable1"/>
    <pivotTable tabId="4" name="PivotTable2"/>
    <pivotTable tabId="4" name="PivotTable3"/>
  </pivotTables>
  <data>
    <tabular pivotCacheId="1814399337">
      <items count="5">
        <i x="2" s="1"/>
        <i x="3"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96FEE2E-337A-4AC3-A2FA-E23EC16D012E}" sourceName="Country">
  <pivotTables>
    <pivotTable tabId="8" name="PivotTable6"/>
    <pivotTable tabId="8" name="PivotTable1"/>
    <pivotTable tabId="8" name="PivotTable10"/>
    <pivotTable tabId="8" name="PivotTable11"/>
    <pivotTable tabId="8" name="PivotTable12"/>
    <pivotTable tabId="8" name="PivotTable2"/>
    <pivotTable tabId="8" name="PivotTable3"/>
    <pivotTable tabId="8" name="PivotTable4"/>
    <pivotTable tabId="8" name="PivotTable5"/>
    <pivotTable tabId="8" name="PivotTable7"/>
    <pivotTable tabId="8" name="PivotTable8"/>
    <pivotTable tabId="8" name="PivotTable9"/>
    <pivotTable tabId="4" name="PivotTable1"/>
    <pivotTable tabId="4" name="PivotTable2"/>
    <pivotTable tabId="4" name="PivotTable3"/>
  </pivotTables>
  <data>
    <tabular pivotCacheId="1814399337">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BFE49E-28D8-4648-A747-6F0C94DEA333}" sourceName="Department">
  <pivotTables>
    <pivotTable tabId="8" name="PivotTable2"/>
    <pivotTable tabId="8" name="PivotTable1"/>
    <pivotTable tabId="8" name="PivotTable10"/>
    <pivotTable tabId="8" name="PivotTable11"/>
    <pivotTable tabId="8" name="PivotTable12"/>
    <pivotTable tabId="8" name="PivotTable3"/>
    <pivotTable tabId="8" name="PivotTable4"/>
    <pivotTable tabId="8" name="PivotTable5"/>
    <pivotTable tabId="8" name="PivotTable6"/>
    <pivotTable tabId="8" name="PivotTable7"/>
    <pivotTable tabId="8" name="PivotTable8"/>
    <pivotTable tabId="8" name="PivotTable9"/>
    <pivotTable tabId="4" name="PivotTable1"/>
    <pivotTable tabId="4" name="PivotTable2"/>
    <pivotTable tabId="4" name="PivotTable3"/>
  </pivotTables>
  <data>
    <tabular pivotCacheId="1814399337">
      <items count="7">
        <i x="3" s="1"/>
        <i x="5" s="1"/>
        <i x="2" s="1"/>
        <i x="4" s="1"/>
        <i x="0" s="1"/>
        <i x="6"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6037BD-2917-4203-883B-1828319C466F}" sourceName="Gender">
  <pivotTables>
    <pivotTable tabId="8" name="PivotTable10"/>
    <pivotTable tabId="8" name="PivotTable1"/>
    <pivotTable tabId="8" name="PivotTable11"/>
    <pivotTable tabId="8" name="PivotTable12"/>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4" name="PivotTable1"/>
    <pivotTable tabId="4" name="PivotTable2"/>
    <pivotTable tabId="4" name="PivotTable3"/>
  </pivotTables>
  <data>
    <tabular pivotCacheId="1814399337">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742842C-99CB-4FC5-9535-BA633D4A03CD}" sourceName="State">
  <pivotTables>
    <pivotTable tabId="6" name="PivotTable1"/>
    <pivotTable tabId="6" name="PivotTable10"/>
    <pivotTable tabId="6" name="PivotTable11"/>
    <pivotTable tabId="6" name="PivotTable12"/>
    <pivotTable tabId="6" name="PivotTable3"/>
    <pivotTable tabId="6" name="PivotTable5"/>
    <pivotTable tabId="6" name="PivotTable6"/>
    <pivotTable tabId="6" name="PivotTable8"/>
    <pivotTable tabId="6" name="PivotTable9"/>
    <pivotTable tabId="5" name="PivotTable1"/>
    <pivotTable tabId="5" name="PivotTable3"/>
    <pivotTable tabId="5" name="PivotTable4"/>
    <pivotTable tabId="5" name="PivotTable5"/>
  </pivotTables>
  <data>
    <tabular pivotCacheId="1665186097">
      <items count="34">
        <i x="5" s="1"/>
        <i x="3" s="1"/>
        <i x="12" s="1"/>
        <i x="21" s="1"/>
        <i x="22" s="1"/>
        <i x="23" s="1"/>
        <i x="24" s="1"/>
        <i x="25" s="1"/>
        <i x="26" s="1"/>
        <i x="27" s="1"/>
        <i x="28" s="1"/>
        <i x="29" s="1"/>
        <i x="30" s="1"/>
        <i x="13" s="1"/>
        <i x="31" s="1"/>
        <i x="32" s="1"/>
        <i x="33" s="1"/>
        <i x="14" s="1"/>
        <i x="15" s="1"/>
        <i x="16" s="1"/>
        <i x="17" s="1"/>
        <i x="18" s="1"/>
        <i x="19" s="1"/>
        <i x="20" s="1"/>
        <i x="6" s="1"/>
        <i x="8" s="1"/>
        <i x="10" s="1"/>
        <i x="9" s="1"/>
        <i x="7" s="1"/>
        <i x="11"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08A4B56-E305-480E-9887-574820A43F6F}" cache="Slicer_Age_group" caption="Age group" rowHeight="234950"/>
  <slicer name="Country" xr10:uid="{B0E14277-5ED0-4C63-B45C-2A307C231A63}" cache="Slicer_Country" caption="Country" rowHeight="234950"/>
  <slicer name="Country 1" xr10:uid="{316EC8CB-1B67-4457-AC06-EEFFAD208BE9}" cache="Slicer_Country" caption="Country" rowHeight="234950"/>
  <slicer name="Department" xr10:uid="{E34027F2-EE27-4891-9948-13AA4A1AC976}" cache="Slicer_Department" caption="Department" rowHeight="234950"/>
  <slicer name="Gender" xr10:uid="{755D12D4-B8FE-46FC-BBA1-DC2CD169C0A2}"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0847D1DE-A923-4008-9FDF-A6BED4703625}" cache="Slicer_Age_group" caption="Age group" rowHeight="234950"/>
  <slicer name="Country 2" xr10:uid="{98AFAFB9-4AF2-4474-94D8-A2E886E34A94}" cache="Slicer_Country" caption="Country" rowHeight="234950"/>
  <slicer name="Department 1" xr10:uid="{F27E4C13-6D9B-48EC-A1C5-6BC3397115CB}" cache="Slicer_Department" caption="Department" rowHeight="234950"/>
  <slicer name="Gender 1" xr10:uid="{A6675530-B294-46C6-B846-5441507B2C51}"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4EE800B7-DC80-46D7-B18C-EE40BEDAB8C1}" cache="Slicer_Sales_Rep" caption="Sales Rep" rowHeight="234950"/>
  <slicer name="Item" xr10:uid="{E9270838-991F-4761-B18F-339859E2095C}" cache="Slicer_Item" caption="Item" rowHeight="234950"/>
  <slicer name="State" xr10:uid="{31EB8C9B-6455-4E0D-B6DF-055F823C76CF}" cache="Slicer_State" caption="State" startItem="27"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2" xr10:uid="{A9EAFBFA-F159-4EE8-8DEE-AC7543B36343}" cache="Slicer_Sales_Rep" caption="Sales Rep" rowHeight="234950"/>
  <slicer name="Item 2" xr10:uid="{D00AE9B4-F28E-46C6-B777-470D379A8D91}" cache="Slicer_Item" caption="Item" rowHeight="234950"/>
  <slicer name="State 2" xr10:uid="{4879A965-172B-4271-A769-49DA7454E678}" cache="Slicer_State" caption="State" startItem="2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302228-76E2-4694-9705-FC193442C9C0}" name="Table1" displayName="Table1" ref="A1:K1001" totalsRowShown="0" headerRowDxfId="63" headerRowBorderDxfId="62" tableBorderDxfId="61" totalsRowBorderDxfId="60">
  <tableColumns count="11">
    <tableColumn id="1" xr3:uid="{702036E1-E293-4B23-9B36-3471C20DA890}" name="Job Title" dataDxfId="59"/>
    <tableColumn id="2" xr3:uid="{D1F1A7A8-9DC5-427B-AE5A-AB13AF211D19}" name="Department" dataDxfId="58"/>
    <tableColumn id="3" xr3:uid="{FE2ADB13-D276-487E-B5C9-53A5DB62386B}" name="Business Unit" dataDxfId="57"/>
    <tableColumn id="4" xr3:uid="{8B9F9CC9-9C35-4F09-8A56-2367BA1E3D17}" name="Gender" dataDxfId="56"/>
    <tableColumn id="5" xr3:uid="{ED7C5BE9-1143-447B-9BD4-B3F9910A1723}" name="Age" dataDxfId="55"/>
    <tableColumn id="6" xr3:uid="{C2193BB1-7D89-4B08-A861-9EF4CFC9D634}" name="Hire Date" dataDxfId="54"/>
    <tableColumn id="7" xr3:uid="{D866AE73-E4C0-45CF-B1B1-60123F8FA9B0}" name="Annual Salary" dataDxfId="53"/>
    <tableColumn id="8" xr3:uid="{C3D5F4F9-0A90-4793-99FA-6BD46A2E2388}" name="Bonus %" dataDxfId="52"/>
    <tableColumn id="9" xr3:uid="{B0750C27-4598-4F0C-81DC-97CB7261F381}" name="Country" dataDxfId="51"/>
    <tableColumn id="10" xr3:uid="{DB2425B1-A8D5-4AF7-BF0D-30D9765950B5}" name="City" dataDxfId="50"/>
    <tableColumn id="11" xr3:uid="{D86F739F-653D-4A9F-B62C-C3D5B2291C42}" name="Exit Date"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4AAE9C-A2F4-427A-9B26-FC6D68AEC549}" name="ETL_EMP" displayName="ETL_EMP" ref="A1:O1001" tableType="queryTable" totalsRowShown="0">
  <autoFilter ref="A1:O1001" xr:uid="{304AAE9C-A2F4-427A-9B26-FC6D68AEC549}"/>
  <tableColumns count="15">
    <tableColumn id="1" xr3:uid="{E01837DC-88AB-4377-82F2-E5CC2E908DEE}" uniqueName="1" name="Employee ID" queryTableFieldId="1" dataDxfId="48"/>
    <tableColumn id="2" xr3:uid="{98907807-4F72-4CC3-A1E7-13B693AD1052}" uniqueName="2" name="Job Title" queryTableFieldId="2" dataDxfId="47"/>
    <tableColumn id="3" xr3:uid="{5D8D5A65-BE35-4B95-8E1D-FF6C090F92C8}" uniqueName="3" name="Department" queryTableFieldId="3" dataDxfId="46"/>
    <tableColumn id="4" xr3:uid="{ACE88ED5-0A94-4F40-A5EF-A6782CC64725}" uniqueName="4" name="Business Unit" queryTableFieldId="4" dataDxfId="45"/>
    <tableColumn id="5" xr3:uid="{A54EFF92-892A-4F7C-8729-C4382B882753}" uniqueName="5" name="Gender" queryTableFieldId="5" dataDxfId="44"/>
    <tableColumn id="6" xr3:uid="{1EB62CD0-A979-4EE2-892E-E3575C0846AE}" uniqueName="6" name="Age" queryTableFieldId="6"/>
    <tableColumn id="7" xr3:uid="{65905955-0F65-44D7-A185-F72127BD2B71}" uniqueName="7" name="Age group" queryTableFieldId="7" dataDxfId="43"/>
    <tableColumn id="8" xr3:uid="{87148AA9-94DD-4645-A15A-E386822EC102}" uniqueName="8" name="Hire Date" queryTableFieldId="8" dataDxfId="42"/>
    <tableColumn id="9" xr3:uid="{47D52874-ADBB-4F87-892B-8C4179F084D5}" uniqueName="9" name="Annual Salary" queryTableFieldId="9"/>
    <tableColumn id="10" xr3:uid="{A8976FE2-4144-478F-942E-9631995E0758}" uniqueName="10" name="Total salary" queryTableFieldId="10"/>
    <tableColumn id="11" xr3:uid="{1D1DB1AC-7A75-4D66-89B5-F3C14BB37EBF}" uniqueName="11" name="Bonus %" queryTableFieldId="11"/>
    <tableColumn id="12" xr3:uid="{F87EBA7C-9686-4E38-B2AA-4C55F2CCC4E6}" uniqueName="12" name="Country" queryTableFieldId="12" dataDxfId="41"/>
    <tableColumn id="13" xr3:uid="{0464FA49-18DB-4CF4-9DA7-28BC2C14B1CB}" uniqueName="13" name="City" queryTableFieldId="13" dataDxfId="40"/>
    <tableColumn id="14" xr3:uid="{1CC26473-4969-48F8-AB05-6A9B517D2EA7}" uniqueName="14" name="Exit Date" queryTableFieldId="14" dataDxfId="39"/>
    <tableColumn id="15" xr3:uid="{B85F14F6-03A4-4666-988F-D7DBBD14A1EC}" uniqueName="15" name="Left status"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EBF431-F39C-4E15-AA1F-6B0AAEB20E84}" name="Sales_ETL" displayName="Sales_ETL" ref="A1:J1301" tableType="queryTable" totalsRowShown="0">
  <tableColumns count="10">
    <tableColumn id="10" xr3:uid="{E385B145-3352-4577-8AE1-7DABC196360E}" uniqueName="10" name="Order ID" queryTableFieldId="12" dataDxfId="32"/>
    <tableColumn id="1" xr3:uid="{88930C9B-56AE-4B48-863C-B2E728D381EB}" uniqueName="1" name="Date" queryTableFieldId="1" dataDxfId="31"/>
    <tableColumn id="2" xr3:uid="{B88478C2-26F5-4DA7-86DB-AF3C604C7482}" uniqueName="2" name="Item" queryTableFieldId="2" dataDxfId="30"/>
    <tableColumn id="3" xr3:uid="{290476FE-4049-4D59-BE79-2ED5F546EDCA}" uniqueName="3" name="Sales Rep" queryTableFieldId="3" dataDxfId="29"/>
    <tableColumn id="4" xr3:uid="{77211597-2F71-466D-A160-52B67CA12CC0}" uniqueName="4" name="Quantity" queryTableFieldId="4"/>
    <tableColumn id="5" xr3:uid="{50300A2D-A27F-4C52-AB4F-9C89FA1DBB6C}" uniqueName="5" name="Price" queryTableFieldId="5"/>
    <tableColumn id="6" xr3:uid="{A16A8AA9-AE1A-41DB-9C06-6AC36A7B472D}" uniqueName="6" name="Total sales" queryTableFieldId="6"/>
    <tableColumn id="7" xr3:uid="{44214564-1E46-4BC1-A3C1-EB3EB1B689CA}" uniqueName="7" name="Commission" queryTableFieldId="7"/>
    <tableColumn id="8" xr3:uid="{2C6CEAC4-0CCC-4DBD-8229-70B7CF7D1B9C}" uniqueName="8" name="State" queryTableFieldId="8" dataDxfId="28"/>
    <tableColumn id="9" xr3:uid="{9A1BD96C-1273-4DB3-82E7-03248307EB1A}" uniqueName="9" name="Total commission " queryTableFieldId="9"/>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table" Target="../tables/table3.xml"/><Relationship Id="rId4" Type="http://schemas.openxmlformats.org/officeDocument/2006/relationships/pivotTable" Target="../pivotTables/pivotTable1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microsoft.com/office/2007/relationships/slicer" Target="../slicers/slicer3.xml"/><Relationship Id="rId5" Type="http://schemas.openxmlformats.org/officeDocument/2006/relationships/pivotTable" Target="../pivotTables/pivotTable24.xml"/><Relationship Id="rId10" Type="http://schemas.openxmlformats.org/officeDocument/2006/relationships/drawing" Target="../drawings/drawing3.xml"/><Relationship Id="rId4" Type="http://schemas.openxmlformats.org/officeDocument/2006/relationships/pivotTable" Target="../pivotTables/pivotTable23.xml"/><Relationship Id="rId9" Type="http://schemas.openxmlformats.org/officeDocument/2006/relationships/pivotTable" Target="../pivotTables/pivotTable28.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CE38-D422-4C4C-AAC9-3BEEB1790CC5}">
  <dimension ref="B2:G13"/>
  <sheetViews>
    <sheetView topLeftCell="A4" zoomScale="175" zoomScaleNormal="175" workbookViewId="0">
      <selection activeCell="A8" sqref="A8"/>
    </sheetView>
  </sheetViews>
  <sheetFormatPr defaultRowHeight="14.4" x14ac:dyDescent="0.3"/>
  <cols>
    <col min="6" max="6" width="10.77734375" bestFit="1" customWidth="1"/>
  </cols>
  <sheetData>
    <row r="2" spans="2:7" x14ac:dyDescent="0.3">
      <c r="B2" t="s">
        <v>0</v>
      </c>
    </row>
    <row r="3" spans="2:7" x14ac:dyDescent="0.3">
      <c r="B3" t="s">
        <v>1</v>
      </c>
    </row>
    <row r="4" spans="2:7" x14ac:dyDescent="0.3">
      <c r="C4" s="2" t="s">
        <v>2</v>
      </c>
      <c r="D4" s="2"/>
    </row>
    <row r="5" spans="2:7" x14ac:dyDescent="0.3">
      <c r="C5" s="2" t="s">
        <v>3</v>
      </c>
    </row>
    <row r="6" spans="2:7" x14ac:dyDescent="0.3">
      <c r="C6" s="2" t="s">
        <v>4</v>
      </c>
    </row>
    <row r="7" spans="2:7" x14ac:dyDescent="0.3">
      <c r="C7" t="s">
        <v>5</v>
      </c>
    </row>
    <row r="8" spans="2:7" x14ac:dyDescent="0.3">
      <c r="C8" t="s">
        <v>6</v>
      </c>
      <c r="F8" t="s">
        <v>7</v>
      </c>
      <c r="G8" t="s">
        <v>8</v>
      </c>
    </row>
    <row r="9" spans="2:7" x14ac:dyDescent="0.3">
      <c r="B9" t="s">
        <v>9</v>
      </c>
    </row>
    <row r="10" spans="2:7" x14ac:dyDescent="0.3">
      <c r="C10" t="s">
        <v>10</v>
      </c>
    </row>
    <row r="11" spans="2:7" x14ac:dyDescent="0.3">
      <c r="C11" t="s">
        <v>11</v>
      </c>
    </row>
    <row r="12" spans="2:7" x14ac:dyDescent="0.3">
      <c r="C12" t="s">
        <v>12</v>
      </c>
    </row>
    <row r="13" spans="2:7" x14ac:dyDescent="0.3">
      <c r="C1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1131-0AB6-493D-99AC-FC3C53D3DC6E}">
  <dimension ref="A1:K1001"/>
  <sheetViews>
    <sheetView workbookViewId="0">
      <selection activeCell="B8" sqref="B8"/>
    </sheetView>
  </sheetViews>
  <sheetFormatPr defaultRowHeight="14.4" x14ac:dyDescent="0.3"/>
  <cols>
    <col min="1" max="1" width="25.5546875" bestFit="1" customWidth="1"/>
    <col min="2" max="2" width="15.6640625" bestFit="1" customWidth="1"/>
    <col min="3" max="3" width="21.88671875" bestFit="1" customWidth="1"/>
    <col min="4" max="4" width="7.109375" bestFit="1" customWidth="1"/>
    <col min="5" max="5" width="4.21875" bestFit="1" customWidth="1"/>
    <col min="6" max="6" width="10.33203125" bestFit="1" customWidth="1"/>
    <col min="7" max="7" width="12.5546875" bestFit="1" customWidth="1"/>
    <col min="8" max="8" width="8.109375" bestFit="1" customWidth="1"/>
    <col min="9" max="9" width="11.88671875" bestFit="1" customWidth="1"/>
    <col min="10" max="10" width="12.44140625" bestFit="1" customWidth="1"/>
    <col min="11" max="11" width="10.33203125" bestFit="1" customWidth="1"/>
  </cols>
  <sheetData>
    <row r="1" spans="1:11" x14ac:dyDescent="0.3">
      <c r="A1" s="3" t="s">
        <v>14</v>
      </c>
      <c r="B1" s="4" t="s">
        <v>15</v>
      </c>
      <c r="C1" s="4" t="s">
        <v>16</v>
      </c>
      <c r="D1" s="4" t="s">
        <v>17</v>
      </c>
      <c r="E1" s="4" t="s">
        <v>18</v>
      </c>
      <c r="F1" s="4" t="s">
        <v>19</v>
      </c>
      <c r="G1" s="4" t="s">
        <v>20</v>
      </c>
      <c r="H1" s="4" t="s">
        <v>21</v>
      </c>
      <c r="I1" s="4" t="s">
        <v>22</v>
      </c>
      <c r="J1" s="4" t="s">
        <v>23</v>
      </c>
      <c r="K1" s="5" t="s">
        <v>24</v>
      </c>
    </row>
    <row r="2" spans="1:11" x14ac:dyDescent="0.3">
      <c r="A2" s="6" t="s">
        <v>25</v>
      </c>
      <c r="B2" s="1" t="s">
        <v>26</v>
      </c>
      <c r="C2" s="1" t="s">
        <v>27</v>
      </c>
      <c r="D2" s="1" t="s">
        <v>28</v>
      </c>
      <c r="E2" s="1">
        <v>55</v>
      </c>
      <c r="F2" s="7">
        <v>42468</v>
      </c>
      <c r="G2" s="8">
        <v>141604</v>
      </c>
      <c r="H2" s="9">
        <v>0.15</v>
      </c>
      <c r="I2" s="1" t="s">
        <v>29</v>
      </c>
      <c r="J2" s="1" t="s">
        <v>30</v>
      </c>
      <c r="K2" s="10">
        <v>44485</v>
      </c>
    </row>
    <row r="3" spans="1:11" x14ac:dyDescent="0.3">
      <c r="A3" s="6" t="s">
        <v>31</v>
      </c>
      <c r="B3" s="1" t="s">
        <v>26</v>
      </c>
      <c r="C3" s="1" t="s">
        <v>32</v>
      </c>
      <c r="D3" s="1" t="s">
        <v>33</v>
      </c>
      <c r="E3" s="1">
        <v>59</v>
      </c>
      <c r="F3" s="7">
        <v>35763</v>
      </c>
      <c r="G3" s="8">
        <v>99975</v>
      </c>
      <c r="H3" s="9">
        <v>0</v>
      </c>
      <c r="I3" s="1" t="s">
        <v>34</v>
      </c>
      <c r="J3" s="1" t="s">
        <v>35</v>
      </c>
      <c r="K3" s="10" t="s">
        <v>36</v>
      </c>
    </row>
    <row r="4" spans="1:11" x14ac:dyDescent="0.3">
      <c r="A4" s="6" t="s">
        <v>37</v>
      </c>
      <c r="B4" s="1" t="s">
        <v>38</v>
      </c>
      <c r="C4" s="1" t="s">
        <v>39</v>
      </c>
      <c r="D4" s="1" t="s">
        <v>28</v>
      </c>
      <c r="E4" s="1">
        <v>50</v>
      </c>
      <c r="F4" s="7">
        <v>39016</v>
      </c>
      <c r="G4" s="8">
        <v>163099</v>
      </c>
      <c r="H4" s="9">
        <v>0.2</v>
      </c>
      <c r="I4" s="1" t="s">
        <v>29</v>
      </c>
      <c r="J4" s="1" t="s">
        <v>40</v>
      </c>
      <c r="K4" s="10" t="s">
        <v>36</v>
      </c>
    </row>
    <row r="5" spans="1:11" x14ac:dyDescent="0.3">
      <c r="A5" s="6" t="s">
        <v>41</v>
      </c>
      <c r="B5" s="1" t="s">
        <v>26</v>
      </c>
      <c r="C5" s="1" t="s">
        <v>32</v>
      </c>
      <c r="D5" s="1" t="s">
        <v>28</v>
      </c>
      <c r="E5" s="1">
        <v>26</v>
      </c>
      <c r="F5" s="7">
        <v>43735</v>
      </c>
      <c r="G5" s="8">
        <v>84913</v>
      </c>
      <c r="H5" s="9">
        <v>7.0000000000000007E-2</v>
      </c>
      <c r="I5" s="1" t="s">
        <v>29</v>
      </c>
      <c r="J5" s="1" t="s">
        <v>40</v>
      </c>
      <c r="K5" s="10" t="s">
        <v>36</v>
      </c>
    </row>
    <row r="6" spans="1:11" x14ac:dyDescent="0.3">
      <c r="A6" s="6" t="s">
        <v>42</v>
      </c>
      <c r="B6" s="1" t="s">
        <v>38</v>
      </c>
      <c r="C6" s="1" t="s">
        <v>32</v>
      </c>
      <c r="D6" s="1" t="s">
        <v>33</v>
      </c>
      <c r="E6" s="1">
        <v>55</v>
      </c>
      <c r="F6" s="7">
        <v>35023</v>
      </c>
      <c r="G6" s="8">
        <v>95409</v>
      </c>
      <c r="H6" s="9">
        <v>0</v>
      </c>
      <c r="I6" s="1" t="s">
        <v>29</v>
      </c>
      <c r="J6" s="1" t="s">
        <v>43</v>
      </c>
      <c r="K6" s="10" t="s">
        <v>36</v>
      </c>
    </row>
    <row r="7" spans="1:11" x14ac:dyDescent="0.3">
      <c r="A7" s="6" t="s">
        <v>44</v>
      </c>
      <c r="B7" s="1" t="s">
        <v>45</v>
      </c>
      <c r="C7" s="1" t="s">
        <v>46</v>
      </c>
      <c r="D7" s="1" t="s">
        <v>33</v>
      </c>
      <c r="E7" s="1">
        <v>57</v>
      </c>
      <c r="F7" s="7">
        <v>42759</v>
      </c>
      <c r="G7" s="8">
        <v>50994</v>
      </c>
      <c r="H7" s="9">
        <v>0</v>
      </c>
      <c r="I7" s="1" t="s">
        <v>34</v>
      </c>
      <c r="J7" s="1" t="s">
        <v>35</v>
      </c>
      <c r="K7" s="10" t="s">
        <v>36</v>
      </c>
    </row>
    <row r="8" spans="1:11" x14ac:dyDescent="0.3">
      <c r="A8" s="6" t="s">
        <v>47</v>
      </c>
      <c r="B8" s="1" t="s">
        <v>26</v>
      </c>
      <c r="C8" s="1" t="s">
        <v>46</v>
      </c>
      <c r="D8" s="1" t="s">
        <v>28</v>
      </c>
      <c r="E8" s="1">
        <v>27</v>
      </c>
      <c r="F8" s="7">
        <v>44013</v>
      </c>
      <c r="G8" s="8">
        <v>119746</v>
      </c>
      <c r="H8" s="9">
        <v>0.1</v>
      </c>
      <c r="I8" s="1" t="s">
        <v>29</v>
      </c>
      <c r="J8" s="1" t="s">
        <v>43</v>
      </c>
      <c r="K8" s="10" t="s">
        <v>36</v>
      </c>
    </row>
    <row r="9" spans="1:11" x14ac:dyDescent="0.3">
      <c r="A9" s="6" t="s">
        <v>48</v>
      </c>
      <c r="B9" s="1" t="s">
        <v>38</v>
      </c>
      <c r="C9" s="1" t="s">
        <v>32</v>
      </c>
      <c r="D9" s="1" t="s">
        <v>33</v>
      </c>
      <c r="E9" s="1">
        <v>25</v>
      </c>
      <c r="F9" s="7">
        <v>43967</v>
      </c>
      <c r="G9" s="8">
        <v>41336</v>
      </c>
      <c r="H9" s="9">
        <v>0</v>
      </c>
      <c r="I9" s="1" t="s">
        <v>29</v>
      </c>
      <c r="J9" s="1" t="s">
        <v>49</v>
      </c>
      <c r="K9" s="10">
        <v>44336</v>
      </c>
    </row>
    <row r="10" spans="1:11" x14ac:dyDescent="0.3">
      <c r="A10" s="6" t="s">
        <v>47</v>
      </c>
      <c r="B10" s="1" t="s">
        <v>50</v>
      </c>
      <c r="C10" s="1" t="s">
        <v>32</v>
      </c>
      <c r="D10" s="1" t="s">
        <v>33</v>
      </c>
      <c r="E10" s="1">
        <v>29</v>
      </c>
      <c r="F10" s="7">
        <v>43490</v>
      </c>
      <c r="G10" s="8">
        <v>113527</v>
      </c>
      <c r="H10" s="9">
        <v>0.06</v>
      </c>
      <c r="I10" s="1" t="s">
        <v>29</v>
      </c>
      <c r="J10" s="1" t="s">
        <v>51</v>
      </c>
      <c r="K10" s="10" t="s">
        <v>36</v>
      </c>
    </row>
    <row r="11" spans="1:11" x14ac:dyDescent="0.3">
      <c r="A11" s="6" t="s">
        <v>42</v>
      </c>
      <c r="B11" s="1" t="s">
        <v>38</v>
      </c>
      <c r="C11" s="1" t="s">
        <v>39</v>
      </c>
      <c r="D11" s="1" t="s">
        <v>28</v>
      </c>
      <c r="E11" s="1">
        <v>34</v>
      </c>
      <c r="F11" s="7">
        <v>43264</v>
      </c>
      <c r="G11" s="8">
        <v>77203</v>
      </c>
      <c r="H11" s="9">
        <v>0</v>
      </c>
      <c r="I11" s="1" t="s">
        <v>29</v>
      </c>
      <c r="J11" s="1" t="s">
        <v>40</v>
      </c>
      <c r="K11" s="10" t="s">
        <v>36</v>
      </c>
    </row>
    <row r="12" spans="1:11" x14ac:dyDescent="0.3">
      <c r="A12" s="6" t="s">
        <v>25</v>
      </c>
      <c r="B12" s="1" t="s">
        <v>52</v>
      </c>
      <c r="C12" s="1" t="s">
        <v>32</v>
      </c>
      <c r="D12" s="1" t="s">
        <v>28</v>
      </c>
      <c r="E12" s="1">
        <v>36</v>
      </c>
      <c r="F12" s="7">
        <v>39855</v>
      </c>
      <c r="G12" s="8">
        <v>157333</v>
      </c>
      <c r="H12" s="9">
        <v>0.15</v>
      </c>
      <c r="I12" s="1" t="s">
        <v>29</v>
      </c>
      <c r="J12" s="1" t="s">
        <v>49</v>
      </c>
      <c r="K12" s="10" t="s">
        <v>36</v>
      </c>
    </row>
    <row r="13" spans="1:11" x14ac:dyDescent="0.3">
      <c r="A13" s="6" t="s">
        <v>53</v>
      </c>
      <c r="B13" s="1" t="s">
        <v>54</v>
      </c>
      <c r="C13" s="1" t="s">
        <v>39</v>
      </c>
      <c r="D13" s="1" t="s">
        <v>28</v>
      </c>
      <c r="E13" s="1">
        <v>27</v>
      </c>
      <c r="F13" s="7">
        <v>44490</v>
      </c>
      <c r="G13" s="8">
        <v>109851</v>
      </c>
      <c r="H13" s="9">
        <v>0</v>
      </c>
      <c r="I13" s="1" t="s">
        <v>29</v>
      </c>
      <c r="J13" s="1" t="s">
        <v>30</v>
      </c>
      <c r="K13" s="10" t="s">
        <v>36</v>
      </c>
    </row>
    <row r="14" spans="1:11" x14ac:dyDescent="0.3">
      <c r="A14" s="6" t="s">
        <v>47</v>
      </c>
      <c r="B14" s="1" t="s">
        <v>52</v>
      </c>
      <c r="C14" s="1" t="s">
        <v>32</v>
      </c>
      <c r="D14" s="1" t="s">
        <v>33</v>
      </c>
      <c r="E14" s="1">
        <v>59</v>
      </c>
      <c r="F14" s="7">
        <v>36233</v>
      </c>
      <c r="G14" s="8">
        <v>105086</v>
      </c>
      <c r="H14" s="9">
        <v>0.09</v>
      </c>
      <c r="I14" s="1" t="s">
        <v>29</v>
      </c>
      <c r="J14" s="1" t="s">
        <v>51</v>
      </c>
      <c r="K14" s="10" t="s">
        <v>36</v>
      </c>
    </row>
    <row r="15" spans="1:11" x14ac:dyDescent="0.3">
      <c r="A15" s="6" t="s">
        <v>25</v>
      </c>
      <c r="B15" s="1" t="s">
        <v>38</v>
      </c>
      <c r="C15" s="1" t="s">
        <v>27</v>
      </c>
      <c r="D15" s="1" t="s">
        <v>28</v>
      </c>
      <c r="E15" s="1">
        <v>51</v>
      </c>
      <c r="F15" s="7">
        <v>44357</v>
      </c>
      <c r="G15" s="8">
        <v>146742</v>
      </c>
      <c r="H15" s="9">
        <v>0.1</v>
      </c>
      <c r="I15" s="1" t="s">
        <v>34</v>
      </c>
      <c r="J15" s="1" t="s">
        <v>55</v>
      </c>
      <c r="K15" s="10" t="s">
        <v>36</v>
      </c>
    </row>
    <row r="16" spans="1:11" x14ac:dyDescent="0.3">
      <c r="A16" s="6" t="s">
        <v>42</v>
      </c>
      <c r="B16" s="1" t="s">
        <v>50</v>
      </c>
      <c r="C16" s="1" t="s">
        <v>39</v>
      </c>
      <c r="D16" s="1" t="s">
        <v>33</v>
      </c>
      <c r="E16" s="1">
        <v>31</v>
      </c>
      <c r="F16" s="7">
        <v>43043</v>
      </c>
      <c r="G16" s="8">
        <v>97078</v>
      </c>
      <c r="H16" s="9">
        <v>0</v>
      </c>
      <c r="I16" s="1" t="s">
        <v>29</v>
      </c>
      <c r="J16" s="1" t="s">
        <v>51</v>
      </c>
      <c r="K16" s="10">
        <v>43899</v>
      </c>
    </row>
    <row r="17" spans="1:11" x14ac:dyDescent="0.3">
      <c r="A17" s="6" t="s">
        <v>56</v>
      </c>
      <c r="B17" s="1" t="s">
        <v>57</v>
      </c>
      <c r="C17" s="1" t="s">
        <v>27</v>
      </c>
      <c r="D17" s="1" t="s">
        <v>28</v>
      </c>
      <c r="E17" s="1">
        <v>41</v>
      </c>
      <c r="F17" s="7">
        <v>41346</v>
      </c>
      <c r="G17" s="8">
        <v>249270</v>
      </c>
      <c r="H17" s="9">
        <v>0.3</v>
      </c>
      <c r="I17" s="1" t="s">
        <v>29</v>
      </c>
      <c r="J17" s="1" t="s">
        <v>30</v>
      </c>
      <c r="K17" s="10" t="s">
        <v>36</v>
      </c>
    </row>
    <row r="18" spans="1:11" x14ac:dyDescent="0.3">
      <c r="A18" s="6" t="s">
        <v>37</v>
      </c>
      <c r="B18" s="1" t="s">
        <v>38</v>
      </c>
      <c r="C18" s="1" t="s">
        <v>27</v>
      </c>
      <c r="D18" s="1" t="s">
        <v>28</v>
      </c>
      <c r="E18" s="1">
        <v>65</v>
      </c>
      <c r="F18" s="7">
        <v>37319</v>
      </c>
      <c r="G18" s="8">
        <v>175837</v>
      </c>
      <c r="H18" s="9">
        <v>0.2</v>
      </c>
      <c r="I18" s="1" t="s">
        <v>29</v>
      </c>
      <c r="J18" s="1" t="s">
        <v>43</v>
      </c>
      <c r="K18" s="10" t="s">
        <v>36</v>
      </c>
    </row>
    <row r="19" spans="1:11" x14ac:dyDescent="0.3">
      <c r="A19" s="6" t="s">
        <v>25</v>
      </c>
      <c r="B19" s="1" t="s">
        <v>57</v>
      </c>
      <c r="C19" s="1" t="s">
        <v>39</v>
      </c>
      <c r="D19" s="1" t="s">
        <v>28</v>
      </c>
      <c r="E19" s="1">
        <v>64</v>
      </c>
      <c r="F19" s="7">
        <v>37956</v>
      </c>
      <c r="G19" s="8">
        <v>154828</v>
      </c>
      <c r="H19" s="9">
        <v>0.13</v>
      </c>
      <c r="I19" s="1" t="s">
        <v>29</v>
      </c>
      <c r="J19" s="1" t="s">
        <v>30</v>
      </c>
      <c r="K19" s="10" t="s">
        <v>36</v>
      </c>
    </row>
    <row r="20" spans="1:11" x14ac:dyDescent="0.3">
      <c r="A20" s="6" t="s">
        <v>37</v>
      </c>
      <c r="B20" s="1" t="s">
        <v>26</v>
      </c>
      <c r="C20" s="1" t="s">
        <v>46</v>
      </c>
      <c r="D20" s="1" t="s">
        <v>33</v>
      </c>
      <c r="E20" s="1">
        <v>64</v>
      </c>
      <c r="F20" s="7">
        <v>41581</v>
      </c>
      <c r="G20" s="8">
        <v>186503</v>
      </c>
      <c r="H20" s="9">
        <v>0.24</v>
      </c>
      <c r="I20" s="1" t="s">
        <v>29</v>
      </c>
      <c r="J20" s="1" t="s">
        <v>58</v>
      </c>
      <c r="K20" s="10" t="s">
        <v>36</v>
      </c>
    </row>
    <row r="21" spans="1:11" x14ac:dyDescent="0.3">
      <c r="A21" s="6" t="s">
        <v>37</v>
      </c>
      <c r="B21" s="1" t="s">
        <v>45</v>
      </c>
      <c r="C21" s="1" t="s">
        <v>27</v>
      </c>
      <c r="D21" s="1" t="s">
        <v>33</v>
      </c>
      <c r="E21" s="1">
        <v>45</v>
      </c>
      <c r="F21" s="7">
        <v>37446</v>
      </c>
      <c r="G21" s="8">
        <v>166331</v>
      </c>
      <c r="H21" s="9">
        <v>0.18</v>
      </c>
      <c r="I21" s="1" t="s">
        <v>34</v>
      </c>
      <c r="J21" s="1" t="s">
        <v>35</v>
      </c>
      <c r="K21" s="10" t="s">
        <v>36</v>
      </c>
    </row>
    <row r="22" spans="1:11" x14ac:dyDescent="0.3">
      <c r="A22" s="6" t="s">
        <v>25</v>
      </c>
      <c r="B22" s="1" t="s">
        <v>26</v>
      </c>
      <c r="C22" s="1" t="s">
        <v>32</v>
      </c>
      <c r="D22" s="1" t="s">
        <v>33</v>
      </c>
      <c r="E22" s="1">
        <v>56</v>
      </c>
      <c r="F22" s="7">
        <v>40917</v>
      </c>
      <c r="G22" s="8">
        <v>146140</v>
      </c>
      <c r="H22" s="9">
        <v>0.1</v>
      </c>
      <c r="I22" s="1" t="s">
        <v>59</v>
      </c>
      <c r="J22" s="1" t="s">
        <v>60</v>
      </c>
      <c r="K22" s="10" t="s">
        <v>36</v>
      </c>
    </row>
    <row r="23" spans="1:11" x14ac:dyDescent="0.3">
      <c r="A23" s="6" t="s">
        <v>37</v>
      </c>
      <c r="B23" s="1" t="s">
        <v>45</v>
      </c>
      <c r="C23" s="1" t="s">
        <v>32</v>
      </c>
      <c r="D23" s="1" t="s">
        <v>28</v>
      </c>
      <c r="E23" s="1">
        <v>36</v>
      </c>
      <c r="F23" s="7">
        <v>44288</v>
      </c>
      <c r="G23" s="8">
        <v>151703</v>
      </c>
      <c r="H23" s="9">
        <v>0.21</v>
      </c>
      <c r="I23" s="1" t="s">
        <v>29</v>
      </c>
      <c r="J23" s="1" t="s">
        <v>49</v>
      </c>
      <c r="K23" s="10" t="s">
        <v>36</v>
      </c>
    </row>
    <row r="24" spans="1:11" x14ac:dyDescent="0.3">
      <c r="A24" s="6" t="s">
        <v>37</v>
      </c>
      <c r="B24" s="1" t="s">
        <v>26</v>
      </c>
      <c r="C24" s="1" t="s">
        <v>27</v>
      </c>
      <c r="D24" s="1" t="s">
        <v>33</v>
      </c>
      <c r="E24" s="1">
        <v>59</v>
      </c>
      <c r="F24" s="7">
        <v>37400</v>
      </c>
      <c r="G24" s="8">
        <v>172787</v>
      </c>
      <c r="H24" s="9">
        <v>0.28000000000000003</v>
      </c>
      <c r="I24" s="1" t="s">
        <v>59</v>
      </c>
      <c r="J24" s="1" t="s">
        <v>61</v>
      </c>
      <c r="K24" s="10" t="s">
        <v>36</v>
      </c>
    </row>
    <row r="25" spans="1:11" x14ac:dyDescent="0.3">
      <c r="A25" s="6" t="s">
        <v>48</v>
      </c>
      <c r="B25" s="1" t="s">
        <v>45</v>
      </c>
      <c r="C25" s="1" t="s">
        <v>39</v>
      </c>
      <c r="D25" s="1" t="s">
        <v>33</v>
      </c>
      <c r="E25" s="1">
        <v>37</v>
      </c>
      <c r="F25" s="7">
        <v>43713</v>
      </c>
      <c r="G25" s="8">
        <v>49998</v>
      </c>
      <c r="H25" s="9">
        <v>0</v>
      </c>
      <c r="I25" s="1" t="s">
        <v>29</v>
      </c>
      <c r="J25" s="1" t="s">
        <v>30</v>
      </c>
      <c r="K25" s="10" t="s">
        <v>36</v>
      </c>
    </row>
    <row r="26" spans="1:11" x14ac:dyDescent="0.3">
      <c r="A26" s="6" t="s">
        <v>56</v>
      </c>
      <c r="B26" s="1" t="s">
        <v>45</v>
      </c>
      <c r="C26" s="1" t="s">
        <v>39</v>
      </c>
      <c r="D26" s="1" t="s">
        <v>33</v>
      </c>
      <c r="E26" s="1">
        <v>44</v>
      </c>
      <c r="F26" s="7">
        <v>41700</v>
      </c>
      <c r="G26" s="8">
        <v>207172</v>
      </c>
      <c r="H26" s="9">
        <v>0.31</v>
      </c>
      <c r="I26" s="1" t="s">
        <v>34</v>
      </c>
      <c r="J26" s="1" t="s">
        <v>35</v>
      </c>
      <c r="K26" s="10" t="s">
        <v>36</v>
      </c>
    </row>
    <row r="27" spans="1:11" x14ac:dyDescent="0.3">
      <c r="A27" s="6" t="s">
        <v>37</v>
      </c>
      <c r="B27" s="1" t="s">
        <v>52</v>
      </c>
      <c r="C27" s="1" t="s">
        <v>39</v>
      </c>
      <c r="D27" s="1" t="s">
        <v>33</v>
      </c>
      <c r="E27" s="1">
        <v>41</v>
      </c>
      <c r="F27" s="7">
        <v>42111</v>
      </c>
      <c r="G27" s="8">
        <v>152239</v>
      </c>
      <c r="H27" s="9">
        <v>0.23</v>
      </c>
      <c r="I27" s="1" t="s">
        <v>29</v>
      </c>
      <c r="J27" s="1" t="s">
        <v>58</v>
      </c>
      <c r="K27" s="10" t="s">
        <v>36</v>
      </c>
    </row>
    <row r="28" spans="1:11" x14ac:dyDescent="0.3">
      <c r="A28" s="6" t="s">
        <v>62</v>
      </c>
      <c r="B28" s="1" t="s">
        <v>54</v>
      </c>
      <c r="C28" s="1" t="s">
        <v>46</v>
      </c>
      <c r="D28" s="1" t="s">
        <v>28</v>
      </c>
      <c r="E28" s="1">
        <v>56</v>
      </c>
      <c r="F28" s="7">
        <v>38388</v>
      </c>
      <c r="G28" s="8">
        <v>98581</v>
      </c>
      <c r="H28" s="9">
        <v>0</v>
      </c>
      <c r="I28" s="1" t="s">
        <v>59</v>
      </c>
      <c r="J28" s="1" t="s">
        <v>61</v>
      </c>
      <c r="K28" s="10" t="s">
        <v>36</v>
      </c>
    </row>
    <row r="29" spans="1:11" x14ac:dyDescent="0.3">
      <c r="A29" s="6" t="s">
        <v>56</v>
      </c>
      <c r="B29" s="1" t="s">
        <v>54</v>
      </c>
      <c r="C29" s="1" t="s">
        <v>39</v>
      </c>
      <c r="D29" s="1" t="s">
        <v>33</v>
      </c>
      <c r="E29" s="1">
        <v>43</v>
      </c>
      <c r="F29" s="7">
        <v>38145</v>
      </c>
      <c r="G29" s="8">
        <v>246231</v>
      </c>
      <c r="H29" s="9">
        <v>0.31</v>
      </c>
      <c r="I29" s="1" t="s">
        <v>29</v>
      </c>
      <c r="J29" s="1" t="s">
        <v>30</v>
      </c>
      <c r="K29" s="10" t="s">
        <v>36</v>
      </c>
    </row>
    <row r="30" spans="1:11" x14ac:dyDescent="0.3">
      <c r="A30" s="6" t="s">
        <v>63</v>
      </c>
      <c r="B30" s="1" t="s">
        <v>54</v>
      </c>
      <c r="C30" s="1" t="s">
        <v>39</v>
      </c>
      <c r="D30" s="1" t="s">
        <v>33</v>
      </c>
      <c r="E30" s="1">
        <v>64</v>
      </c>
      <c r="F30" s="7">
        <v>35403</v>
      </c>
      <c r="G30" s="8">
        <v>99354</v>
      </c>
      <c r="H30" s="9">
        <v>0.12</v>
      </c>
      <c r="I30" s="1" t="s">
        <v>34</v>
      </c>
      <c r="J30" s="1" t="s">
        <v>64</v>
      </c>
      <c r="K30" s="10" t="s">
        <v>36</v>
      </c>
    </row>
    <row r="31" spans="1:11" x14ac:dyDescent="0.3">
      <c r="A31" s="6" t="s">
        <v>56</v>
      </c>
      <c r="B31" s="1" t="s">
        <v>26</v>
      </c>
      <c r="C31" s="1" t="s">
        <v>46</v>
      </c>
      <c r="D31" s="1" t="s">
        <v>33</v>
      </c>
      <c r="E31" s="1">
        <v>63</v>
      </c>
      <c r="F31" s="7">
        <v>41040</v>
      </c>
      <c r="G31" s="8">
        <v>231141</v>
      </c>
      <c r="H31" s="9">
        <v>0.34</v>
      </c>
      <c r="I31" s="1" t="s">
        <v>34</v>
      </c>
      <c r="J31" s="1" t="s">
        <v>64</v>
      </c>
      <c r="K31" s="10" t="s">
        <v>36</v>
      </c>
    </row>
    <row r="32" spans="1:11" x14ac:dyDescent="0.3">
      <c r="A32" s="6" t="s">
        <v>65</v>
      </c>
      <c r="B32" s="1" t="s">
        <v>26</v>
      </c>
      <c r="C32" s="1" t="s">
        <v>27</v>
      </c>
      <c r="D32" s="1" t="s">
        <v>33</v>
      </c>
      <c r="E32" s="1">
        <v>28</v>
      </c>
      <c r="F32" s="7">
        <v>42911</v>
      </c>
      <c r="G32" s="8">
        <v>54775</v>
      </c>
      <c r="H32" s="9">
        <v>0</v>
      </c>
      <c r="I32" s="1" t="s">
        <v>29</v>
      </c>
      <c r="J32" s="1" t="s">
        <v>58</v>
      </c>
      <c r="K32" s="10" t="s">
        <v>36</v>
      </c>
    </row>
    <row r="33" spans="1:11" x14ac:dyDescent="0.3">
      <c r="A33" s="6" t="s">
        <v>48</v>
      </c>
      <c r="B33" s="1" t="s">
        <v>38</v>
      </c>
      <c r="C33" s="1" t="s">
        <v>32</v>
      </c>
      <c r="D33" s="1" t="s">
        <v>33</v>
      </c>
      <c r="E33" s="1">
        <v>65</v>
      </c>
      <c r="F33" s="7">
        <v>38123</v>
      </c>
      <c r="G33" s="8">
        <v>55499</v>
      </c>
      <c r="H33" s="9">
        <v>0</v>
      </c>
      <c r="I33" s="1" t="s">
        <v>59</v>
      </c>
      <c r="J33" s="1" t="s">
        <v>60</v>
      </c>
      <c r="K33" s="10" t="s">
        <v>36</v>
      </c>
    </row>
    <row r="34" spans="1:11" x14ac:dyDescent="0.3">
      <c r="A34" s="6" t="s">
        <v>66</v>
      </c>
      <c r="B34" s="1" t="s">
        <v>45</v>
      </c>
      <c r="C34" s="1" t="s">
        <v>27</v>
      </c>
      <c r="D34" s="1" t="s">
        <v>33</v>
      </c>
      <c r="E34" s="1">
        <v>61</v>
      </c>
      <c r="F34" s="7">
        <v>39640</v>
      </c>
      <c r="G34" s="8">
        <v>66521</v>
      </c>
      <c r="H34" s="9">
        <v>0</v>
      </c>
      <c r="I34" s="1" t="s">
        <v>29</v>
      </c>
      <c r="J34" s="1" t="s">
        <v>30</v>
      </c>
      <c r="K34" s="10" t="s">
        <v>36</v>
      </c>
    </row>
    <row r="35" spans="1:11" x14ac:dyDescent="0.3">
      <c r="A35" s="6" t="s">
        <v>44</v>
      </c>
      <c r="B35" s="1" t="s">
        <v>45</v>
      </c>
      <c r="C35" s="1" t="s">
        <v>39</v>
      </c>
      <c r="D35" s="1" t="s">
        <v>33</v>
      </c>
      <c r="E35" s="1">
        <v>30</v>
      </c>
      <c r="F35" s="7">
        <v>42642</v>
      </c>
      <c r="G35" s="8">
        <v>59100</v>
      </c>
      <c r="H35" s="9">
        <v>0</v>
      </c>
      <c r="I35" s="1" t="s">
        <v>34</v>
      </c>
      <c r="J35" s="1" t="s">
        <v>35</v>
      </c>
      <c r="K35" s="10" t="s">
        <v>36</v>
      </c>
    </row>
    <row r="36" spans="1:11" x14ac:dyDescent="0.3">
      <c r="A36" s="6" t="s">
        <v>48</v>
      </c>
      <c r="B36" s="1" t="s">
        <v>38</v>
      </c>
      <c r="C36" s="1" t="s">
        <v>27</v>
      </c>
      <c r="D36" s="1" t="s">
        <v>28</v>
      </c>
      <c r="E36" s="1">
        <v>27</v>
      </c>
      <c r="F36" s="7">
        <v>43226</v>
      </c>
      <c r="G36" s="8">
        <v>49011</v>
      </c>
      <c r="H36" s="9">
        <v>0</v>
      </c>
      <c r="I36" s="1" t="s">
        <v>29</v>
      </c>
      <c r="J36" s="1" t="s">
        <v>40</v>
      </c>
      <c r="K36" s="10" t="s">
        <v>36</v>
      </c>
    </row>
    <row r="37" spans="1:11" x14ac:dyDescent="0.3">
      <c r="A37" s="6" t="s">
        <v>67</v>
      </c>
      <c r="B37" s="1" t="s">
        <v>26</v>
      </c>
      <c r="C37" s="1" t="s">
        <v>32</v>
      </c>
      <c r="D37" s="1" t="s">
        <v>28</v>
      </c>
      <c r="E37" s="1">
        <v>32</v>
      </c>
      <c r="F37" s="7">
        <v>41681</v>
      </c>
      <c r="G37" s="8">
        <v>99575</v>
      </c>
      <c r="H37" s="9">
        <v>0</v>
      </c>
      <c r="I37" s="1" t="s">
        <v>29</v>
      </c>
      <c r="J37" s="1" t="s">
        <v>51</v>
      </c>
      <c r="K37" s="10" t="s">
        <v>36</v>
      </c>
    </row>
    <row r="38" spans="1:11" x14ac:dyDescent="0.3">
      <c r="A38" s="6" t="s">
        <v>53</v>
      </c>
      <c r="B38" s="1" t="s">
        <v>54</v>
      </c>
      <c r="C38" s="1" t="s">
        <v>32</v>
      </c>
      <c r="D38" s="1" t="s">
        <v>28</v>
      </c>
      <c r="E38" s="1">
        <v>34</v>
      </c>
      <c r="F38" s="7">
        <v>43815</v>
      </c>
      <c r="G38" s="8">
        <v>99989</v>
      </c>
      <c r="H38" s="9">
        <v>0</v>
      </c>
      <c r="I38" s="1" t="s">
        <v>34</v>
      </c>
      <c r="J38" s="1" t="s">
        <v>68</v>
      </c>
      <c r="K38" s="10" t="s">
        <v>36</v>
      </c>
    </row>
    <row r="39" spans="1:11" x14ac:dyDescent="0.3">
      <c r="A39" s="6" t="s">
        <v>56</v>
      </c>
      <c r="B39" s="1" t="s">
        <v>57</v>
      </c>
      <c r="C39" s="1" t="s">
        <v>27</v>
      </c>
      <c r="D39" s="1" t="s">
        <v>33</v>
      </c>
      <c r="E39" s="1">
        <v>27</v>
      </c>
      <c r="F39" s="7">
        <v>43758</v>
      </c>
      <c r="G39" s="8">
        <v>256420</v>
      </c>
      <c r="H39" s="9">
        <v>0.3</v>
      </c>
      <c r="I39" s="1" t="s">
        <v>29</v>
      </c>
      <c r="J39" s="1" t="s">
        <v>43</v>
      </c>
      <c r="K39" s="10" t="s">
        <v>36</v>
      </c>
    </row>
    <row r="40" spans="1:11" x14ac:dyDescent="0.3">
      <c r="A40" s="6" t="s">
        <v>31</v>
      </c>
      <c r="B40" s="1" t="s">
        <v>26</v>
      </c>
      <c r="C40" s="1" t="s">
        <v>32</v>
      </c>
      <c r="D40" s="1" t="s">
        <v>28</v>
      </c>
      <c r="E40" s="1">
        <v>35</v>
      </c>
      <c r="F40" s="7">
        <v>41409</v>
      </c>
      <c r="G40" s="8">
        <v>78940</v>
      </c>
      <c r="H40" s="9">
        <v>0</v>
      </c>
      <c r="I40" s="1" t="s">
        <v>29</v>
      </c>
      <c r="J40" s="1" t="s">
        <v>49</v>
      </c>
      <c r="K40" s="10" t="s">
        <v>36</v>
      </c>
    </row>
    <row r="41" spans="1:11" x14ac:dyDescent="0.3">
      <c r="A41" s="6" t="s">
        <v>67</v>
      </c>
      <c r="B41" s="1" t="s">
        <v>26</v>
      </c>
      <c r="C41" s="1" t="s">
        <v>46</v>
      </c>
      <c r="D41" s="1" t="s">
        <v>28</v>
      </c>
      <c r="E41" s="1">
        <v>57</v>
      </c>
      <c r="F41" s="7">
        <v>34337</v>
      </c>
      <c r="G41" s="8">
        <v>82872</v>
      </c>
      <c r="H41" s="9">
        <v>0</v>
      </c>
      <c r="I41" s="1" t="s">
        <v>59</v>
      </c>
      <c r="J41" s="1" t="s">
        <v>60</v>
      </c>
      <c r="K41" s="10" t="s">
        <v>36</v>
      </c>
    </row>
    <row r="42" spans="1:11" x14ac:dyDescent="0.3">
      <c r="A42" s="6" t="s">
        <v>69</v>
      </c>
      <c r="B42" s="1" t="s">
        <v>52</v>
      </c>
      <c r="C42" s="1" t="s">
        <v>39</v>
      </c>
      <c r="D42" s="1" t="s">
        <v>33</v>
      </c>
      <c r="E42" s="1">
        <v>30</v>
      </c>
      <c r="F42" s="7">
        <v>42884</v>
      </c>
      <c r="G42" s="8">
        <v>86317</v>
      </c>
      <c r="H42" s="9">
        <v>0</v>
      </c>
      <c r="I42" s="1" t="s">
        <v>34</v>
      </c>
      <c r="J42" s="1" t="s">
        <v>68</v>
      </c>
      <c r="K42" s="10">
        <v>42932</v>
      </c>
    </row>
    <row r="43" spans="1:11" x14ac:dyDescent="0.3">
      <c r="A43" s="6" t="s">
        <v>47</v>
      </c>
      <c r="B43" s="1" t="s">
        <v>57</v>
      </c>
      <c r="C43" s="1" t="s">
        <v>39</v>
      </c>
      <c r="D43" s="1" t="s">
        <v>28</v>
      </c>
      <c r="E43" s="1">
        <v>53</v>
      </c>
      <c r="F43" s="7">
        <v>41601</v>
      </c>
      <c r="G43" s="8">
        <v>113135</v>
      </c>
      <c r="H43" s="9">
        <v>0.05</v>
      </c>
      <c r="I43" s="1" t="s">
        <v>29</v>
      </c>
      <c r="J43" s="1" t="s">
        <v>51</v>
      </c>
      <c r="K43" s="10" t="s">
        <v>36</v>
      </c>
    </row>
    <row r="44" spans="1:11" x14ac:dyDescent="0.3">
      <c r="A44" s="6" t="s">
        <v>56</v>
      </c>
      <c r="B44" s="1" t="s">
        <v>26</v>
      </c>
      <c r="C44" s="1" t="s">
        <v>39</v>
      </c>
      <c r="D44" s="1" t="s">
        <v>33</v>
      </c>
      <c r="E44" s="1">
        <v>52</v>
      </c>
      <c r="F44" s="7">
        <v>38664</v>
      </c>
      <c r="G44" s="8">
        <v>199808</v>
      </c>
      <c r="H44" s="9">
        <v>0.32</v>
      </c>
      <c r="I44" s="1" t="s">
        <v>29</v>
      </c>
      <c r="J44" s="1" t="s">
        <v>30</v>
      </c>
      <c r="K44" s="10" t="s">
        <v>36</v>
      </c>
    </row>
    <row r="45" spans="1:11" x14ac:dyDescent="0.3">
      <c r="A45" s="6" t="s">
        <v>44</v>
      </c>
      <c r="B45" s="1" t="s">
        <v>45</v>
      </c>
      <c r="C45" s="1" t="s">
        <v>39</v>
      </c>
      <c r="D45" s="1" t="s">
        <v>33</v>
      </c>
      <c r="E45" s="1">
        <v>37</v>
      </c>
      <c r="F45" s="7">
        <v>41592</v>
      </c>
      <c r="G45" s="8">
        <v>56037</v>
      </c>
      <c r="H45" s="9">
        <v>0</v>
      </c>
      <c r="I45" s="1" t="s">
        <v>34</v>
      </c>
      <c r="J45" s="1" t="s">
        <v>55</v>
      </c>
      <c r="K45" s="10" t="s">
        <v>36</v>
      </c>
    </row>
    <row r="46" spans="1:11" x14ac:dyDescent="0.3">
      <c r="A46" s="6" t="s">
        <v>25</v>
      </c>
      <c r="B46" s="1" t="s">
        <v>57</v>
      </c>
      <c r="C46" s="1" t="s">
        <v>27</v>
      </c>
      <c r="D46" s="1" t="s">
        <v>28</v>
      </c>
      <c r="E46" s="1">
        <v>29</v>
      </c>
      <c r="F46" s="7">
        <v>43609</v>
      </c>
      <c r="G46" s="8">
        <v>122350</v>
      </c>
      <c r="H46" s="9">
        <v>0.12</v>
      </c>
      <c r="I46" s="1" t="s">
        <v>29</v>
      </c>
      <c r="J46" s="1" t="s">
        <v>43</v>
      </c>
      <c r="K46" s="10" t="s">
        <v>36</v>
      </c>
    </row>
    <row r="47" spans="1:11" x14ac:dyDescent="0.3">
      <c r="A47" s="6" t="s">
        <v>67</v>
      </c>
      <c r="B47" s="1" t="s">
        <v>26</v>
      </c>
      <c r="C47" s="1" t="s">
        <v>27</v>
      </c>
      <c r="D47" s="1" t="s">
        <v>33</v>
      </c>
      <c r="E47" s="1">
        <v>40</v>
      </c>
      <c r="F47" s="7">
        <v>40486</v>
      </c>
      <c r="G47" s="8">
        <v>92952</v>
      </c>
      <c r="H47" s="9">
        <v>0</v>
      </c>
      <c r="I47" s="1" t="s">
        <v>29</v>
      </c>
      <c r="J47" s="1" t="s">
        <v>30</v>
      </c>
      <c r="K47" s="10" t="s">
        <v>36</v>
      </c>
    </row>
    <row r="48" spans="1:11" x14ac:dyDescent="0.3">
      <c r="A48" s="6" t="s">
        <v>41</v>
      </c>
      <c r="B48" s="1" t="s">
        <v>26</v>
      </c>
      <c r="C48" s="1" t="s">
        <v>46</v>
      </c>
      <c r="D48" s="1" t="s">
        <v>33</v>
      </c>
      <c r="E48" s="1">
        <v>32</v>
      </c>
      <c r="F48" s="7">
        <v>41353</v>
      </c>
      <c r="G48" s="8">
        <v>79921</v>
      </c>
      <c r="H48" s="9">
        <v>0.05</v>
      </c>
      <c r="I48" s="1" t="s">
        <v>29</v>
      </c>
      <c r="J48" s="1" t="s">
        <v>51</v>
      </c>
      <c r="K48" s="10" t="s">
        <v>36</v>
      </c>
    </row>
    <row r="49" spans="1:11" x14ac:dyDescent="0.3">
      <c r="A49" s="6" t="s">
        <v>37</v>
      </c>
      <c r="B49" s="1" t="s">
        <v>26</v>
      </c>
      <c r="C49" s="1" t="s">
        <v>27</v>
      </c>
      <c r="D49" s="1" t="s">
        <v>28</v>
      </c>
      <c r="E49" s="1">
        <v>37</v>
      </c>
      <c r="F49" s="7">
        <v>40076</v>
      </c>
      <c r="G49" s="8">
        <v>167199</v>
      </c>
      <c r="H49" s="9">
        <v>0.2</v>
      </c>
      <c r="I49" s="1" t="s">
        <v>29</v>
      </c>
      <c r="J49" s="1" t="s">
        <v>30</v>
      </c>
      <c r="K49" s="10" t="s">
        <v>36</v>
      </c>
    </row>
    <row r="50" spans="1:11" x14ac:dyDescent="0.3">
      <c r="A50" s="6" t="s">
        <v>62</v>
      </c>
      <c r="B50" s="1" t="s">
        <v>54</v>
      </c>
      <c r="C50" s="1" t="s">
        <v>27</v>
      </c>
      <c r="D50" s="1" t="s">
        <v>33</v>
      </c>
      <c r="E50" s="1">
        <v>52</v>
      </c>
      <c r="F50" s="7">
        <v>41199</v>
      </c>
      <c r="G50" s="8">
        <v>71476</v>
      </c>
      <c r="H50" s="9">
        <v>0</v>
      </c>
      <c r="I50" s="1" t="s">
        <v>29</v>
      </c>
      <c r="J50" s="1" t="s">
        <v>43</v>
      </c>
      <c r="K50" s="10" t="s">
        <v>36</v>
      </c>
    </row>
    <row r="51" spans="1:11" x14ac:dyDescent="0.3">
      <c r="A51" s="6" t="s">
        <v>37</v>
      </c>
      <c r="B51" s="1" t="s">
        <v>54</v>
      </c>
      <c r="C51" s="1" t="s">
        <v>32</v>
      </c>
      <c r="D51" s="1" t="s">
        <v>28</v>
      </c>
      <c r="E51" s="1">
        <v>45</v>
      </c>
      <c r="F51" s="7">
        <v>41941</v>
      </c>
      <c r="G51" s="8">
        <v>189420</v>
      </c>
      <c r="H51" s="9">
        <v>0.2</v>
      </c>
      <c r="I51" s="1" t="s">
        <v>29</v>
      </c>
      <c r="J51" s="1" t="s">
        <v>30</v>
      </c>
      <c r="K51" s="10" t="s">
        <v>36</v>
      </c>
    </row>
    <row r="52" spans="1:11" x14ac:dyDescent="0.3">
      <c r="A52" s="6" t="s">
        <v>70</v>
      </c>
      <c r="B52" s="1" t="s">
        <v>52</v>
      </c>
      <c r="C52" s="1" t="s">
        <v>27</v>
      </c>
      <c r="D52" s="1" t="s">
        <v>28</v>
      </c>
      <c r="E52" s="1">
        <v>64</v>
      </c>
      <c r="F52" s="7">
        <v>37184</v>
      </c>
      <c r="G52" s="8">
        <v>64057</v>
      </c>
      <c r="H52" s="9">
        <v>0</v>
      </c>
      <c r="I52" s="1" t="s">
        <v>29</v>
      </c>
      <c r="J52" s="1" t="s">
        <v>43</v>
      </c>
      <c r="K52" s="10" t="s">
        <v>36</v>
      </c>
    </row>
    <row r="53" spans="1:11" x14ac:dyDescent="0.3">
      <c r="A53" s="6" t="s">
        <v>66</v>
      </c>
      <c r="B53" s="1" t="s">
        <v>57</v>
      </c>
      <c r="C53" s="1" t="s">
        <v>32</v>
      </c>
      <c r="D53" s="1" t="s">
        <v>28</v>
      </c>
      <c r="E53" s="1">
        <v>27</v>
      </c>
      <c r="F53" s="7">
        <v>44460</v>
      </c>
      <c r="G53" s="8">
        <v>68728</v>
      </c>
      <c r="H53" s="9">
        <v>0</v>
      </c>
      <c r="I53" s="1" t="s">
        <v>29</v>
      </c>
      <c r="J53" s="1" t="s">
        <v>43</v>
      </c>
      <c r="K53" s="10" t="s">
        <v>36</v>
      </c>
    </row>
    <row r="54" spans="1:11" x14ac:dyDescent="0.3">
      <c r="A54" s="6" t="s">
        <v>25</v>
      </c>
      <c r="B54" s="1" t="s">
        <v>26</v>
      </c>
      <c r="C54" s="1" t="s">
        <v>32</v>
      </c>
      <c r="D54" s="1" t="s">
        <v>28</v>
      </c>
      <c r="E54" s="1">
        <v>25</v>
      </c>
      <c r="F54" s="7">
        <v>44379</v>
      </c>
      <c r="G54" s="8">
        <v>125633</v>
      </c>
      <c r="H54" s="9">
        <v>0.11</v>
      </c>
      <c r="I54" s="1" t="s">
        <v>34</v>
      </c>
      <c r="J54" s="1" t="s">
        <v>64</v>
      </c>
      <c r="K54" s="10" t="s">
        <v>36</v>
      </c>
    </row>
    <row r="55" spans="1:11" x14ac:dyDescent="0.3">
      <c r="A55" s="6" t="s">
        <v>66</v>
      </c>
      <c r="B55" s="1" t="s">
        <v>57</v>
      </c>
      <c r="C55" s="1" t="s">
        <v>32</v>
      </c>
      <c r="D55" s="1" t="s">
        <v>33</v>
      </c>
      <c r="E55" s="1">
        <v>35</v>
      </c>
      <c r="F55" s="7">
        <v>40678</v>
      </c>
      <c r="G55" s="8">
        <v>66889</v>
      </c>
      <c r="H55" s="9">
        <v>0</v>
      </c>
      <c r="I55" s="1" t="s">
        <v>29</v>
      </c>
      <c r="J55" s="1" t="s">
        <v>58</v>
      </c>
      <c r="K55" s="10" t="s">
        <v>36</v>
      </c>
    </row>
    <row r="56" spans="1:11" x14ac:dyDescent="0.3">
      <c r="A56" s="6" t="s">
        <v>37</v>
      </c>
      <c r="B56" s="1" t="s">
        <v>50</v>
      </c>
      <c r="C56" s="1" t="s">
        <v>27</v>
      </c>
      <c r="D56" s="1" t="s">
        <v>28</v>
      </c>
      <c r="E56" s="1">
        <v>36</v>
      </c>
      <c r="F56" s="7">
        <v>42276</v>
      </c>
      <c r="G56" s="8">
        <v>178700</v>
      </c>
      <c r="H56" s="9">
        <v>0.28999999999999998</v>
      </c>
      <c r="I56" s="1" t="s">
        <v>29</v>
      </c>
      <c r="J56" s="1" t="s">
        <v>30</v>
      </c>
      <c r="K56" s="10" t="s">
        <v>36</v>
      </c>
    </row>
    <row r="57" spans="1:11" x14ac:dyDescent="0.3">
      <c r="A57" s="6" t="s">
        <v>71</v>
      </c>
      <c r="B57" s="1" t="s">
        <v>54</v>
      </c>
      <c r="C57" s="1" t="s">
        <v>27</v>
      </c>
      <c r="D57" s="1" t="s">
        <v>28</v>
      </c>
      <c r="E57" s="1">
        <v>33</v>
      </c>
      <c r="F57" s="7">
        <v>43456</v>
      </c>
      <c r="G57" s="8">
        <v>83990</v>
      </c>
      <c r="H57" s="9">
        <v>0</v>
      </c>
      <c r="I57" s="1" t="s">
        <v>29</v>
      </c>
      <c r="J57" s="1" t="s">
        <v>40</v>
      </c>
      <c r="K57" s="10" t="s">
        <v>36</v>
      </c>
    </row>
    <row r="58" spans="1:11" x14ac:dyDescent="0.3">
      <c r="A58" s="6" t="s">
        <v>72</v>
      </c>
      <c r="B58" s="1" t="s">
        <v>54</v>
      </c>
      <c r="C58" s="1" t="s">
        <v>46</v>
      </c>
      <c r="D58" s="1" t="s">
        <v>28</v>
      </c>
      <c r="E58" s="1">
        <v>52</v>
      </c>
      <c r="F58" s="7">
        <v>38696</v>
      </c>
      <c r="G58" s="8">
        <v>102043</v>
      </c>
      <c r="H58" s="9">
        <v>0</v>
      </c>
      <c r="I58" s="1" t="s">
        <v>29</v>
      </c>
      <c r="J58" s="1" t="s">
        <v>40</v>
      </c>
      <c r="K58" s="10" t="s">
        <v>36</v>
      </c>
    </row>
    <row r="59" spans="1:11" x14ac:dyDescent="0.3">
      <c r="A59" s="6" t="s">
        <v>73</v>
      </c>
      <c r="B59" s="1" t="s">
        <v>54</v>
      </c>
      <c r="C59" s="1" t="s">
        <v>32</v>
      </c>
      <c r="D59" s="1" t="s">
        <v>28</v>
      </c>
      <c r="E59" s="1">
        <v>46</v>
      </c>
      <c r="F59" s="7">
        <v>37041</v>
      </c>
      <c r="G59" s="8">
        <v>90678</v>
      </c>
      <c r="H59" s="9">
        <v>0</v>
      </c>
      <c r="I59" s="1" t="s">
        <v>29</v>
      </c>
      <c r="J59" s="1" t="s">
        <v>58</v>
      </c>
      <c r="K59" s="10" t="s">
        <v>36</v>
      </c>
    </row>
    <row r="60" spans="1:11" x14ac:dyDescent="0.3">
      <c r="A60" s="6" t="s">
        <v>74</v>
      </c>
      <c r="B60" s="1" t="s">
        <v>52</v>
      </c>
      <c r="C60" s="1" t="s">
        <v>32</v>
      </c>
      <c r="D60" s="1" t="s">
        <v>28</v>
      </c>
      <c r="E60" s="1">
        <v>46</v>
      </c>
      <c r="F60" s="7">
        <v>39681</v>
      </c>
      <c r="G60" s="8">
        <v>59067</v>
      </c>
      <c r="H60" s="9">
        <v>0</v>
      </c>
      <c r="I60" s="1" t="s">
        <v>29</v>
      </c>
      <c r="J60" s="1" t="s">
        <v>49</v>
      </c>
      <c r="K60" s="10" t="s">
        <v>36</v>
      </c>
    </row>
    <row r="61" spans="1:11" x14ac:dyDescent="0.3">
      <c r="A61" s="6" t="s">
        <v>25</v>
      </c>
      <c r="B61" s="1" t="s">
        <v>57</v>
      </c>
      <c r="C61" s="1" t="s">
        <v>27</v>
      </c>
      <c r="D61" s="1" t="s">
        <v>33</v>
      </c>
      <c r="E61" s="1">
        <v>45</v>
      </c>
      <c r="F61" s="7">
        <v>44266</v>
      </c>
      <c r="G61" s="8">
        <v>135062</v>
      </c>
      <c r="H61" s="9">
        <v>0.15</v>
      </c>
      <c r="I61" s="1" t="s">
        <v>34</v>
      </c>
      <c r="J61" s="1" t="s">
        <v>68</v>
      </c>
      <c r="K61" s="10" t="s">
        <v>36</v>
      </c>
    </row>
    <row r="62" spans="1:11" x14ac:dyDescent="0.3">
      <c r="A62" s="6" t="s">
        <v>25</v>
      </c>
      <c r="B62" s="1" t="s">
        <v>26</v>
      </c>
      <c r="C62" s="1" t="s">
        <v>46</v>
      </c>
      <c r="D62" s="1" t="s">
        <v>28</v>
      </c>
      <c r="E62" s="1">
        <v>55</v>
      </c>
      <c r="F62" s="7">
        <v>38945</v>
      </c>
      <c r="G62" s="8">
        <v>159044</v>
      </c>
      <c r="H62" s="9">
        <v>0.1</v>
      </c>
      <c r="I62" s="1" t="s">
        <v>59</v>
      </c>
      <c r="J62" s="1" t="s">
        <v>60</v>
      </c>
      <c r="K62" s="10" t="s">
        <v>36</v>
      </c>
    </row>
    <row r="63" spans="1:11" x14ac:dyDescent="0.3">
      <c r="A63" s="6" t="s">
        <v>42</v>
      </c>
      <c r="B63" s="1" t="s">
        <v>50</v>
      </c>
      <c r="C63" s="1" t="s">
        <v>32</v>
      </c>
      <c r="D63" s="1" t="s">
        <v>28</v>
      </c>
      <c r="E63" s="1">
        <v>44</v>
      </c>
      <c r="F63" s="7">
        <v>43467</v>
      </c>
      <c r="G63" s="8">
        <v>74691</v>
      </c>
      <c r="H63" s="9">
        <v>0</v>
      </c>
      <c r="I63" s="1" t="s">
        <v>59</v>
      </c>
      <c r="J63" s="1" t="s">
        <v>60</v>
      </c>
      <c r="K63" s="10">
        <v>44020</v>
      </c>
    </row>
    <row r="64" spans="1:11" x14ac:dyDescent="0.3">
      <c r="A64" s="6" t="s">
        <v>63</v>
      </c>
      <c r="B64" s="1" t="s">
        <v>54</v>
      </c>
      <c r="C64" s="1" t="s">
        <v>46</v>
      </c>
      <c r="D64" s="1" t="s">
        <v>28</v>
      </c>
      <c r="E64" s="1">
        <v>44</v>
      </c>
      <c r="F64" s="7">
        <v>39800</v>
      </c>
      <c r="G64" s="8">
        <v>92753</v>
      </c>
      <c r="H64" s="9">
        <v>0.13</v>
      </c>
      <c r="I64" s="1" t="s">
        <v>29</v>
      </c>
      <c r="J64" s="1" t="s">
        <v>51</v>
      </c>
      <c r="K64" s="10">
        <v>44371</v>
      </c>
    </row>
    <row r="65" spans="1:11" x14ac:dyDescent="0.3">
      <c r="A65" s="6" t="s">
        <v>56</v>
      </c>
      <c r="B65" s="1" t="s">
        <v>52</v>
      </c>
      <c r="C65" s="1" t="s">
        <v>39</v>
      </c>
      <c r="D65" s="1" t="s">
        <v>33</v>
      </c>
      <c r="E65" s="1">
        <v>45</v>
      </c>
      <c r="F65" s="7">
        <v>41493</v>
      </c>
      <c r="G65" s="8">
        <v>236946</v>
      </c>
      <c r="H65" s="9">
        <v>0.37</v>
      </c>
      <c r="I65" s="1" t="s">
        <v>29</v>
      </c>
      <c r="J65" s="1" t="s">
        <v>30</v>
      </c>
      <c r="K65" s="10" t="s">
        <v>36</v>
      </c>
    </row>
    <row r="66" spans="1:11" x14ac:dyDescent="0.3">
      <c r="A66" s="6" t="s">
        <v>48</v>
      </c>
      <c r="B66" s="1" t="s">
        <v>38</v>
      </c>
      <c r="C66" s="1" t="s">
        <v>46</v>
      </c>
      <c r="D66" s="1" t="s">
        <v>28</v>
      </c>
      <c r="E66" s="1">
        <v>36</v>
      </c>
      <c r="F66" s="7">
        <v>44435</v>
      </c>
      <c r="G66" s="8">
        <v>48906</v>
      </c>
      <c r="H66" s="9">
        <v>0</v>
      </c>
      <c r="I66" s="1" t="s">
        <v>29</v>
      </c>
      <c r="J66" s="1" t="s">
        <v>49</v>
      </c>
      <c r="K66" s="10" t="s">
        <v>36</v>
      </c>
    </row>
    <row r="67" spans="1:11" x14ac:dyDescent="0.3">
      <c r="A67" s="6" t="s">
        <v>42</v>
      </c>
      <c r="B67" s="1" t="s">
        <v>45</v>
      </c>
      <c r="C67" s="1" t="s">
        <v>46</v>
      </c>
      <c r="D67" s="1" t="s">
        <v>28</v>
      </c>
      <c r="E67" s="1">
        <v>38</v>
      </c>
      <c r="F67" s="7">
        <v>39474</v>
      </c>
      <c r="G67" s="8">
        <v>80024</v>
      </c>
      <c r="H67" s="9">
        <v>0</v>
      </c>
      <c r="I67" s="1" t="s">
        <v>29</v>
      </c>
      <c r="J67" s="1" t="s">
        <v>58</v>
      </c>
      <c r="K67" s="10" t="s">
        <v>36</v>
      </c>
    </row>
    <row r="68" spans="1:11" x14ac:dyDescent="0.3">
      <c r="A68" s="6" t="s">
        <v>70</v>
      </c>
      <c r="B68" s="1" t="s">
        <v>52</v>
      </c>
      <c r="C68" s="1" t="s">
        <v>39</v>
      </c>
      <c r="D68" s="1" t="s">
        <v>28</v>
      </c>
      <c r="E68" s="1">
        <v>41</v>
      </c>
      <c r="F68" s="7">
        <v>40109</v>
      </c>
      <c r="G68" s="8">
        <v>54415</v>
      </c>
      <c r="H68" s="9">
        <v>0</v>
      </c>
      <c r="I68" s="1" t="s">
        <v>29</v>
      </c>
      <c r="J68" s="1" t="s">
        <v>30</v>
      </c>
      <c r="K68" s="10">
        <v>41661</v>
      </c>
    </row>
    <row r="69" spans="1:11" x14ac:dyDescent="0.3">
      <c r="A69" s="6" t="s">
        <v>47</v>
      </c>
      <c r="B69" s="1" t="s">
        <v>57</v>
      </c>
      <c r="C69" s="1" t="s">
        <v>27</v>
      </c>
      <c r="D69" s="1" t="s">
        <v>28</v>
      </c>
      <c r="E69" s="1">
        <v>30</v>
      </c>
      <c r="F69" s="7">
        <v>42484</v>
      </c>
      <c r="G69" s="8">
        <v>120341</v>
      </c>
      <c r="H69" s="9">
        <v>7.0000000000000007E-2</v>
      </c>
      <c r="I69" s="1" t="s">
        <v>29</v>
      </c>
      <c r="J69" s="1" t="s">
        <v>30</v>
      </c>
      <c r="K69" s="10" t="s">
        <v>36</v>
      </c>
    </row>
    <row r="70" spans="1:11" x14ac:dyDescent="0.3">
      <c r="A70" s="6" t="s">
        <v>56</v>
      </c>
      <c r="B70" s="1" t="s">
        <v>26</v>
      </c>
      <c r="C70" s="1" t="s">
        <v>39</v>
      </c>
      <c r="D70" s="1" t="s">
        <v>28</v>
      </c>
      <c r="E70" s="1">
        <v>43</v>
      </c>
      <c r="F70" s="7">
        <v>40029</v>
      </c>
      <c r="G70" s="8">
        <v>208415</v>
      </c>
      <c r="H70" s="9">
        <v>0.35</v>
      </c>
      <c r="I70" s="1" t="s">
        <v>29</v>
      </c>
      <c r="J70" s="1" t="s">
        <v>30</v>
      </c>
      <c r="K70" s="10" t="s">
        <v>36</v>
      </c>
    </row>
    <row r="71" spans="1:11" x14ac:dyDescent="0.3">
      <c r="A71" s="6" t="s">
        <v>75</v>
      </c>
      <c r="B71" s="1" t="s">
        <v>26</v>
      </c>
      <c r="C71" s="1" t="s">
        <v>39</v>
      </c>
      <c r="D71" s="1" t="s">
        <v>28</v>
      </c>
      <c r="E71" s="1">
        <v>32</v>
      </c>
      <c r="F71" s="7">
        <v>43835</v>
      </c>
      <c r="G71" s="8">
        <v>78844</v>
      </c>
      <c r="H71" s="9">
        <v>0</v>
      </c>
      <c r="I71" s="1" t="s">
        <v>29</v>
      </c>
      <c r="J71" s="1" t="s">
        <v>30</v>
      </c>
      <c r="K71" s="10" t="s">
        <v>36</v>
      </c>
    </row>
    <row r="72" spans="1:11" x14ac:dyDescent="0.3">
      <c r="A72" s="6" t="s">
        <v>71</v>
      </c>
      <c r="B72" s="1" t="s">
        <v>54</v>
      </c>
      <c r="C72" s="1" t="s">
        <v>32</v>
      </c>
      <c r="D72" s="1" t="s">
        <v>33</v>
      </c>
      <c r="E72" s="1">
        <v>58</v>
      </c>
      <c r="F72" s="7">
        <v>37399</v>
      </c>
      <c r="G72" s="8">
        <v>76354</v>
      </c>
      <c r="H72" s="9">
        <v>0</v>
      </c>
      <c r="I72" s="1" t="s">
        <v>29</v>
      </c>
      <c r="J72" s="1" t="s">
        <v>43</v>
      </c>
      <c r="K72" s="10">
        <v>44465</v>
      </c>
    </row>
    <row r="73" spans="1:11" x14ac:dyDescent="0.3">
      <c r="A73" s="6" t="s">
        <v>37</v>
      </c>
      <c r="B73" s="1" t="s">
        <v>38</v>
      </c>
      <c r="C73" s="1" t="s">
        <v>39</v>
      </c>
      <c r="D73" s="1" t="s">
        <v>28</v>
      </c>
      <c r="E73" s="1">
        <v>37</v>
      </c>
      <c r="F73" s="7">
        <v>43493</v>
      </c>
      <c r="G73" s="8">
        <v>165927</v>
      </c>
      <c r="H73" s="9">
        <v>0.2</v>
      </c>
      <c r="I73" s="1" t="s">
        <v>29</v>
      </c>
      <c r="J73" s="1" t="s">
        <v>43</v>
      </c>
      <c r="K73" s="10" t="s">
        <v>36</v>
      </c>
    </row>
    <row r="74" spans="1:11" x14ac:dyDescent="0.3">
      <c r="A74" s="6" t="s">
        <v>47</v>
      </c>
      <c r="B74" s="1" t="s">
        <v>50</v>
      </c>
      <c r="C74" s="1" t="s">
        <v>39</v>
      </c>
      <c r="D74" s="1" t="s">
        <v>28</v>
      </c>
      <c r="E74" s="1">
        <v>38</v>
      </c>
      <c r="F74" s="7">
        <v>44516</v>
      </c>
      <c r="G74" s="8">
        <v>109812</v>
      </c>
      <c r="H74" s="9">
        <v>0.09</v>
      </c>
      <c r="I74" s="1" t="s">
        <v>59</v>
      </c>
      <c r="J74" s="1" t="s">
        <v>60</v>
      </c>
      <c r="K74" s="10" t="s">
        <v>36</v>
      </c>
    </row>
    <row r="75" spans="1:11" x14ac:dyDescent="0.3">
      <c r="A75" s="6" t="s">
        <v>53</v>
      </c>
      <c r="B75" s="1" t="s">
        <v>54</v>
      </c>
      <c r="C75" s="1" t="s">
        <v>46</v>
      </c>
      <c r="D75" s="1" t="s">
        <v>33</v>
      </c>
      <c r="E75" s="1">
        <v>55</v>
      </c>
      <c r="F75" s="7">
        <v>36041</v>
      </c>
      <c r="G75" s="8">
        <v>86299</v>
      </c>
      <c r="H75" s="9">
        <v>0</v>
      </c>
      <c r="I75" s="1" t="s">
        <v>29</v>
      </c>
      <c r="J75" s="1" t="s">
        <v>30</v>
      </c>
      <c r="K75" s="10" t="s">
        <v>36</v>
      </c>
    </row>
    <row r="76" spans="1:11" x14ac:dyDescent="0.3">
      <c r="A76" s="6" t="s">
        <v>56</v>
      </c>
      <c r="B76" s="1" t="s">
        <v>57</v>
      </c>
      <c r="C76" s="1" t="s">
        <v>27</v>
      </c>
      <c r="D76" s="1" t="s">
        <v>33</v>
      </c>
      <c r="E76" s="1">
        <v>57</v>
      </c>
      <c r="F76" s="7">
        <v>37828</v>
      </c>
      <c r="G76" s="8">
        <v>206624</v>
      </c>
      <c r="H76" s="9">
        <v>0.4</v>
      </c>
      <c r="I76" s="1" t="s">
        <v>59</v>
      </c>
      <c r="J76" s="1" t="s">
        <v>76</v>
      </c>
      <c r="K76" s="10" t="s">
        <v>36</v>
      </c>
    </row>
    <row r="77" spans="1:11" x14ac:dyDescent="0.3">
      <c r="A77" s="6" t="s">
        <v>65</v>
      </c>
      <c r="B77" s="1" t="s">
        <v>26</v>
      </c>
      <c r="C77" s="1" t="s">
        <v>32</v>
      </c>
      <c r="D77" s="1" t="s">
        <v>33</v>
      </c>
      <c r="E77" s="1">
        <v>36</v>
      </c>
      <c r="F77" s="7">
        <v>40535</v>
      </c>
      <c r="G77" s="8">
        <v>53215</v>
      </c>
      <c r="H77" s="9">
        <v>0</v>
      </c>
      <c r="I77" s="1" t="s">
        <v>59</v>
      </c>
      <c r="J77" s="1" t="s">
        <v>76</v>
      </c>
      <c r="K77" s="10">
        <v>41725</v>
      </c>
    </row>
    <row r="78" spans="1:11" x14ac:dyDescent="0.3">
      <c r="A78" s="6" t="s">
        <v>77</v>
      </c>
      <c r="B78" s="1" t="s">
        <v>54</v>
      </c>
      <c r="C78" s="1" t="s">
        <v>27</v>
      </c>
      <c r="D78" s="1" t="s">
        <v>28</v>
      </c>
      <c r="E78" s="1">
        <v>30</v>
      </c>
      <c r="F78" s="7">
        <v>42877</v>
      </c>
      <c r="G78" s="8">
        <v>86858</v>
      </c>
      <c r="H78" s="9">
        <v>0</v>
      </c>
      <c r="I78" s="1" t="s">
        <v>34</v>
      </c>
      <c r="J78" s="1" t="s">
        <v>35</v>
      </c>
      <c r="K78" s="10">
        <v>43016</v>
      </c>
    </row>
    <row r="79" spans="1:11" x14ac:dyDescent="0.3">
      <c r="A79" s="6" t="s">
        <v>41</v>
      </c>
      <c r="B79" s="1" t="s">
        <v>26</v>
      </c>
      <c r="C79" s="1" t="s">
        <v>32</v>
      </c>
      <c r="D79" s="1" t="s">
        <v>33</v>
      </c>
      <c r="E79" s="1">
        <v>40</v>
      </c>
      <c r="F79" s="7">
        <v>39265</v>
      </c>
      <c r="G79" s="8">
        <v>93971</v>
      </c>
      <c r="H79" s="9">
        <v>0.08</v>
      </c>
      <c r="I79" s="1" t="s">
        <v>34</v>
      </c>
      <c r="J79" s="1" t="s">
        <v>35</v>
      </c>
      <c r="K79" s="10" t="s">
        <v>36</v>
      </c>
    </row>
    <row r="80" spans="1:11" x14ac:dyDescent="0.3">
      <c r="A80" s="6" t="s">
        <v>66</v>
      </c>
      <c r="B80" s="1" t="s">
        <v>38</v>
      </c>
      <c r="C80" s="1" t="s">
        <v>46</v>
      </c>
      <c r="D80" s="1" t="s">
        <v>33</v>
      </c>
      <c r="E80" s="1">
        <v>34</v>
      </c>
      <c r="F80" s="7">
        <v>42182</v>
      </c>
      <c r="G80" s="8">
        <v>57008</v>
      </c>
      <c r="H80" s="9">
        <v>0</v>
      </c>
      <c r="I80" s="1" t="s">
        <v>29</v>
      </c>
      <c r="J80" s="1" t="s">
        <v>43</v>
      </c>
      <c r="K80" s="10" t="s">
        <v>36</v>
      </c>
    </row>
    <row r="81" spans="1:11" x14ac:dyDescent="0.3">
      <c r="A81" s="6" t="s">
        <v>25</v>
      </c>
      <c r="B81" s="1" t="s">
        <v>38</v>
      </c>
      <c r="C81" s="1" t="s">
        <v>32</v>
      </c>
      <c r="D81" s="1" t="s">
        <v>33</v>
      </c>
      <c r="E81" s="1">
        <v>60</v>
      </c>
      <c r="F81" s="7">
        <v>42270</v>
      </c>
      <c r="G81" s="8">
        <v>141899</v>
      </c>
      <c r="H81" s="9">
        <v>0.15</v>
      </c>
      <c r="I81" s="1" t="s">
        <v>29</v>
      </c>
      <c r="J81" s="1" t="s">
        <v>43</v>
      </c>
      <c r="K81" s="10" t="s">
        <v>36</v>
      </c>
    </row>
    <row r="82" spans="1:11" x14ac:dyDescent="0.3">
      <c r="A82" s="6" t="s">
        <v>66</v>
      </c>
      <c r="B82" s="1" t="s">
        <v>57</v>
      </c>
      <c r="C82" s="1" t="s">
        <v>46</v>
      </c>
      <c r="D82" s="1" t="s">
        <v>33</v>
      </c>
      <c r="E82" s="1">
        <v>41</v>
      </c>
      <c r="F82" s="7">
        <v>42626</v>
      </c>
      <c r="G82" s="8">
        <v>64847</v>
      </c>
      <c r="H82" s="9">
        <v>0</v>
      </c>
      <c r="I82" s="1" t="s">
        <v>29</v>
      </c>
      <c r="J82" s="1" t="s">
        <v>49</v>
      </c>
      <c r="K82" s="10" t="s">
        <v>36</v>
      </c>
    </row>
    <row r="83" spans="1:11" x14ac:dyDescent="0.3">
      <c r="A83" s="6" t="s">
        <v>63</v>
      </c>
      <c r="B83" s="1" t="s">
        <v>54</v>
      </c>
      <c r="C83" s="1" t="s">
        <v>27</v>
      </c>
      <c r="D83" s="1" t="s">
        <v>33</v>
      </c>
      <c r="E83" s="1">
        <v>53</v>
      </c>
      <c r="F83" s="7">
        <v>33702</v>
      </c>
      <c r="G83" s="8">
        <v>116878</v>
      </c>
      <c r="H83" s="9">
        <v>0.11</v>
      </c>
      <c r="I83" s="1" t="s">
        <v>29</v>
      </c>
      <c r="J83" s="1" t="s">
        <v>49</v>
      </c>
      <c r="K83" s="10" t="s">
        <v>36</v>
      </c>
    </row>
    <row r="84" spans="1:11" x14ac:dyDescent="0.3">
      <c r="A84" s="6" t="s">
        <v>62</v>
      </c>
      <c r="B84" s="1" t="s">
        <v>54</v>
      </c>
      <c r="C84" s="1" t="s">
        <v>39</v>
      </c>
      <c r="D84" s="1" t="s">
        <v>33</v>
      </c>
      <c r="E84" s="1">
        <v>45</v>
      </c>
      <c r="F84" s="7">
        <v>38388</v>
      </c>
      <c r="G84" s="8">
        <v>70505</v>
      </c>
      <c r="H84" s="9">
        <v>0</v>
      </c>
      <c r="I84" s="1" t="s">
        <v>29</v>
      </c>
      <c r="J84" s="1" t="s">
        <v>51</v>
      </c>
      <c r="K84" s="10" t="s">
        <v>36</v>
      </c>
    </row>
    <row r="85" spans="1:11" x14ac:dyDescent="0.3">
      <c r="A85" s="6" t="s">
        <v>37</v>
      </c>
      <c r="B85" s="1" t="s">
        <v>54</v>
      </c>
      <c r="C85" s="1" t="s">
        <v>27</v>
      </c>
      <c r="D85" s="1" t="s">
        <v>28</v>
      </c>
      <c r="E85" s="1">
        <v>30</v>
      </c>
      <c r="F85" s="7">
        <v>42512</v>
      </c>
      <c r="G85" s="8">
        <v>189702</v>
      </c>
      <c r="H85" s="9">
        <v>0.28000000000000003</v>
      </c>
      <c r="I85" s="1" t="s">
        <v>59</v>
      </c>
      <c r="J85" s="1" t="s">
        <v>60</v>
      </c>
      <c r="K85" s="10">
        <v>44186</v>
      </c>
    </row>
    <row r="86" spans="1:11" x14ac:dyDescent="0.3">
      <c r="A86" s="6" t="s">
        <v>37</v>
      </c>
      <c r="B86" s="1" t="s">
        <v>50</v>
      </c>
      <c r="C86" s="1" t="s">
        <v>39</v>
      </c>
      <c r="D86" s="1" t="s">
        <v>33</v>
      </c>
      <c r="E86" s="1">
        <v>26</v>
      </c>
      <c r="F86" s="7">
        <v>44040</v>
      </c>
      <c r="G86" s="8">
        <v>180664</v>
      </c>
      <c r="H86" s="9">
        <v>0.27</v>
      </c>
      <c r="I86" s="1" t="s">
        <v>29</v>
      </c>
      <c r="J86" s="1" t="s">
        <v>40</v>
      </c>
      <c r="K86" s="10" t="s">
        <v>36</v>
      </c>
    </row>
    <row r="87" spans="1:11" x14ac:dyDescent="0.3">
      <c r="A87" s="6" t="s">
        <v>74</v>
      </c>
      <c r="B87" s="1" t="s">
        <v>52</v>
      </c>
      <c r="C87" s="1" t="s">
        <v>32</v>
      </c>
      <c r="D87" s="1" t="s">
        <v>28</v>
      </c>
      <c r="E87" s="1">
        <v>45</v>
      </c>
      <c r="F87" s="7">
        <v>37972</v>
      </c>
      <c r="G87" s="8">
        <v>48345</v>
      </c>
      <c r="H87" s="9">
        <v>0</v>
      </c>
      <c r="I87" s="1" t="s">
        <v>34</v>
      </c>
      <c r="J87" s="1" t="s">
        <v>68</v>
      </c>
      <c r="K87" s="10" t="s">
        <v>36</v>
      </c>
    </row>
    <row r="88" spans="1:11" x14ac:dyDescent="0.3">
      <c r="A88" s="6" t="s">
        <v>37</v>
      </c>
      <c r="B88" s="1" t="s">
        <v>52</v>
      </c>
      <c r="C88" s="1" t="s">
        <v>32</v>
      </c>
      <c r="D88" s="1" t="s">
        <v>33</v>
      </c>
      <c r="E88" s="1">
        <v>42</v>
      </c>
      <c r="F88" s="7">
        <v>41655</v>
      </c>
      <c r="G88" s="8">
        <v>152214</v>
      </c>
      <c r="H88" s="9">
        <v>0.3</v>
      </c>
      <c r="I88" s="1" t="s">
        <v>34</v>
      </c>
      <c r="J88" s="1" t="s">
        <v>64</v>
      </c>
      <c r="K88" s="10" t="s">
        <v>36</v>
      </c>
    </row>
    <row r="89" spans="1:11" x14ac:dyDescent="0.3">
      <c r="A89" s="6" t="s">
        <v>75</v>
      </c>
      <c r="B89" s="1" t="s">
        <v>26</v>
      </c>
      <c r="C89" s="1" t="s">
        <v>46</v>
      </c>
      <c r="D89" s="1" t="s">
        <v>28</v>
      </c>
      <c r="E89" s="1">
        <v>41</v>
      </c>
      <c r="F89" s="7">
        <v>39931</v>
      </c>
      <c r="G89" s="8">
        <v>69803</v>
      </c>
      <c r="H89" s="9">
        <v>0</v>
      </c>
      <c r="I89" s="1" t="s">
        <v>59</v>
      </c>
      <c r="J89" s="1" t="s">
        <v>60</v>
      </c>
      <c r="K89" s="10" t="s">
        <v>36</v>
      </c>
    </row>
    <row r="90" spans="1:11" x14ac:dyDescent="0.3">
      <c r="A90" s="6" t="s">
        <v>78</v>
      </c>
      <c r="B90" s="1" t="s">
        <v>26</v>
      </c>
      <c r="C90" s="1" t="s">
        <v>46</v>
      </c>
      <c r="D90" s="1" t="s">
        <v>28</v>
      </c>
      <c r="E90" s="1">
        <v>48</v>
      </c>
      <c r="F90" s="7">
        <v>43650</v>
      </c>
      <c r="G90" s="8">
        <v>76588</v>
      </c>
      <c r="H90" s="9">
        <v>0</v>
      </c>
      <c r="I90" s="1" t="s">
        <v>59</v>
      </c>
      <c r="J90" s="1" t="s">
        <v>61</v>
      </c>
      <c r="K90" s="10" t="s">
        <v>36</v>
      </c>
    </row>
    <row r="91" spans="1:11" x14ac:dyDescent="0.3">
      <c r="A91" s="6" t="s">
        <v>79</v>
      </c>
      <c r="B91" s="1" t="s">
        <v>26</v>
      </c>
      <c r="C91" s="1" t="s">
        <v>32</v>
      </c>
      <c r="D91" s="1" t="s">
        <v>33</v>
      </c>
      <c r="E91" s="1">
        <v>29</v>
      </c>
      <c r="F91" s="7">
        <v>43444</v>
      </c>
      <c r="G91" s="8">
        <v>84596</v>
      </c>
      <c r="H91" s="9">
        <v>0</v>
      </c>
      <c r="I91" s="1" t="s">
        <v>29</v>
      </c>
      <c r="J91" s="1" t="s">
        <v>49</v>
      </c>
      <c r="K91" s="10" t="s">
        <v>36</v>
      </c>
    </row>
    <row r="92" spans="1:11" x14ac:dyDescent="0.3">
      <c r="A92" s="6" t="s">
        <v>47</v>
      </c>
      <c r="B92" s="1" t="s">
        <v>57</v>
      </c>
      <c r="C92" s="1" t="s">
        <v>27</v>
      </c>
      <c r="D92" s="1" t="s">
        <v>33</v>
      </c>
      <c r="E92" s="1">
        <v>27</v>
      </c>
      <c r="F92" s="7">
        <v>43368</v>
      </c>
      <c r="G92" s="8">
        <v>114441</v>
      </c>
      <c r="H92" s="9">
        <v>0.1</v>
      </c>
      <c r="I92" s="1" t="s">
        <v>34</v>
      </c>
      <c r="J92" s="1" t="s">
        <v>35</v>
      </c>
      <c r="K92" s="10">
        <v>43821</v>
      </c>
    </row>
    <row r="93" spans="1:11" x14ac:dyDescent="0.3">
      <c r="A93" s="6" t="s">
        <v>25</v>
      </c>
      <c r="B93" s="1" t="s">
        <v>38</v>
      </c>
      <c r="C93" s="1" t="s">
        <v>39</v>
      </c>
      <c r="D93" s="1" t="s">
        <v>28</v>
      </c>
      <c r="E93" s="1">
        <v>33</v>
      </c>
      <c r="F93" s="7">
        <v>43211</v>
      </c>
      <c r="G93" s="8">
        <v>140402</v>
      </c>
      <c r="H93" s="9">
        <v>0.15</v>
      </c>
      <c r="I93" s="1" t="s">
        <v>34</v>
      </c>
      <c r="J93" s="1" t="s">
        <v>64</v>
      </c>
      <c r="K93" s="10" t="s">
        <v>36</v>
      </c>
    </row>
    <row r="94" spans="1:11" x14ac:dyDescent="0.3">
      <c r="A94" s="6" t="s">
        <v>66</v>
      </c>
      <c r="B94" s="1" t="s">
        <v>38</v>
      </c>
      <c r="C94" s="1" t="s">
        <v>46</v>
      </c>
      <c r="D94" s="1" t="s">
        <v>28</v>
      </c>
      <c r="E94" s="1">
        <v>26</v>
      </c>
      <c r="F94" s="7">
        <v>43578</v>
      </c>
      <c r="G94" s="8">
        <v>59817</v>
      </c>
      <c r="H94" s="9">
        <v>0</v>
      </c>
      <c r="I94" s="1" t="s">
        <v>59</v>
      </c>
      <c r="J94" s="1" t="s">
        <v>76</v>
      </c>
      <c r="K94" s="10" t="s">
        <v>36</v>
      </c>
    </row>
    <row r="95" spans="1:11" x14ac:dyDescent="0.3">
      <c r="A95" s="6" t="s">
        <v>44</v>
      </c>
      <c r="B95" s="1" t="s">
        <v>45</v>
      </c>
      <c r="C95" s="1" t="s">
        <v>32</v>
      </c>
      <c r="D95" s="1" t="s">
        <v>33</v>
      </c>
      <c r="E95" s="1">
        <v>31</v>
      </c>
      <c r="F95" s="7">
        <v>42938</v>
      </c>
      <c r="G95" s="8">
        <v>55854</v>
      </c>
      <c r="H95" s="9">
        <v>0</v>
      </c>
      <c r="I95" s="1" t="s">
        <v>29</v>
      </c>
      <c r="J95" s="1" t="s">
        <v>51</v>
      </c>
      <c r="K95" s="10" t="s">
        <v>36</v>
      </c>
    </row>
    <row r="96" spans="1:11" x14ac:dyDescent="0.3">
      <c r="A96" s="6" t="s">
        <v>69</v>
      </c>
      <c r="B96" s="1" t="s">
        <v>52</v>
      </c>
      <c r="C96" s="1" t="s">
        <v>27</v>
      </c>
      <c r="D96" s="1" t="s">
        <v>33</v>
      </c>
      <c r="E96" s="1">
        <v>53</v>
      </c>
      <c r="F96" s="7">
        <v>37576</v>
      </c>
      <c r="G96" s="8">
        <v>95998</v>
      </c>
      <c r="H96" s="9">
        <v>0</v>
      </c>
      <c r="I96" s="1" t="s">
        <v>29</v>
      </c>
      <c r="J96" s="1" t="s">
        <v>30</v>
      </c>
      <c r="K96" s="10" t="s">
        <v>36</v>
      </c>
    </row>
    <row r="97" spans="1:11" x14ac:dyDescent="0.3">
      <c r="A97" s="6" t="s">
        <v>25</v>
      </c>
      <c r="B97" s="1" t="s">
        <v>45</v>
      </c>
      <c r="C97" s="1" t="s">
        <v>32</v>
      </c>
      <c r="D97" s="1" t="s">
        <v>28</v>
      </c>
      <c r="E97" s="1">
        <v>34</v>
      </c>
      <c r="F97" s="7">
        <v>42116</v>
      </c>
      <c r="G97" s="8">
        <v>154941</v>
      </c>
      <c r="H97" s="9">
        <v>0.13</v>
      </c>
      <c r="I97" s="1" t="s">
        <v>29</v>
      </c>
      <c r="J97" s="1" t="s">
        <v>43</v>
      </c>
      <c r="K97" s="10" t="s">
        <v>36</v>
      </c>
    </row>
    <row r="98" spans="1:11" x14ac:dyDescent="0.3">
      <c r="A98" s="6" t="s">
        <v>56</v>
      </c>
      <c r="B98" s="1" t="s">
        <v>38</v>
      </c>
      <c r="C98" s="1" t="s">
        <v>39</v>
      </c>
      <c r="D98" s="1" t="s">
        <v>28</v>
      </c>
      <c r="E98" s="1">
        <v>54</v>
      </c>
      <c r="F98" s="7">
        <v>40734</v>
      </c>
      <c r="G98" s="8">
        <v>247022</v>
      </c>
      <c r="H98" s="9">
        <v>0.3</v>
      </c>
      <c r="I98" s="1" t="s">
        <v>34</v>
      </c>
      <c r="J98" s="1" t="s">
        <v>64</v>
      </c>
      <c r="K98" s="10" t="s">
        <v>36</v>
      </c>
    </row>
    <row r="99" spans="1:11" x14ac:dyDescent="0.3">
      <c r="A99" s="6" t="s">
        <v>78</v>
      </c>
      <c r="B99" s="1" t="s">
        <v>26</v>
      </c>
      <c r="C99" s="1" t="s">
        <v>32</v>
      </c>
      <c r="D99" s="1" t="s">
        <v>28</v>
      </c>
      <c r="E99" s="1">
        <v>32</v>
      </c>
      <c r="F99" s="7">
        <v>44474</v>
      </c>
      <c r="G99" s="8">
        <v>88072</v>
      </c>
      <c r="H99" s="9">
        <v>0</v>
      </c>
      <c r="I99" s="1" t="s">
        <v>59</v>
      </c>
      <c r="J99" s="1" t="s">
        <v>76</v>
      </c>
      <c r="K99" s="10" t="s">
        <v>36</v>
      </c>
    </row>
    <row r="100" spans="1:11" x14ac:dyDescent="0.3">
      <c r="A100" s="6" t="s">
        <v>41</v>
      </c>
      <c r="B100" s="1" t="s">
        <v>26</v>
      </c>
      <c r="C100" s="1" t="s">
        <v>27</v>
      </c>
      <c r="D100" s="1" t="s">
        <v>33</v>
      </c>
      <c r="E100" s="1">
        <v>28</v>
      </c>
      <c r="F100" s="7">
        <v>43977</v>
      </c>
      <c r="G100" s="8">
        <v>67925</v>
      </c>
      <c r="H100" s="9">
        <v>0.08</v>
      </c>
      <c r="I100" s="1" t="s">
        <v>34</v>
      </c>
      <c r="J100" s="1" t="s">
        <v>55</v>
      </c>
      <c r="K100" s="10" t="s">
        <v>36</v>
      </c>
    </row>
    <row r="101" spans="1:11" x14ac:dyDescent="0.3">
      <c r="A101" s="6" t="s">
        <v>56</v>
      </c>
      <c r="B101" s="1" t="s">
        <v>45</v>
      </c>
      <c r="C101" s="1" t="s">
        <v>32</v>
      </c>
      <c r="D101" s="1" t="s">
        <v>28</v>
      </c>
      <c r="E101" s="1">
        <v>31</v>
      </c>
      <c r="F101" s="7">
        <v>44063</v>
      </c>
      <c r="G101" s="8">
        <v>219693</v>
      </c>
      <c r="H101" s="9">
        <v>0.3</v>
      </c>
      <c r="I101" s="1" t="s">
        <v>29</v>
      </c>
      <c r="J101" s="1" t="s">
        <v>51</v>
      </c>
      <c r="K101" s="10" t="s">
        <v>36</v>
      </c>
    </row>
    <row r="102" spans="1:11" x14ac:dyDescent="0.3">
      <c r="A102" s="6" t="s">
        <v>77</v>
      </c>
      <c r="B102" s="1" t="s">
        <v>54</v>
      </c>
      <c r="C102" s="1" t="s">
        <v>27</v>
      </c>
      <c r="D102" s="1" t="s">
        <v>28</v>
      </c>
      <c r="E102" s="1">
        <v>45</v>
      </c>
      <c r="F102" s="7">
        <v>41386</v>
      </c>
      <c r="G102" s="8">
        <v>61773</v>
      </c>
      <c r="H102" s="9">
        <v>0</v>
      </c>
      <c r="I102" s="1" t="s">
        <v>29</v>
      </c>
      <c r="J102" s="1" t="s">
        <v>30</v>
      </c>
      <c r="K102" s="10" t="s">
        <v>36</v>
      </c>
    </row>
    <row r="103" spans="1:11" x14ac:dyDescent="0.3">
      <c r="A103" s="6" t="s">
        <v>41</v>
      </c>
      <c r="B103" s="1" t="s">
        <v>26</v>
      </c>
      <c r="C103" s="1" t="s">
        <v>39</v>
      </c>
      <c r="D103" s="1" t="s">
        <v>28</v>
      </c>
      <c r="E103" s="1">
        <v>48</v>
      </c>
      <c r="F103" s="7">
        <v>39091</v>
      </c>
      <c r="G103" s="8">
        <v>74546</v>
      </c>
      <c r="H103" s="9">
        <v>0.09</v>
      </c>
      <c r="I103" s="1" t="s">
        <v>29</v>
      </c>
      <c r="J103" s="1" t="s">
        <v>30</v>
      </c>
      <c r="K103" s="10" t="s">
        <v>36</v>
      </c>
    </row>
    <row r="104" spans="1:11" x14ac:dyDescent="0.3">
      <c r="A104" s="6" t="s">
        <v>80</v>
      </c>
      <c r="B104" s="1" t="s">
        <v>54</v>
      </c>
      <c r="C104" s="1" t="s">
        <v>39</v>
      </c>
      <c r="D104" s="1" t="s">
        <v>33</v>
      </c>
      <c r="E104" s="1">
        <v>56</v>
      </c>
      <c r="F104" s="7">
        <v>42031</v>
      </c>
      <c r="G104" s="8">
        <v>62575</v>
      </c>
      <c r="H104" s="9">
        <v>0</v>
      </c>
      <c r="I104" s="1" t="s">
        <v>29</v>
      </c>
      <c r="J104" s="1" t="s">
        <v>49</v>
      </c>
      <c r="K104" s="10" t="s">
        <v>36</v>
      </c>
    </row>
    <row r="105" spans="1:11" x14ac:dyDescent="0.3">
      <c r="A105" s="6" t="s">
        <v>37</v>
      </c>
      <c r="B105" s="1" t="s">
        <v>52</v>
      </c>
      <c r="C105" s="1" t="s">
        <v>46</v>
      </c>
      <c r="D105" s="1" t="s">
        <v>28</v>
      </c>
      <c r="E105" s="1">
        <v>27</v>
      </c>
      <c r="F105" s="7">
        <v>44250</v>
      </c>
      <c r="G105" s="8">
        <v>199041</v>
      </c>
      <c r="H105" s="9">
        <v>0.16</v>
      </c>
      <c r="I105" s="1" t="s">
        <v>34</v>
      </c>
      <c r="J105" s="1" t="s">
        <v>64</v>
      </c>
      <c r="K105" s="10" t="s">
        <v>36</v>
      </c>
    </row>
    <row r="106" spans="1:11" x14ac:dyDescent="0.3">
      <c r="A106" s="6" t="s">
        <v>66</v>
      </c>
      <c r="B106" s="1" t="s">
        <v>50</v>
      </c>
      <c r="C106" s="1" t="s">
        <v>39</v>
      </c>
      <c r="D106" s="1" t="s">
        <v>33</v>
      </c>
      <c r="E106" s="1">
        <v>55</v>
      </c>
      <c r="F106" s="7">
        <v>39177</v>
      </c>
      <c r="G106" s="8">
        <v>52310</v>
      </c>
      <c r="H106" s="9">
        <v>0</v>
      </c>
      <c r="I106" s="1" t="s">
        <v>29</v>
      </c>
      <c r="J106" s="1" t="s">
        <v>49</v>
      </c>
      <c r="K106" s="10">
        <v>43385</v>
      </c>
    </row>
    <row r="107" spans="1:11" x14ac:dyDescent="0.3">
      <c r="A107" s="6" t="s">
        <v>25</v>
      </c>
      <c r="B107" s="1" t="s">
        <v>38</v>
      </c>
      <c r="C107" s="1" t="s">
        <v>39</v>
      </c>
      <c r="D107" s="1" t="s">
        <v>33</v>
      </c>
      <c r="E107" s="1">
        <v>64</v>
      </c>
      <c r="F107" s="7">
        <v>41454</v>
      </c>
      <c r="G107" s="8">
        <v>159571</v>
      </c>
      <c r="H107" s="9">
        <v>0.1</v>
      </c>
      <c r="I107" s="1" t="s">
        <v>29</v>
      </c>
      <c r="J107" s="1" t="s">
        <v>58</v>
      </c>
      <c r="K107" s="10" t="s">
        <v>36</v>
      </c>
    </row>
    <row r="108" spans="1:11" x14ac:dyDescent="0.3">
      <c r="A108" s="6" t="s">
        <v>71</v>
      </c>
      <c r="B108" s="1" t="s">
        <v>54</v>
      </c>
      <c r="C108" s="1" t="s">
        <v>27</v>
      </c>
      <c r="D108" s="1" t="s">
        <v>28</v>
      </c>
      <c r="E108" s="1">
        <v>50</v>
      </c>
      <c r="F108" s="7">
        <v>35726</v>
      </c>
      <c r="G108" s="8">
        <v>91763</v>
      </c>
      <c r="H108" s="9">
        <v>0</v>
      </c>
      <c r="I108" s="1" t="s">
        <v>29</v>
      </c>
      <c r="J108" s="1" t="s">
        <v>51</v>
      </c>
      <c r="K108" s="10" t="s">
        <v>36</v>
      </c>
    </row>
    <row r="109" spans="1:11" x14ac:dyDescent="0.3">
      <c r="A109" s="6" t="s">
        <v>80</v>
      </c>
      <c r="B109" s="1" t="s">
        <v>54</v>
      </c>
      <c r="C109" s="1" t="s">
        <v>46</v>
      </c>
      <c r="D109" s="1" t="s">
        <v>28</v>
      </c>
      <c r="E109" s="1">
        <v>51</v>
      </c>
      <c r="F109" s="7">
        <v>35055</v>
      </c>
      <c r="G109" s="8">
        <v>96475</v>
      </c>
      <c r="H109" s="9">
        <v>0</v>
      </c>
      <c r="I109" s="1" t="s">
        <v>29</v>
      </c>
      <c r="J109" s="1" t="s">
        <v>51</v>
      </c>
      <c r="K109" s="10" t="s">
        <v>36</v>
      </c>
    </row>
    <row r="110" spans="1:11" x14ac:dyDescent="0.3">
      <c r="A110" s="6" t="s">
        <v>53</v>
      </c>
      <c r="B110" s="1" t="s">
        <v>54</v>
      </c>
      <c r="C110" s="1" t="s">
        <v>32</v>
      </c>
      <c r="D110" s="1" t="s">
        <v>33</v>
      </c>
      <c r="E110" s="1">
        <v>36</v>
      </c>
      <c r="F110" s="7">
        <v>42706</v>
      </c>
      <c r="G110" s="8">
        <v>113781</v>
      </c>
      <c r="H110" s="9">
        <v>0</v>
      </c>
      <c r="I110" s="1" t="s">
        <v>29</v>
      </c>
      <c r="J110" s="1" t="s">
        <v>58</v>
      </c>
      <c r="K110" s="10" t="s">
        <v>36</v>
      </c>
    </row>
    <row r="111" spans="1:11" x14ac:dyDescent="0.3">
      <c r="A111" s="6" t="s">
        <v>37</v>
      </c>
      <c r="B111" s="1" t="s">
        <v>38</v>
      </c>
      <c r="C111" s="1" t="s">
        <v>27</v>
      </c>
      <c r="D111" s="1" t="s">
        <v>33</v>
      </c>
      <c r="E111" s="1">
        <v>42</v>
      </c>
      <c r="F111" s="7">
        <v>37636</v>
      </c>
      <c r="G111" s="8">
        <v>166599</v>
      </c>
      <c r="H111" s="9">
        <v>0.26</v>
      </c>
      <c r="I111" s="1" t="s">
        <v>29</v>
      </c>
      <c r="J111" s="1" t="s">
        <v>30</v>
      </c>
      <c r="K111" s="10" t="s">
        <v>36</v>
      </c>
    </row>
    <row r="112" spans="1:11" x14ac:dyDescent="0.3">
      <c r="A112" s="6" t="s">
        <v>81</v>
      </c>
      <c r="B112" s="1" t="s">
        <v>45</v>
      </c>
      <c r="C112" s="1" t="s">
        <v>46</v>
      </c>
      <c r="D112" s="1" t="s">
        <v>28</v>
      </c>
      <c r="E112" s="1">
        <v>41</v>
      </c>
      <c r="F112" s="7">
        <v>38398</v>
      </c>
      <c r="G112" s="8">
        <v>95372</v>
      </c>
      <c r="H112" s="9">
        <v>0</v>
      </c>
      <c r="I112" s="1" t="s">
        <v>34</v>
      </c>
      <c r="J112" s="1" t="s">
        <v>55</v>
      </c>
      <c r="K112" s="10" t="s">
        <v>36</v>
      </c>
    </row>
    <row r="113" spans="1:11" x14ac:dyDescent="0.3">
      <c r="A113" s="6" t="s">
        <v>37</v>
      </c>
      <c r="B113" s="1" t="s">
        <v>26</v>
      </c>
      <c r="C113" s="1" t="s">
        <v>27</v>
      </c>
      <c r="D113" s="1" t="s">
        <v>28</v>
      </c>
      <c r="E113" s="1">
        <v>29</v>
      </c>
      <c r="F113" s="7">
        <v>44052</v>
      </c>
      <c r="G113" s="8">
        <v>161203</v>
      </c>
      <c r="H113" s="9">
        <v>0.15</v>
      </c>
      <c r="I113" s="1" t="s">
        <v>34</v>
      </c>
      <c r="J113" s="1" t="s">
        <v>68</v>
      </c>
      <c r="K113" s="10" t="s">
        <v>36</v>
      </c>
    </row>
    <row r="114" spans="1:11" x14ac:dyDescent="0.3">
      <c r="A114" s="6" t="s">
        <v>82</v>
      </c>
      <c r="B114" s="1" t="s">
        <v>26</v>
      </c>
      <c r="C114" s="1" t="s">
        <v>32</v>
      </c>
      <c r="D114" s="1" t="s">
        <v>28</v>
      </c>
      <c r="E114" s="1">
        <v>44</v>
      </c>
      <c r="F114" s="7">
        <v>39064</v>
      </c>
      <c r="G114" s="8">
        <v>74738</v>
      </c>
      <c r="H114" s="9">
        <v>0</v>
      </c>
      <c r="I114" s="1" t="s">
        <v>29</v>
      </c>
      <c r="J114" s="1" t="s">
        <v>49</v>
      </c>
      <c r="K114" s="10" t="s">
        <v>36</v>
      </c>
    </row>
    <row r="115" spans="1:11" x14ac:dyDescent="0.3">
      <c r="A115" s="6" t="s">
        <v>37</v>
      </c>
      <c r="B115" s="1" t="s">
        <v>45</v>
      </c>
      <c r="C115" s="1" t="s">
        <v>27</v>
      </c>
      <c r="D115" s="1" t="s">
        <v>28</v>
      </c>
      <c r="E115" s="1">
        <v>41</v>
      </c>
      <c r="F115" s="7">
        <v>43322</v>
      </c>
      <c r="G115" s="8">
        <v>171173</v>
      </c>
      <c r="H115" s="9">
        <v>0.21</v>
      </c>
      <c r="I115" s="1" t="s">
        <v>29</v>
      </c>
      <c r="J115" s="1" t="s">
        <v>58</v>
      </c>
      <c r="K115" s="10" t="s">
        <v>36</v>
      </c>
    </row>
    <row r="116" spans="1:11" x14ac:dyDescent="0.3">
      <c r="A116" s="6" t="s">
        <v>56</v>
      </c>
      <c r="B116" s="1" t="s">
        <v>45</v>
      </c>
      <c r="C116" s="1" t="s">
        <v>46</v>
      </c>
      <c r="D116" s="1" t="s">
        <v>33</v>
      </c>
      <c r="E116" s="1">
        <v>61</v>
      </c>
      <c r="F116" s="7">
        <v>43732</v>
      </c>
      <c r="G116" s="8">
        <v>201464</v>
      </c>
      <c r="H116" s="9">
        <v>0.37</v>
      </c>
      <c r="I116" s="1" t="s">
        <v>29</v>
      </c>
      <c r="J116" s="1" t="s">
        <v>40</v>
      </c>
      <c r="K116" s="10" t="s">
        <v>36</v>
      </c>
    </row>
    <row r="117" spans="1:11" x14ac:dyDescent="0.3">
      <c r="A117" s="6" t="s">
        <v>37</v>
      </c>
      <c r="B117" s="1" t="s">
        <v>52</v>
      </c>
      <c r="C117" s="1" t="s">
        <v>46</v>
      </c>
      <c r="D117" s="1" t="s">
        <v>33</v>
      </c>
      <c r="E117" s="1">
        <v>50</v>
      </c>
      <c r="F117" s="7">
        <v>35998</v>
      </c>
      <c r="G117" s="8">
        <v>174895</v>
      </c>
      <c r="H117" s="9">
        <v>0.15</v>
      </c>
      <c r="I117" s="1" t="s">
        <v>29</v>
      </c>
      <c r="J117" s="1" t="s">
        <v>40</v>
      </c>
      <c r="K117" s="10" t="s">
        <v>36</v>
      </c>
    </row>
    <row r="118" spans="1:11" x14ac:dyDescent="0.3">
      <c r="A118" s="6" t="s">
        <v>25</v>
      </c>
      <c r="B118" s="1" t="s">
        <v>26</v>
      </c>
      <c r="C118" s="1" t="s">
        <v>32</v>
      </c>
      <c r="D118" s="1" t="s">
        <v>28</v>
      </c>
      <c r="E118" s="1">
        <v>49</v>
      </c>
      <c r="F118" s="7">
        <v>38825</v>
      </c>
      <c r="G118" s="8">
        <v>134486</v>
      </c>
      <c r="H118" s="9">
        <v>0.14000000000000001</v>
      </c>
      <c r="I118" s="1" t="s">
        <v>29</v>
      </c>
      <c r="J118" s="1" t="s">
        <v>51</v>
      </c>
      <c r="K118" s="10" t="s">
        <v>36</v>
      </c>
    </row>
    <row r="119" spans="1:11" x14ac:dyDescent="0.3">
      <c r="A119" s="6" t="s">
        <v>42</v>
      </c>
      <c r="B119" s="1" t="s">
        <v>38</v>
      </c>
      <c r="C119" s="1" t="s">
        <v>32</v>
      </c>
      <c r="D119" s="1" t="s">
        <v>28</v>
      </c>
      <c r="E119" s="1">
        <v>60</v>
      </c>
      <c r="F119" s="7">
        <v>39137</v>
      </c>
      <c r="G119" s="8">
        <v>71699</v>
      </c>
      <c r="H119" s="9">
        <v>0</v>
      </c>
      <c r="I119" s="1" t="s">
        <v>59</v>
      </c>
      <c r="J119" s="1" t="s">
        <v>60</v>
      </c>
      <c r="K119" s="10" t="s">
        <v>36</v>
      </c>
    </row>
    <row r="120" spans="1:11" x14ac:dyDescent="0.3">
      <c r="A120" s="6" t="s">
        <v>42</v>
      </c>
      <c r="B120" s="1" t="s">
        <v>57</v>
      </c>
      <c r="C120" s="1" t="s">
        <v>46</v>
      </c>
      <c r="D120" s="1" t="s">
        <v>28</v>
      </c>
      <c r="E120" s="1">
        <v>42</v>
      </c>
      <c r="F120" s="7">
        <v>44198</v>
      </c>
      <c r="G120" s="8">
        <v>94430</v>
      </c>
      <c r="H120" s="9">
        <v>0</v>
      </c>
      <c r="I120" s="1" t="s">
        <v>29</v>
      </c>
      <c r="J120" s="1" t="s">
        <v>30</v>
      </c>
      <c r="K120" s="10" t="s">
        <v>36</v>
      </c>
    </row>
    <row r="121" spans="1:11" x14ac:dyDescent="0.3">
      <c r="A121" s="6" t="s">
        <v>47</v>
      </c>
      <c r="B121" s="1" t="s">
        <v>38</v>
      </c>
      <c r="C121" s="1" t="s">
        <v>46</v>
      </c>
      <c r="D121" s="1" t="s">
        <v>33</v>
      </c>
      <c r="E121" s="1">
        <v>39</v>
      </c>
      <c r="F121" s="7">
        <v>40192</v>
      </c>
      <c r="G121" s="8">
        <v>103504</v>
      </c>
      <c r="H121" s="9">
        <v>7.0000000000000007E-2</v>
      </c>
      <c r="I121" s="1" t="s">
        <v>34</v>
      </c>
      <c r="J121" s="1" t="s">
        <v>68</v>
      </c>
      <c r="K121" s="10" t="s">
        <v>36</v>
      </c>
    </row>
    <row r="122" spans="1:11" x14ac:dyDescent="0.3">
      <c r="A122" s="6" t="s">
        <v>67</v>
      </c>
      <c r="B122" s="1" t="s">
        <v>26</v>
      </c>
      <c r="C122" s="1" t="s">
        <v>32</v>
      </c>
      <c r="D122" s="1" t="s">
        <v>28</v>
      </c>
      <c r="E122" s="1">
        <v>55</v>
      </c>
      <c r="F122" s="7">
        <v>38573</v>
      </c>
      <c r="G122" s="8">
        <v>92771</v>
      </c>
      <c r="H122" s="9">
        <v>0</v>
      </c>
      <c r="I122" s="1" t="s">
        <v>29</v>
      </c>
      <c r="J122" s="1" t="s">
        <v>49</v>
      </c>
      <c r="K122" s="10" t="s">
        <v>36</v>
      </c>
    </row>
    <row r="123" spans="1:11" x14ac:dyDescent="0.3">
      <c r="A123" s="6" t="s">
        <v>66</v>
      </c>
      <c r="B123" s="1" t="s">
        <v>38</v>
      </c>
      <c r="C123" s="1" t="s">
        <v>39</v>
      </c>
      <c r="D123" s="1" t="s">
        <v>28</v>
      </c>
      <c r="E123" s="1">
        <v>39</v>
      </c>
      <c r="F123" s="7">
        <v>38813</v>
      </c>
      <c r="G123" s="8">
        <v>71531</v>
      </c>
      <c r="H123" s="9">
        <v>0</v>
      </c>
      <c r="I123" s="1" t="s">
        <v>29</v>
      </c>
      <c r="J123" s="1" t="s">
        <v>58</v>
      </c>
      <c r="K123" s="10" t="s">
        <v>36</v>
      </c>
    </row>
    <row r="124" spans="1:11" x14ac:dyDescent="0.3">
      <c r="A124" s="6" t="s">
        <v>75</v>
      </c>
      <c r="B124" s="1" t="s">
        <v>26</v>
      </c>
      <c r="C124" s="1" t="s">
        <v>39</v>
      </c>
      <c r="D124" s="1" t="s">
        <v>33</v>
      </c>
      <c r="E124" s="1">
        <v>28</v>
      </c>
      <c r="F124" s="7">
        <v>43530</v>
      </c>
      <c r="G124" s="8">
        <v>90304</v>
      </c>
      <c r="H124" s="9">
        <v>0</v>
      </c>
      <c r="I124" s="1" t="s">
        <v>29</v>
      </c>
      <c r="J124" s="1" t="s">
        <v>40</v>
      </c>
      <c r="K124" s="10" t="s">
        <v>36</v>
      </c>
    </row>
    <row r="125" spans="1:11" x14ac:dyDescent="0.3">
      <c r="A125" s="6" t="s">
        <v>47</v>
      </c>
      <c r="B125" s="1" t="s">
        <v>57</v>
      </c>
      <c r="C125" s="1" t="s">
        <v>32</v>
      </c>
      <c r="D125" s="1" t="s">
        <v>28</v>
      </c>
      <c r="E125" s="1">
        <v>65</v>
      </c>
      <c r="F125" s="7">
        <v>40793</v>
      </c>
      <c r="G125" s="8">
        <v>104903</v>
      </c>
      <c r="H125" s="9">
        <v>0.1</v>
      </c>
      <c r="I125" s="1" t="s">
        <v>29</v>
      </c>
      <c r="J125" s="1" t="s">
        <v>58</v>
      </c>
      <c r="K125" s="10" t="s">
        <v>36</v>
      </c>
    </row>
    <row r="126" spans="1:11" x14ac:dyDescent="0.3">
      <c r="A126" s="6" t="s">
        <v>48</v>
      </c>
      <c r="B126" s="1" t="s">
        <v>38</v>
      </c>
      <c r="C126" s="1" t="s">
        <v>46</v>
      </c>
      <c r="D126" s="1" t="s">
        <v>28</v>
      </c>
      <c r="E126" s="1">
        <v>52</v>
      </c>
      <c r="F126" s="7">
        <v>43515</v>
      </c>
      <c r="G126" s="8">
        <v>55859</v>
      </c>
      <c r="H126" s="9">
        <v>0</v>
      </c>
      <c r="I126" s="1" t="s">
        <v>34</v>
      </c>
      <c r="J126" s="1" t="s">
        <v>64</v>
      </c>
      <c r="K126" s="10" t="s">
        <v>36</v>
      </c>
    </row>
    <row r="127" spans="1:11" x14ac:dyDescent="0.3">
      <c r="A127" s="6" t="s">
        <v>73</v>
      </c>
      <c r="B127" s="1" t="s">
        <v>54</v>
      </c>
      <c r="C127" s="1" t="s">
        <v>46</v>
      </c>
      <c r="D127" s="1" t="s">
        <v>28</v>
      </c>
      <c r="E127" s="1">
        <v>62</v>
      </c>
      <c r="F127" s="7">
        <v>39002</v>
      </c>
      <c r="G127" s="8">
        <v>79785</v>
      </c>
      <c r="H127" s="9">
        <v>0</v>
      </c>
      <c r="I127" s="1" t="s">
        <v>29</v>
      </c>
      <c r="J127" s="1" t="s">
        <v>51</v>
      </c>
      <c r="K127" s="10" t="s">
        <v>36</v>
      </c>
    </row>
    <row r="128" spans="1:11" x14ac:dyDescent="0.3">
      <c r="A128" s="6" t="s">
        <v>42</v>
      </c>
      <c r="B128" s="1" t="s">
        <v>57</v>
      </c>
      <c r="C128" s="1" t="s">
        <v>46</v>
      </c>
      <c r="D128" s="1" t="s">
        <v>28</v>
      </c>
      <c r="E128" s="1">
        <v>39</v>
      </c>
      <c r="F128" s="7">
        <v>39391</v>
      </c>
      <c r="G128" s="8">
        <v>99017</v>
      </c>
      <c r="H128" s="9">
        <v>0</v>
      </c>
      <c r="I128" s="1" t="s">
        <v>34</v>
      </c>
      <c r="J128" s="1" t="s">
        <v>64</v>
      </c>
      <c r="K128" s="10" t="s">
        <v>36</v>
      </c>
    </row>
    <row r="129" spans="1:11" x14ac:dyDescent="0.3">
      <c r="A129" s="6" t="s">
        <v>83</v>
      </c>
      <c r="B129" s="1" t="s">
        <v>26</v>
      </c>
      <c r="C129" s="1" t="s">
        <v>32</v>
      </c>
      <c r="D129" s="1" t="s">
        <v>28</v>
      </c>
      <c r="E129" s="1">
        <v>63</v>
      </c>
      <c r="F129" s="7">
        <v>33695</v>
      </c>
      <c r="G129" s="8">
        <v>53809</v>
      </c>
      <c r="H129" s="9">
        <v>0</v>
      </c>
      <c r="I129" s="1" t="s">
        <v>29</v>
      </c>
      <c r="J129" s="1" t="s">
        <v>43</v>
      </c>
      <c r="K129" s="10" t="s">
        <v>36</v>
      </c>
    </row>
    <row r="130" spans="1:11" x14ac:dyDescent="0.3">
      <c r="A130" s="6" t="s">
        <v>71</v>
      </c>
      <c r="B130" s="1" t="s">
        <v>54</v>
      </c>
      <c r="C130" s="1" t="s">
        <v>39</v>
      </c>
      <c r="D130" s="1" t="s">
        <v>33</v>
      </c>
      <c r="E130" s="1">
        <v>27</v>
      </c>
      <c r="F130" s="7">
        <v>43937</v>
      </c>
      <c r="G130" s="8">
        <v>71864</v>
      </c>
      <c r="H130" s="9">
        <v>0</v>
      </c>
      <c r="I130" s="1" t="s">
        <v>34</v>
      </c>
      <c r="J130" s="1" t="s">
        <v>68</v>
      </c>
      <c r="K130" s="10" t="s">
        <v>36</v>
      </c>
    </row>
    <row r="131" spans="1:11" x14ac:dyDescent="0.3">
      <c r="A131" s="6" t="s">
        <v>56</v>
      </c>
      <c r="B131" s="1" t="s">
        <v>38</v>
      </c>
      <c r="C131" s="1" t="s">
        <v>46</v>
      </c>
      <c r="D131" s="1" t="s">
        <v>28</v>
      </c>
      <c r="E131" s="1">
        <v>37</v>
      </c>
      <c r="F131" s="7">
        <v>40883</v>
      </c>
      <c r="G131" s="8">
        <v>225558</v>
      </c>
      <c r="H131" s="9">
        <v>0.33</v>
      </c>
      <c r="I131" s="1" t="s">
        <v>34</v>
      </c>
      <c r="J131" s="1" t="s">
        <v>55</v>
      </c>
      <c r="K131" s="10" t="s">
        <v>36</v>
      </c>
    </row>
    <row r="132" spans="1:11" x14ac:dyDescent="0.3">
      <c r="A132" s="6" t="s">
        <v>25</v>
      </c>
      <c r="B132" s="1" t="s">
        <v>26</v>
      </c>
      <c r="C132" s="1" t="s">
        <v>32</v>
      </c>
      <c r="D132" s="1" t="s">
        <v>33</v>
      </c>
      <c r="E132" s="1">
        <v>37</v>
      </c>
      <c r="F132" s="7">
        <v>41695</v>
      </c>
      <c r="G132" s="8">
        <v>128984</v>
      </c>
      <c r="H132" s="9">
        <v>0.12</v>
      </c>
      <c r="I132" s="1" t="s">
        <v>29</v>
      </c>
      <c r="J132" s="1" t="s">
        <v>49</v>
      </c>
      <c r="K132" s="10">
        <v>44317</v>
      </c>
    </row>
    <row r="133" spans="1:11" x14ac:dyDescent="0.3">
      <c r="A133" s="6" t="s">
        <v>71</v>
      </c>
      <c r="B133" s="1" t="s">
        <v>54</v>
      </c>
      <c r="C133" s="1" t="s">
        <v>39</v>
      </c>
      <c r="D133" s="1" t="s">
        <v>33</v>
      </c>
      <c r="E133" s="1">
        <v>46</v>
      </c>
      <c r="F133" s="7">
        <v>36331</v>
      </c>
      <c r="G133" s="8">
        <v>96997</v>
      </c>
      <c r="H133" s="9">
        <v>0</v>
      </c>
      <c r="I133" s="1" t="s">
        <v>59</v>
      </c>
      <c r="J133" s="1" t="s">
        <v>76</v>
      </c>
      <c r="K133" s="10" t="s">
        <v>36</v>
      </c>
    </row>
    <row r="134" spans="1:11" x14ac:dyDescent="0.3">
      <c r="A134" s="6" t="s">
        <v>37</v>
      </c>
      <c r="B134" s="1" t="s">
        <v>52</v>
      </c>
      <c r="C134" s="1" t="s">
        <v>32</v>
      </c>
      <c r="D134" s="1" t="s">
        <v>28</v>
      </c>
      <c r="E134" s="1">
        <v>54</v>
      </c>
      <c r="F134" s="7">
        <v>43122</v>
      </c>
      <c r="G134" s="8">
        <v>176294</v>
      </c>
      <c r="H134" s="9">
        <v>0.28000000000000003</v>
      </c>
      <c r="I134" s="1" t="s">
        <v>29</v>
      </c>
      <c r="J134" s="1" t="s">
        <v>51</v>
      </c>
      <c r="K134" s="10" t="s">
        <v>36</v>
      </c>
    </row>
    <row r="135" spans="1:11" x14ac:dyDescent="0.3">
      <c r="A135" s="6" t="s">
        <v>48</v>
      </c>
      <c r="B135" s="1" t="s">
        <v>45</v>
      </c>
      <c r="C135" s="1" t="s">
        <v>27</v>
      </c>
      <c r="D135" s="1" t="s">
        <v>28</v>
      </c>
      <c r="E135" s="1">
        <v>30</v>
      </c>
      <c r="F135" s="7">
        <v>44241</v>
      </c>
      <c r="G135" s="8">
        <v>48340</v>
      </c>
      <c r="H135" s="9">
        <v>0</v>
      </c>
      <c r="I135" s="1" t="s">
        <v>34</v>
      </c>
      <c r="J135" s="1" t="s">
        <v>64</v>
      </c>
      <c r="K135" s="10" t="s">
        <v>36</v>
      </c>
    </row>
    <row r="136" spans="1:11" x14ac:dyDescent="0.3">
      <c r="A136" s="6" t="s">
        <v>56</v>
      </c>
      <c r="B136" s="1" t="s">
        <v>54</v>
      </c>
      <c r="C136" s="1" t="s">
        <v>46</v>
      </c>
      <c r="D136" s="1" t="s">
        <v>28</v>
      </c>
      <c r="E136" s="1">
        <v>28</v>
      </c>
      <c r="F136" s="7">
        <v>42922</v>
      </c>
      <c r="G136" s="8">
        <v>240488</v>
      </c>
      <c r="H136" s="9">
        <v>0.4</v>
      </c>
      <c r="I136" s="1" t="s">
        <v>59</v>
      </c>
      <c r="J136" s="1" t="s">
        <v>61</v>
      </c>
      <c r="K136" s="10" t="s">
        <v>36</v>
      </c>
    </row>
    <row r="137" spans="1:11" x14ac:dyDescent="0.3">
      <c r="A137" s="6" t="s">
        <v>67</v>
      </c>
      <c r="B137" s="1" t="s">
        <v>26</v>
      </c>
      <c r="C137" s="1" t="s">
        <v>32</v>
      </c>
      <c r="D137" s="1" t="s">
        <v>33</v>
      </c>
      <c r="E137" s="1">
        <v>40</v>
      </c>
      <c r="F137" s="7">
        <v>40565</v>
      </c>
      <c r="G137" s="8">
        <v>97339</v>
      </c>
      <c r="H137" s="9">
        <v>0</v>
      </c>
      <c r="I137" s="1" t="s">
        <v>29</v>
      </c>
      <c r="J137" s="1" t="s">
        <v>51</v>
      </c>
      <c r="K137" s="10" t="s">
        <v>36</v>
      </c>
    </row>
    <row r="138" spans="1:11" x14ac:dyDescent="0.3">
      <c r="A138" s="6" t="s">
        <v>56</v>
      </c>
      <c r="B138" s="1" t="s">
        <v>52</v>
      </c>
      <c r="C138" s="1" t="s">
        <v>32</v>
      </c>
      <c r="D138" s="1" t="s">
        <v>28</v>
      </c>
      <c r="E138" s="1">
        <v>49</v>
      </c>
      <c r="F138" s="7">
        <v>37680</v>
      </c>
      <c r="G138" s="8">
        <v>211291</v>
      </c>
      <c r="H138" s="9">
        <v>0.37</v>
      </c>
      <c r="I138" s="1" t="s">
        <v>34</v>
      </c>
      <c r="J138" s="1" t="s">
        <v>35</v>
      </c>
      <c r="K138" s="10" t="s">
        <v>36</v>
      </c>
    </row>
    <row r="139" spans="1:11" x14ac:dyDescent="0.3">
      <c r="A139" s="6" t="s">
        <v>56</v>
      </c>
      <c r="B139" s="1" t="s">
        <v>45</v>
      </c>
      <c r="C139" s="1" t="s">
        <v>27</v>
      </c>
      <c r="D139" s="1" t="s">
        <v>33</v>
      </c>
      <c r="E139" s="1">
        <v>39</v>
      </c>
      <c r="F139" s="7">
        <v>40778</v>
      </c>
      <c r="G139" s="8">
        <v>249506</v>
      </c>
      <c r="H139" s="9">
        <v>0.3</v>
      </c>
      <c r="I139" s="1" t="s">
        <v>59</v>
      </c>
      <c r="J139" s="1" t="s">
        <v>61</v>
      </c>
      <c r="K139" s="10" t="s">
        <v>36</v>
      </c>
    </row>
    <row r="140" spans="1:11" x14ac:dyDescent="0.3">
      <c r="A140" s="6" t="s">
        <v>62</v>
      </c>
      <c r="B140" s="1" t="s">
        <v>54</v>
      </c>
      <c r="C140" s="1" t="s">
        <v>39</v>
      </c>
      <c r="D140" s="1" t="s">
        <v>33</v>
      </c>
      <c r="E140" s="1">
        <v>61</v>
      </c>
      <c r="F140" s="7">
        <v>37582</v>
      </c>
      <c r="G140" s="8">
        <v>80950</v>
      </c>
      <c r="H140" s="9">
        <v>0</v>
      </c>
      <c r="I140" s="1" t="s">
        <v>34</v>
      </c>
      <c r="J140" s="1" t="s">
        <v>35</v>
      </c>
      <c r="K140" s="10" t="s">
        <v>36</v>
      </c>
    </row>
    <row r="141" spans="1:11" x14ac:dyDescent="0.3">
      <c r="A141" s="6" t="s">
        <v>72</v>
      </c>
      <c r="B141" s="1" t="s">
        <v>54</v>
      </c>
      <c r="C141" s="1" t="s">
        <v>27</v>
      </c>
      <c r="D141" s="1" t="s">
        <v>28</v>
      </c>
      <c r="E141" s="1">
        <v>46</v>
      </c>
      <c r="F141" s="7">
        <v>44206</v>
      </c>
      <c r="G141" s="8">
        <v>86538</v>
      </c>
      <c r="H141" s="9">
        <v>0</v>
      </c>
      <c r="I141" s="1" t="s">
        <v>34</v>
      </c>
      <c r="J141" s="1" t="s">
        <v>68</v>
      </c>
      <c r="K141" s="10" t="s">
        <v>36</v>
      </c>
    </row>
    <row r="142" spans="1:11" x14ac:dyDescent="0.3">
      <c r="A142" s="6" t="s">
        <v>42</v>
      </c>
      <c r="B142" s="1" t="s">
        <v>57</v>
      </c>
      <c r="C142" s="1" t="s">
        <v>39</v>
      </c>
      <c r="D142" s="1" t="s">
        <v>28</v>
      </c>
      <c r="E142" s="1">
        <v>35</v>
      </c>
      <c r="F142" s="7">
        <v>43715</v>
      </c>
      <c r="G142" s="8">
        <v>70992</v>
      </c>
      <c r="H142" s="9">
        <v>0</v>
      </c>
      <c r="I142" s="1" t="s">
        <v>29</v>
      </c>
      <c r="J142" s="1" t="s">
        <v>51</v>
      </c>
      <c r="K142" s="10" t="s">
        <v>36</v>
      </c>
    </row>
    <row r="143" spans="1:11" x14ac:dyDescent="0.3">
      <c r="A143" s="6" t="s">
        <v>56</v>
      </c>
      <c r="B143" s="1" t="s">
        <v>54</v>
      </c>
      <c r="C143" s="1" t="s">
        <v>46</v>
      </c>
      <c r="D143" s="1" t="s">
        <v>33</v>
      </c>
      <c r="E143" s="1">
        <v>33</v>
      </c>
      <c r="F143" s="7">
        <v>42173</v>
      </c>
      <c r="G143" s="8">
        <v>205314</v>
      </c>
      <c r="H143" s="9">
        <v>0.3</v>
      </c>
      <c r="I143" s="1" t="s">
        <v>29</v>
      </c>
      <c r="J143" s="1" t="s">
        <v>58</v>
      </c>
      <c r="K143" s="10" t="s">
        <v>36</v>
      </c>
    </row>
    <row r="144" spans="1:11" x14ac:dyDescent="0.3">
      <c r="A144" s="6" t="s">
        <v>56</v>
      </c>
      <c r="B144" s="1" t="s">
        <v>52</v>
      </c>
      <c r="C144" s="1" t="s">
        <v>46</v>
      </c>
      <c r="D144" s="1" t="s">
        <v>28</v>
      </c>
      <c r="E144" s="1">
        <v>61</v>
      </c>
      <c r="F144" s="7">
        <v>42804</v>
      </c>
      <c r="G144" s="8">
        <v>196951</v>
      </c>
      <c r="H144" s="9">
        <v>0.33</v>
      </c>
      <c r="I144" s="1" t="s">
        <v>34</v>
      </c>
      <c r="J144" s="1" t="s">
        <v>64</v>
      </c>
      <c r="K144" s="10" t="s">
        <v>36</v>
      </c>
    </row>
    <row r="145" spans="1:11" x14ac:dyDescent="0.3">
      <c r="A145" s="6" t="s">
        <v>79</v>
      </c>
      <c r="B145" s="1" t="s">
        <v>26</v>
      </c>
      <c r="C145" s="1" t="s">
        <v>39</v>
      </c>
      <c r="D145" s="1" t="s">
        <v>33</v>
      </c>
      <c r="E145" s="1">
        <v>45</v>
      </c>
      <c r="F145" s="7">
        <v>38613</v>
      </c>
      <c r="G145" s="8">
        <v>67686</v>
      </c>
      <c r="H145" s="9">
        <v>0</v>
      </c>
      <c r="I145" s="1" t="s">
        <v>34</v>
      </c>
      <c r="J145" s="1" t="s">
        <v>64</v>
      </c>
      <c r="K145" s="10" t="s">
        <v>36</v>
      </c>
    </row>
    <row r="146" spans="1:11" x14ac:dyDescent="0.3">
      <c r="A146" s="6" t="s">
        <v>31</v>
      </c>
      <c r="B146" s="1" t="s">
        <v>26</v>
      </c>
      <c r="C146" s="1" t="s">
        <v>27</v>
      </c>
      <c r="D146" s="1" t="s">
        <v>33</v>
      </c>
      <c r="E146" s="1">
        <v>51</v>
      </c>
      <c r="F146" s="7">
        <v>39553</v>
      </c>
      <c r="G146" s="8">
        <v>86431</v>
      </c>
      <c r="H146" s="9">
        <v>0</v>
      </c>
      <c r="I146" s="1" t="s">
        <v>29</v>
      </c>
      <c r="J146" s="1" t="s">
        <v>58</v>
      </c>
      <c r="K146" s="10" t="s">
        <v>36</v>
      </c>
    </row>
    <row r="147" spans="1:11" x14ac:dyDescent="0.3">
      <c r="A147" s="6" t="s">
        <v>47</v>
      </c>
      <c r="B147" s="1" t="s">
        <v>52</v>
      </c>
      <c r="C147" s="1" t="s">
        <v>32</v>
      </c>
      <c r="D147" s="1" t="s">
        <v>33</v>
      </c>
      <c r="E147" s="1">
        <v>55</v>
      </c>
      <c r="F147" s="7">
        <v>35019</v>
      </c>
      <c r="G147" s="8">
        <v>125936</v>
      </c>
      <c r="H147" s="9">
        <v>0.08</v>
      </c>
      <c r="I147" s="1" t="s">
        <v>34</v>
      </c>
      <c r="J147" s="1" t="s">
        <v>35</v>
      </c>
      <c r="K147" s="10" t="s">
        <v>36</v>
      </c>
    </row>
    <row r="148" spans="1:11" x14ac:dyDescent="0.3">
      <c r="A148" s="6" t="s">
        <v>25</v>
      </c>
      <c r="B148" s="1" t="s">
        <v>45</v>
      </c>
      <c r="C148" s="1" t="s">
        <v>46</v>
      </c>
      <c r="D148" s="1" t="s">
        <v>28</v>
      </c>
      <c r="E148" s="1">
        <v>46</v>
      </c>
      <c r="F148" s="7">
        <v>41473</v>
      </c>
      <c r="G148" s="8">
        <v>149712</v>
      </c>
      <c r="H148" s="9">
        <v>0.14000000000000001</v>
      </c>
      <c r="I148" s="1" t="s">
        <v>29</v>
      </c>
      <c r="J148" s="1" t="s">
        <v>58</v>
      </c>
      <c r="K148" s="10" t="s">
        <v>36</v>
      </c>
    </row>
    <row r="149" spans="1:11" x14ac:dyDescent="0.3">
      <c r="A149" s="6" t="s">
        <v>71</v>
      </c>
      <c r="B149" s="1" t="s">
        <v>54</v>
      </c>
      <c r="C149" s="1" t="s">
        <v>39</v>
      </c>
      <c r="D149" s="1" t="s">
        <v>33</v>
      </c>
      <c r="E149" s="1">
        <v>30</v>
      </c>
      <c r="F149" s="7">
        <v>44471</v>
      </c>
      <c r="G149" s="8">
        <v>88758</v>
      </c>
      <c r="H149" s="9">
        <v>0</v>
      </c>
      <c r="I149" s="1" t="s">
        <v>29</v>
      </c>
      <c r="J149" s="1" t="s">
        <v>30</v>
      </c>
      <c r="K149" s="10" t="s">
        <v>36</v>
      </c>
    </row>
    <row r="150" spans="1:11" x14ac:dyDescent="0.3">
      <c r="A150" s="6" t="s">
        <v>84</v>
      </c>
      <c r="B150" s="1" t="s">
        <v>26</v>
      </c>
      <c r="C150" s="1" t="s">
        <v>27</v>
      </c>
      <c r="D150" s="1" t="s">
        <v>33</v>
      </c>
      <c r="E150" s="1">
        <v>54</v>
      </c>
      <c r="F150" s="7">
        <v>41468</v>
      </c>
      <c r="G150" s="8">
        <v>83639</v>
      </c>
      <c r="H150" s="9">
        <v>0</v>
      </c>
      <c r="I150" s="1" t="s">
        <v>34</v>
      </c>
      <c r="J150" s="1" t="s">
        <v>64</v>
      </c>
      <c r="K150" s="10" t="s">
        <v>36</v>
      </c>
    </row>
    <row r="151" spans="1:11" x14ac:dyDescent="0.3">
      <c r="A151" s="6" t="s">
        <v>78</v>
      </c>
      <c r="B151" s="1" t="s">
        <v>26</v>
      </c>
      <c r="C151" s="1" t="s">
        <v>27</v>
      </c>
      <c r="D151" s="1" t="s">
        <v>28</v>
      </c>
      <c r="E151" s="1">
        <v>54</v>
      </c>
      <c r="F151" s="7">
        <v>35933</v>
      </c>
      <c r="G151" s="8">
        <v>68268</v>
      </c>
      <c r="H151" s="9">
        <v>0</v>
      </c>
      <c r="I151" s="1" t="s">
        <v>29</v>
      </c>
      <c r="J151" s="1" t="s">
        <v>43</v>
      </c>
      <c r="K151" s="10" t="s">
        <v>36</v>
      </c>
    </row>
    <row r="152" spans="1:11" x14ac:dyDescent="0.3">
      <c r="A152" s="6" t="s">
        <v>71</v>
      </c>
      <c r="B152" s="1" t="s">
        <v>54</v>
      </c>
      <c r="C152" s="1" t="s">
        <v>32</v>
      </c>
      <c r="D152" s="1" t="s">
        <v>33</v>
      </c>
      <c r="E152" s="1">
        <v>45</v>
      </c>
      <c r="F152" s="7">
        <v>37313</v>
      </c>
      <c r="G152" s="8">
        <v>75819</v>
      </c>
      <c r="H152" s="9">
        <v>0</v>
      </c>
      <c r="I152" s="1" t="s">
        <v>59</v>
      </c>
      <c r="J152" s="1" t="s">
        <v>76</v>
      </c>
      <c r="K152" s="10" t="s">
        <v>36</v>
      </c>
    </row>
    <row r="153" spans="1:11" x14ac:dyDescent="0.3">
      <c r="A153" s="6" t="s">
        <v>42</v>
      </c>
      <c r="B153" s="1" t="s">
        <v>45</v>
      </c>
      <c r="C153" s="1" t="s">
        <v>39</v>
      </c>
      <c r="D153" s="1" t="s">
        <v>28</v>
      </c>
      <c r="E153" s="1">
        <v>49</v>
      </c>
      <c r="F153" s="7">
        <v>35200</v>
      </c>
      <c r="G153" s="8">
        <v>86658</v>
      </c>
      <c r="H153" s="9">
        <v>0</v>
      </c>
      <c r="I153" s="1" t="s">
        <v>29</v>
      </c>
      <c r="J153" s="1" t="s">
        <v>43</v>
      </c>
      <c r="K153" s="10" t="s">
        <v>36</v>
      </c>
    </row>
    <row r="154" spans="1:11" x14ac:dyDescent="0.3">
      <c r="A154" s="6" t="s">
        <v>66</v>
      </c>
      <c r="B154" s="1" t="s">
        <v>38</v>
      </c>
      <c r="C154" s="1" t="s">
        <v>27</v>
      </c>
      <c r="D154" s="1" t="s">
        <v>33</v>
      </c>
      <c r="E154" s="1">
        <v>55</v>
      </c>
      <c r="F154" s="7">
        <v>41714</v>
      </c>
      <c r="G154" s="8">
        <v>74552</v>
      </c>
      <c r="H154" s="9">
        <v>0</v>
      </c>
      <c r="I154" s="1" t="s">
        <v>34</v>
      </c>
      <c r="J154" s="1" t="s">
        <v>68</v>
      </c>
      <c r="K154" s="10" t="s">
        <v>36</v>
      </c>
    </row>
    <row r="155" spans="1:11" x14ac:dyDescent="0.3">
      <c r="A155" s="6" t="s">
        <v>67</v>
      </c>
      <c r="B155" s="1" t="s">
        <v>26</v>
      </c>
      <c r="C155" s="1" t="s">
        <v>32</v>
      </c>
      <c r="D155" s="1" t="s">
        <v>28</v>
      </c>
      <c r="E155" s="1">
        <v>62</v>
      </c>
      <c r="F155" s="7">
        <v>39887</v>
      </c>
      <c r="G155" s="8">
        <v>82839</v>
      </c>
      <c r="H155" s="9">
        <v>0</v>
      </c>
      <c r="I155" s="1" t="s">
        <v>29</v>
      </c>
      <c r="J155" s="1" t="s">
        <v>49</v>
      </c>
      <c r="K155" s="10" t="s">
        <v>36</v>
      </c>
    </row>
    <row r="156" spans="1:11" x14ac:dyDescent="0.3">
      <c r="A156" s="6" t="s">
        <v>78</v>
      </c>
      <c r="B156" s="1" t="s">
        <v>26</v>
      </c>
      <c r="C156" s="1" t="s">
        <v>39</v>
      </c>
      <c r="D156" s="1" t="s">
        <v>28</v>
      </c>
      <c r="E156" s="1">
        <v>28</v>
      </c>
      <c r="F156" s="7">
        <v>44477</v>
      </c>
      <c r="G156" s="8">
        <v>64475</v>
      </c>
      <c r="H156" s="9">
        <v>0</v>
      </c>
      <c r="I156" s="1" t="s">
        <v>29</v>
      </c>
      <c r="J156" s="1" t="s">
        <v>43</v>
      </c>
      <c r="K156" s="10" t="s">
        <v>36</v>
      </c>
    </row>
    <row r="157" spans="1:11" x14ac:dyDescent="0.3">
      <c r="A157" s="6" t="s">
        <v>78</v>
      </c>
      <c r="B157" s="1" t="s">
        <v>26</v>
      </c>
      <c r="C157" s="1" t="s">
        <v>32</v>
      </c>
      <c r="D157" s="1" t="s">
        <v>33</v>
      </c>
      <c r="E157" s="1">
        <v>33</v>
      </c>
      <c r="F157" s="7">
        <v>44036</v>
      </c>
      <c r="G157" s="8">
        <v>69453</v>
      </c>
      <c r="H157" s="9">
        <v>0</v>
      </c>
      <c r="I157" s="1" t="s">
        <v>34</v>
      </c>
      <c r="J157" s="1" t="s">
        <v>68</v>
      </c>
      <c r="K157" s="10" t="s">
        <v>36</v>
      </c>
    </row>
    <row r="158" spans="1:11" x14ac:dyDescent="0.3">
      <c r="A158" s="6" t="s">
        <v>47</v>
      </c>
      <c r="B158" s="1" t="s">
        <v>26</v>
      </c>
      <c r="C158" s="1" t="s">
        <v>46</v>
      </c>
      <c r="D158" s="1" t="s">
        <v>33</v>
      </c>
      <c r="E158" s="1">
        <v>32</v>
      </c>
      <c r="F158" s="7">
        <v>41642</v>
      </c>
      <c r="G158" s="8">
        <v>127148</v>
      </c>
      <c r="H158" s="9">
        <v>0.1</v>
      </c>
      <c r="I158" s="1" t="s">
        <v>29</v>
      </c>
      <c r="J158" s="1" t="s">
        <v>49</v>
      </c>
      <c r="K158" s="10" t="s">
        <v>36</v>
      </c>
    </row>
    <row r="159" spans="1:11" x14ac:dyDescent="0.3">
      <c r="A159" s="6" t="s">
        <v>56</v>
      </c>
      <c r="B159" s="1" t="s">
        <v>38</v>
      </c>
      <c r="C159" s="1" t="s">
        <v>39</v>
      </c>
      <c r="D159" s="1" t="s">
        <v>28</v>
      </c>
      <c r="E159" s="1">
        <v>32</v>
      </c>
      <c r="F159" s="7">
        <v>43102</v>
      </c>
      <c r="G159" s="8">
        <v>190253</v>
      </c>
      <c r="H159" s="9">
        <v>0.33</v>
      </c>
      <c r="I159" s="1" t="s">
        <v>29</v>
      </c>
      <c r="J159" s="1" t="s">
        <v>51</v>
      </c>
      <c r="K159" s="10" t="s">
        <v>36</v>
      </c>
    </row>
    <row r="160" spans="1:11" x14ac:dyDescent="0.3">
      <c r="A160" s="6" t="s">
        <v>47</v>
      </c>
      <c r="B160" s="1" t="s">
        <v>50</v>
      </c>
      <c r="C160" s="1" t="s">
        <v>27</v>
      </c>
      <c r="D160" s="1" t="s">
        <v>33</v>
      </c>
      <c r="E160" s="1">
        <v>55</v>
      </c>
      <c r="F160" s="7">
        <v>36644</v>
      </c>
      <c r="G160" s="8">
        <v>115798</v>
      </c>
      <c r="H160" s="9">
        <v>0.05</v>
      </c>
      <c r="I160" s="1" t="s">
        <v>29</v>
      </c>
      <c r="J160" s="1" t="s">
        <v>49</v>
      </c>
      <c r="K160" s="10" t="s">
        <v>36</v>
      </c>
    </row>
    <row r="161" spans="1:11" x14ac:dyDescent="0.3">
      <c r="A161" s="6" t="s">
        <v>69</v>
      </c>
      <c r="B161" s="1" t="s">
        <v>52</v>
      </c>
      <c r="C161" s="1" t="s">
        <v>27</v>
      </c>
      <c r="D161" s="1" t="s">
        <v>28</v>
      </c>
      <c r="E161" s="1">
        <v>58</v>
      </c>
      <c r="F161" s="7">
        <v>34567</v>
      </c>
      <c r="G161" s="8">
        <v>93102</v>
      </c>
      <c r="H161" s="9">
        <v>0</v>
      </c>
      <c r="I161" s="1" t="s">
        <v>29</v>
      </c>
      <c r="J161" s="1" t="s">
        <v>30</v>
      </c>
      <c r="K161" s="10">
        <v>41621</v>
      </c>
    </row>
    <row r="162" spans="1:11" x14ac:dyDescent="0.3">
      <c r="A162" s="6" t="s">
        <v>63</v>
      </c>
      <c r="B162" s="1" t="s">
        <v>54</v>
      </c>
      <c r="C162" s="1" t="s">
        <v>39</v>
      </c>
      <c r="D162" s="1" t="s">
        <v>33</v>
      </c>
      <c r="E162" s="1">
        <v>34</v>
      </c>
      <c r="F162" s="7">
        <v>43055</v>
      </c>
      <c r="G162" s="8">
        <v>110054</v>
      </c>
      <c r="H162" s="9">
        <v>0.15</v>
      </c>
      <c r="I162" s="1" t="s">
        <v>29</v>
      </c>
      <c r="J162" s="1" t="s">
        <v>49</v>
      </c>
      <c r="K162" s="10" t="s">
        <v>36</v>
      </c>
    </row>
    <row r="163" spans="1:11" x14ac:dyDescent="0.3">
      <c r="A163" s="6" t="s">
        <v>62</v>
      </c>
      <c r="B163" s="1" t="s">
        <v>54</v>
      </c>
      <c r="C163" s="1" t="s">
        <v>27</v>
      </c>
      <c r="D163" s="1" t="s">
        <v>28</v>
      </c>
      <c r="E163" s="1">
        <v>27</v>
      </c>
      <c r="F163" s="7">
        <v>44224</v>
      </c>
      <c r="G163" s="8">
        <v>95786</v>
      </c>
      <c r="H163" s="9">
        <v>0</v>
      </c>
      <c r="I163" s="1" t="s">
        <v>29</v>
      </c>
      <c r="J163" s="1" t="s">
        <v>40</v>
      </c>
      <c r="K163" s="10" t="s">
        <v>36</v>
      </c>
    </row>
    <row r="164" spans="1:11" x14ac:dyDescent="0.3">
      <c r="A164" s="6" t="s">
        <v>42</v>
      </c>
      <c r="B164" s="1" t="s">
        <v>45</v>
      </c>
      <c r="C164" s="1" t="s">
        <v>39</v>
      </c>
      <c r="D164" s="1" t="s">
        <v>33</v>
      </c>
      <c r="E164" s="1">
        <v>61</v>
      </c>
      <c r="F164" s="7">
        <v>42858</v>
      </c>
      <c r="G164" s="8">
        <v>90855</v>
      </c>
      <c r="H164" s="9">
        <v>0</v>
      </c>
      <c r="I164" s="1" t="s">
        <v>59</v>
      </c>
      <c r="J164" s="1" t="s">
        <v>76</v>
      </c>
      <c r="K164" s="10" t="s">
        <v>36</v>
      </c>
    </row>
    <row r="165" spans="1:11" x14ac:dyDescent="0.3">
      <c r="A165" s="6" t="s">
        <v>67</v>
      </c>
      <c r="B165" s="1" t="s">
        <v>26</v>
      </c>
      <c r="C165" s="1" t="s">
        <v>32</v>
      </c>
      <c r="D165" s="1" t="s">
        <v>33</v>
      </c>
      <c r="E165" s="1">
        <v>47</v>
      </c>
      <c r="F165" s="7">
        <v>36233</v>
      </c>
      <c r="G165" s="8">
        <v>92897</v>
      </c>
      <c r="H165" s="9">
        <v>0</v>
      </c>
      <c r="I165" s="1" t="s">
        <v>59</v>
      </c>
      <c r="J165" s="1" t="s">
        <v>76</v>
      </c>
      <c r="K165" s="10" t="s">
        <v>36</v>
      </c>
    </row>
    <row r="166" spans="1:11" x14ac:dyDescent="0.3">
      <c r="A166" s="6" t="s">
        <v>56</v>
      </c>
      <c r="B166" s="1" t="s">
        <v>57</v>
      </c>
      <c r="C166" s="1" t="s">
        <v>39</v>
      </c>
      <c r="D166" s="1" t="s">
        <v>33</v>
      </c>
      <c r="E166" s="1">
        <v>40</v>
      </c>
      <c r="F166" s="7">
        <v>39872</v>
      </c>
      <c r="G166" s="8">
        <v>242919</v>
      </c>
      <c r="H166" s="9">
        <v>0.31</v>
      </c>
      <c r="I166" s="1" t="s">
        <v>34</v>
      </c>
      <c r="J166" s="1" t="s">
        <v>35</v>
      </c>
      <c r="K166" s="10" t="s">
        <v>36</v>
      </c>
    </row>
    <row r="167" spans="1:11" x14ac:dyDescent="0.3">
      <c r="A167" s="6" t="s">
        <v>37</v>
      </c>
      <c r="B167" s="1" t="s">
        <v>54</v>
      </c>
      <c r="C167" s="1" t="s">
        <v>39</v>
      </c>
      <c r="D167" s="1" t="s">
        <v>33</v>
      </c>
      <c r="E167" s="1">
        <v>30</v>
      </c>
      <c r="F167" s="7">
        <v>43240</v>
      </c>
      <c r="G167" s="8">
        <v>184368</v>
      </c>
      <c r="H167" s="9">
        <v>0.28999999999999998</v>
      </c>
      <c r="I167" s="1" t="s">
        <v>29</v>
      </c>
      <c r="J167" s="1" t="s">
        <v>51</v>
      </c>
      <c r="K167" s="10" t="s">
        <v>36</v>
      </c>
    </row>
    <row r="168" spans="1:11" x14ac:dyDescent="0.3">
      <c r="A168" s="6" t="s">
        <v>25</v>
      </c>
      <c r="B168" s="1" t="s">
        <v>38</v>
      </c>
      <c r="C168" s="1" t="s">
        <v>46</v>
      </c>
      <c r="D168" s="1" t="s">
        <v>33</v>
      </c>
      <c r="E168" s="1">
        <v>45</v>
      </c>
      <c r="F168" s="7">
        <v>44554</v>
      </c>
      <c r="G168" s="8">
        <v>144754</v>
      </c>
      <c r="H168" s="9">
        <v>0.15</v>
      </c>
      <c r="I168" s="1" t="s">
        <v>29</v>
      </c>
      <c r="J168" s="1" t="s">
        <v>43</v>
      </c>
      <c r="K168" s="10" t="s">
        <v>36</v>
      </c>
    </row>
    <row r="169" spans="1:11" x14ac:dyDescent="0.3">
      <c r="A169" s="6" t="s">
        <v>81</v>
      </c>
      <c r="B169" s="1" t="s">
        <v>45</v>
      </c>
      <c r="C169" s="1" t="s">
        <v>27</v>
      </c>
      <c r="D169" s="1" t="s">
        <v>28</v>
      </c>
      <c r="E169" s="1">
        <v>30</v>
      </c>
      <c r="F169" s="7">
        <v>42722</v>
      </c>
      <c r="G169" s="8">
        <v>89458</v>
      </c>
      <c r="H169" s="9">
        <v>0</v>
      </c>
      <c r="I169" s="1" t="s">
        <v>29</v>
      </c>
      <c r="J169" s="1" t="s">
        <v>51</v>
      </c>
      <c r="K169" s="10" t="s">
        <v>36</v>
      </c>
    </row>
    <row r="170" spans="1:11" x14ac:dyDescent="0.3">
      <c r="A170" s="6" t="s">
        <v>56</v>
      </c>
      <c r="B170" s="1" t="s">
        <v>50</v>
      </c>
      <c r="C170" s="1" t="s">
        <v>46</v>
      </c>
      <c r="D170" s="1" t="s">
        <v>28</v>
      </c>
      <c r="E170" s="1">
        <v>56</v>
      </c>
      <c r="F170" s="7">
        <v>41714</v>
      </c>
      <c r="G170" s="8">
        <v>190815</v>
      </c>
      <c r="H170" s="9">
        <v>0.4</v>
      </c>
      <c r="I170" s="1" t="s">
        <v>29</v>
      </c>
      <c r="J170" s="1" t="s">
        <v>51</v>
      </c>
      <c r="K170" s="10" t="s">
        <v>36</v>
      </c>
    </row>
    <row r="171" spans="1:11" x14ac:dyDescent="0.3">
      <c r="A171" s="6" t="s">
        <v>25</v>
      </c>
      <c r="B171" s="1" t="s">
        <v>45</v>
      </c>
      <c r="C171" s="1" t="s">
        <v>27</v>
      </c>
      <c r="D171" s="1" t="s">
        <v>28</v>
      </c>
      <c r="E171" s="1">
        <v>62</v>
      </c>
      <c r="F171" s="7">
        <v>36374</v>
      </c>
      <c r="G171" s="8">
        <v>137995</v>
      </c>
      <c r="H171" s="9">
        <v>0.14000000000000001</v>
      </c>
      <c r="I171" s="1" t="s">
        <v>29</v>
      </c>
      <c r="J171" s="1" t="s">
        <v>51</v>
      </c>
      <c r="K171" s="10" t="s">
        <v>36</v>
      </c>
    </row>
    <row r="172" spans="1:11" x14ac:dyDescent="0.3">
      <c r="A172" s="6" t="s">
        <v>69</v>
      </c>
      <c r="B172" s="1" t="s">
        <v>52</v>
      </c>
      <c r="C172" s="1" t="s">
        <v>32</v>
      </c>
      <c r="D172" s="1" t="s">
        <v>28</v>
      </c>
      <c r="E172" s="1">
        <v>45</v>
      </c>
      <c r="F172" s="7">
        <v>39437</v>
      </c>
      <c r="G172" s="8">
        <v>93840</v>
      </c>
      <c r="H172" s="9">
        <v>0</v>
      </c>
      <c r="I172" s="1" t="s">
        <v>59</v>
      </c>
      <c r="J172" s="1" t="s">
        <v>60</v>
      </c>
      <c r="K172" s="10" t="s">
        <v>36</v>
      </c>
    </row>
    <row r="173" spans="1:11" x14ac:dyDescent="0.3">
      <c r="A173" s="6" t="s">
        <v>31</v>
      </c>
      <c r="B173" s="1" t="s">
        <v>26</v>
      </c>
      <c r="C173" s="1" t="s">
        <v>27</v>
      </c>
      <c r="D173" s="1" t="s">
        <v>33</v>
      </c>
      <c r="E173" s="1">
        <v>46</v>
      </c>
      <c r="F173" s="7">
        <v>44495</v>
      </c>
      <c r="G173" s="8">
        <v>94790</v>
      </c>
      <c r="H173" s="9">
        <v>0</v>
      </c>
      <c r="I173" s="1" t="s">
        <v>34</v>
      </c>
      <c r="J173" s="1" t="s">
        <v>35</v>
      </c>
      <c r="K173" s="10" t="s">
        <v>36</v>
      </c>
    </row>
    <row r="174" spans="1:11" x14ac:dyDescent="0.3">
      <c r="A174" s="6" t="s">
        <v>56</v>
      </c>
      <c r="B174" s="1" t="s">
        <v>52</v>
      </c>
      <c r="C174" s="1" t="s">
        <v>27</v>
      </c>
      <c r="D174" s="1" t="s">
        <v>33</v>
      </c>
      <c r="E174" s="1">
        <v>48</v>
      </c>
      <c r="F174" s="7">
        <v>41706</v>
      </c>
      <c r="G174" s="8">
        <v>197367</v>
      </c>
      <c r="H174" s="9">
        <v>0.39</v>
      </c>
      <c r="I174" s="1" t="s">
        <v>29</v>
      </c>
      <c r="J174" s="1" t="s">
        <v>51</v>
      </c>
      <c r="K174" s="10" t="s">
        <v>36</v>
      </c>
    </row>
    <row r="175" spans="1:11" x14ac:dyDescent="0.3">
      <c r="A175" s="6" t="s">
        <v>37</v>
      </c>
      <c r="B175" s="1" t="s">
        <v>50</v>
      </c>
      <c r="C175" s="1" t="s">
        <v>32</v>
      </c>
      <c r="D175" s="1" t="s">
        <v>28</v>
      </c>
      <c r="E175" s="1">
        <v>27</v>
      </c>
      <c r="F175" s="7">
        <v>43276</v>
      </c>
      <c r="G175" s="8">
        <v>174097</v>
      </c>
      <c r="H175" s="9">
        <v>0.21</v>
      </c>
      <c r="I175" s="1" t="s">
        <v>29</v>
      </c>
      <c r="J175" s="1" t="s">
        <v>43</v>
      </c>
      <c r="K175" s="10" t="s">
        <v>36</v>
      </c>
    </row>
    <row r="176" spans="1:11" x14ac:dyDescent="0.3">
      <c r="A176" s="6" t="s">
        <v>47</v>
      </c>
      <c r="B176" s="1" t="s">
        <v>26</v>
      </c>
      <c r="C176" s="1" t="s">
        <v>39</v>
      </c>
      <c r="D176" s="1" t="s">
        <v>33</v>
      </c>
      <c r="E176" s="1">
        <v>53</v>
      </c>
      <c r="F176" s="7">
        <v>39021</v>
      </c>
      <c r="G176" s="8">
        <v>120128</v>
      </c>
      <c r="H176" s="9">
        <v>0.1</v>
      </c>
      <c r="I176" s="1" t="s">
        <v>29</v>
      </c>
      <c r="J176" s="1" t="s">
        <v>51</v>
      </c>
      <c r="K176" s="10" t="s">
        <v>36</v>
      </c>
    </row>
    <row r="177" spans="1:11" x14ac:dyDescent="0.3">
      <c r="A177" s="6" t="s">
        <v>47</v>
      </c>
      <c r="B177" s="1" t="s">
        <v>57</v>
      </c>
      <c r="C177" s="1" t="s">
        <v>32</v>
      </c>
      <c r="D177" s="1" t="s">
        <v>28</v>
      </c>
      <c r="E177" s="1">
        <v>59</v>
      </c>
      <c r="F177" s="7">
        <v>39197</v>
      </c>
      <c r="G177" s="8">
        <v>129708</v>
      </c>
      <c r="H177" s="9">
        <v>0.05</v>
      </c>
      <c r="I177" s="1" t="s">
        <v>29</v>
      </c>
      <c r="J177" s="1" t="s">
        <v>49</v>
      </c>
      <c r="K177" s="10" t="s">
        <v>36</v>
      </c>
    </row>
    <row r="178" spans="1:11" x14ac:dyDescent="0.3">
      <c r="A178" s="6" t="s">
        <v>47</v>
      </c>
      <c r="B178" s="1" t="s">
        <v>57</v>
      </c>
      <c r="C178" s="1" t="s">
        <v>27</v>
      </c>
      <c r="D178" s="1" t="s">
        <v>33</v>
      </c>
      <c r="E178" s="1">
        <v>55</v>
      </c>
      <c r="F178" s="7">
        <v>34595</v>
      </c>
      <c r="G178" s="8">
        <v>102270</v>
      </c>
      <c r="H178" s="9">
        <v>0.1</v>
      </c>
      <c r="I178" s="1" t="s">
        <v>29</v>
      </c>
      <c r="J178" s="1" t="s">
        <v>40</v>
      </c>
      <c r="K178" s="10" t="s">
        <v>36</v>
      </c>
    </row>
    <row r="179" spans="1:11" x14ac:dyDescent="0.3">
      <c r="A179" s="6" t="s">
        <v>56</v>
      </c>
      <c r="B179" s="1" t="s">
        <v>38</v>
      </c>
      <c r="C179" s="1" t="s">
        <v>39</v>
      </c>
      <c r="D179" s="1" t="s">
        <v>28</v>
      </c>
      <c r="E179" s="1">
        <v>43</v>
      </c>
      <c r="F179" s="7">
        <v>38564</v>
      </c>
      <c r="G179" s="8">
        <v>249686</v>
      </c>
      <c r="H179" s="9">
        <v>0.31</v>
      </c>
      <c r="I179" s="1" t="s">
        <v>34</v>
      </c>
      <c r="J179" s="1" t="s">
        <v>35</v>
      </c>
      <c r="K179" s="10" t="s">
        <v>36</v>
      </c>
    </row>
    <row r="180" spans="1:11" x14ac:dyDescent="0.3">
      <c r="A180" s="6" t="s">
        <v>48</v>
      </c>
      <c r="B180" s="1" t="s">
        <v>38</v>
      </c>
      <c r="C180" s="1" t="s">
        <v>32</v>
      </c>
      <c r="D180" s="1" t="s">
        <v>28</v>
      </c>
      <c r="E180" s="1">
        <v>55</v>
      </c>
      <c r="F180" s="7">
        <v>37343</v>
      </c>
      <c r="G180" s="8">
        <v>50475</v>
      </c>
      <c r="H180" s="9">
        <v>0</v>
      </c>
      <c r="I180" s="1" t="s">
        <v>29</v>
      </c>
      <c r="J180" s="1" t="s">
        <v>58</v>
      </c>
      <c r="K180" s="10" t="s">
        <v>36</v>
      </c>
    </row>
    <row r="181" spans="1:11" x14ac:dyDescent="0.3">
      <c r="A181" s="6" t="s">
        <v>47</v>
      </c>
      <c r="B181" s="1" t="s">
        <v>57</v>
      </c>
      <c r="C181" s="1" t="s">
        <v>27</v>
      </c>
      <c r="D181" s="1" t="s">
        <v>33</v>
      </c>
      <c r="E181" s="1">
        <v>51</v>
      </c>
      <c r="F181" s="7">
        <v>44014</v>
      </c>
      <c r="G181" s="8">
        <v>100099</v>
      </c>
      <c r="H181" s="9">
        <v>0.08</v>
      </c>
      <c r="I181" s="1" t="s">
        <v>29</v>
      </c>
      <c r="J181" s="1" t="s">
        <v>49</v>
      </c>
      <c r="K181" s="10" t="s">
        <v>36</v>
      </c>
    </row>
    <row r="182" spans="1:11" x14ac:dyDescent="0.3">
      <c r="A182" s="6" t="s">
        <v>65</v>
      </c>
      <c r="B182" s="1" t="s">
        <v>26</v>
      </c>
      <c r="C182" s="1" t="s">
        <v>32</v>
      </c>
      <c r="D182" s="1" t="s">
        <v>28</v>
      </c>
      <c r="E182" s="1">
        <v>54</v>
      </c>
      <c r="F182" s="7">
        <v>42731</v>
      </c>
      <c r="G182" s="8">
        <v>41673</v>
      </c>
      <c r="H182" s="9">
        <v>0</v>
      </c>
      <c r="I182" s="1" t="s">
        <v>29</v>
      </c>
      <c r="J182" s="1" t="s">
        <v>49</v>
      </c>
      <c r="K182" s="10" t="s">
        <v>36</v>
      </c>
    </row>
    <row r="183" spans="1:11" x14ac:dyDescent="0.3">
      <c r="A183" s="6" t="s">
        <v>42</v>
      </c>
      <c r="B183" s="1" t="s">
        <v>57</v>
      </c>
      <c r="C183" s="1" t="s">
        <v>39</v>
      </c>
      <c r="D183" s="1" t="s">
        <v>28</v>
      </c>
      <c r="E183" s="1">
        <v>47</v>
      </c>
      <c r="F183" s="7">
        <v>42928</v>
      </c>
      <c r="G183" s="8">
        <v>70996</v>
      </c>
      <c r="H183" s="9">
        <v>0</v>
      </c>
      <c r="I183" s="1" t="s">
        <v>34</v>
      </c>
      <c r="J183" s="1" t="s">
        <v>68</v>
      </c>
      <c r="K183" s="10" t="s">
        <v>36</v>
      </c>
    </row>
    <row r="184" spans="1:11" x14ac:dyDescent="0.3">
      <c r="A184" s="6" t="s">
        <v>48</v>
      </c>
      <c r="B184" s="1" t="s">
        <v>57</v>
      </c>
      <c r="C184" s="1" t="s">
        <v>46</v>
      </c>
      <c r="D184" s="1" t="s">
        <v>33</v>
      </c>
      <c r="E184" s="1">
        <v>55</v>
      </c>
      <c r="F184" s="7">
        <v>38328</v>
      </c>
      <c r="G184" s="8">
        <v>40752</v>
      </c>
      <c r="H184" s="9">
        <v>0</v>
      </c>
      <c r="I184" s="1" t="s">
        <v>29</v>
      </c>
      <c r="J184" s="1" t="s">
        <v>43</v>
      </c>
      <c r="K184" s="10" t="s">
        <v>36</v>
      </c>
    </row>
    <row r="185" spans="1:11" x14ac:dyDescent="0.3">
      <c r="A185" s="6" t="s">
        <v>79</v>
      </c>
      <c r="B185" s="1" t="s">
        <v>26</v>
      </c>
      <c r="C185" s="1" t="s">
        <v>32</v>
      </c>
      <c r="D185" s="1" t="s">
        <v>28</v>
      </c>
      <c r="E185" s="1">
        <v>50</v>
      </c>
      <c r="F185" s="7">
        <v>36914</v>
      </c>
      <c r="G185" s="8">
        <v>97537</v>
      </c>
      <c r="H185" s="9">
        <v>0</v>
      </c>
      <c r="I185" s="1" t="s">
        <v>34</v>
      </c>
      <c r="J185" s="1" t="s">
        <v>68</v>
      </c>
      <c r="K185" s="10" t="s">
        <v>36</v>
      </c>
    </row>
    <row r="186" spans="1:11" x14ac:dyDescent="0.3">
      <c r="A186" s="6" t="s">
        <v>85</v>
      </c>
      <c r="B186" s="1" t="s">
        <v>26</v>
      </c>
      <c r="C186" s="1" t="s">
        <v>27</v>
      </c>
      <c r="D186" s="1" t="s">
        <v>33</v>
      </c>
      <c r="E186" s="1">
        <v>31</v>
      </c>
      <c r="F186" s="7">
        <v>44086</v>
      </c>
      <c r="G186" s="8">
        <v>96567</v>
      </c>
      <c r="H186" s="9">
        <v>0</v>
      </c>
      <c r="I186" s="1" t="s">
        <v>34</v>
      </c>
      <c r="J186" s="1" t="s">
        <v>55</v>
      </c>
      <c r="K186" s="10" t="s">
        <v>36</v>
      </c>
    </row>
    <row r="187" spans="1:11" x14ac:dyDescent="0.3">
      <c r="A187" s="6" t="s">
        <v>83</v>
      </c>
      <c r="B187" s="1" t="s">
        <v>26</v>
      </c>
      <c r="C187" s="1" t="s">
        <v>39</v>
      </c>
      <c r="D187" s="1" t="s">
        <v>33</v>
      </c>
      <c r="E187" s="1">
        <v>47</v>
      </c>
      <c r="F187" s="7">
        <v>36229</v>
      </c>
      <c r="G187" s="8">
        <v>49404</v>
      </c>
      <c r="H187" s="9">
        <v>0</v>
      </c>
      <c r="I187" s="1" t="s">
        <v>34</v>
      </c>
      <c r="J187" s="1" t="s">
        <v>64</v>
      </c>
      <c r="K187" s="10" t="s">
        <v>36</v>
      </c>
    </row>
    <row r="188" spans="1:11" x14ac:dyDescent="0.3">
      <c r="A188" s="6" t="s">
        <v>85</v>
      </c>
      <c r="B188" s="1" t="s">
        <v>26</v>
      </c>
      <c r="C188" s="1" t="s">
        <v>27</v>
      </c>
      <c r="D188" s="1" t="s">
        <v>33</v>
      </c>
      <c r="E188" s="1">
        <v>29</v>
      </c>
      <c r="F188" s="7">
        <v>43753</v>
      </c>
      <c r="G188" s="8">
        <v>66819</v>
      </c>
      <c r="H188" s="9">
        <v>0</v>
      </c>
      <c r="I188" s="1" t="s">
        <v>59</v>
      </c>
      <c r="J188" s="1" t="s">
        <v>61</v>
      </c>
      <c r="K188" s="10" t="s">
        <v>36</v>
      </c>
    </row>
    <row r="189" spans="1:11" x14ac:dyDescent="0.3">
      <c r="A189" s="6" t="s">
        <v>48</v>
      </c>
      <c r="B189" s="1" t="s">
        <v>57</v>
      </c>
      <c r="C189" s="1" t="s">
        <v>39</v>
      </c>
      <c r="D189" s="1" t="s">
        <v>33</v>
      </c>
      <c r="E189" s="1">
        <v>38</v>
      </c>
      <c r="F189" s="7">
        <v>42492</v>
      </c>
      <c r="G189" s="8">
        <v>50784</v>
      </c>
      <c r="H189" s="9">
        <v>0</v>
      </c>
      <c r="I189" s="1" t="s">
        <v>59</v>
      </c>
      <c r="J189" s="1" t="s">
        <v>61</v>
      </c>
      <c r="K189" s="10" t="s">
        <v>36</v>
      </c>
    </row>
    <row r="190" spans="1:11" x14ac:dyDescent="0.3">
      <c r="A190" s="6" t="s">
        <v>25</v>
      </c>
      <c r="B190" s="1" t="s">
        <v>52</v>
      </c>
      <c r="C190" s="1" t="s">
        <v>27</v>
      </c>
      <c r="D190" s="1" t="s">
        <v>33</v>
      </c>
      <c r="E190" s="1">
        <v>29</v>
      </c>
      <c r="F190" s="7">
        <v>43594</v>
      </c>
      <c r="G190" s="8">
        <v>125828</v>
      </c>
      <c r="H190" s="9">
        <v>0.15</v>
      </c>
      <c r="I190" s="1" t="s">
        <v>59</v>
      </c>
      <c r="J190" s="1" t="s">
        <v>76</v>
      </c>
      <c r="K190" s="10" t="s">
        <v>36</v>
      </c>
    </row>
    <row r="191" spans="1:11" x14ac:dyDescent="0.3">
      <c r="A191" s="6" t="s">
        <v>69</v>
      </c>
      <c r="B191" s="1" t="s">
        <v>52</v>
      </c>
      <c r="C191" s="1" t="s">
        <v>32</v>
      </c>
      <c r="D191" s="1" t="s">
        <v>33</v>
      </c>
      <c r="E191" s="1">
        <v>33</v>
      </c>
      <c r="F191" s="7">
        <v>42951</v>
      </c>
      <c r="G191" s="8">
        <v>92610</v>
      </c>
      <c r="H191" s="9">
        <v>0</v>
      </c>
      <c r="I191" s="1" t="s">
        <v>29</v>
      </c>
      <c r="J191" s="1" t="s">
        <v>58</v>
      </c>
      <c r="K191" s="10" t="s">
        <v>36</v>
      </c>
    </row>
    <row r="192" spans="1:11" x14ac:dyDescent="0.3">
      <c r="A192" s="6" t="s">
        <v>25</v>
      </c>
      <c r="B192" s="1" t="s">
        <v>45</v>
      </c>
      <c r="C192" s="1" t="s">
        <v>39</v>
      </c>
      <c r="D192" s="1" t="s">
        <v>33</v>
      </c>
      <c r="E192" s="1">
        <v>50</v>
      </c>
      <c r="F192" s="7">
        <v>37705</v>
      </c>
      <c r="G192" s="8">
        <v>123405</v>
      </c>
      <c r="H192" s="9">
        <v>0.13</v>
      </c>
      <c r="I192" s="1" t="s">
        <v>29</v>
      </c>
      <c r="J192" s="1" t="s">
        <v>58</v>
      </c>
      <c r="K192" s="10" t="s">
        <v>36</v>
      </c>
    </row>
    <row r="193" spans="1:11" x14ac:dyDescent="0.3">
      <c r="A193" s="6" t="s">
        <v>44</v>
      </c>
      <c r="B193" s="1" t="s">
        <v>45</v>
      </c>
      <c r="C193" s="1" t="s">
        <v>32</v>
      </c>
      <c r="D193" s="1" t="s">
        <v>28</v>
      </c>
      <c r="E193" s="1">
        <v>46</v>
      </c>
      <c r="F193" s="7">
        <v>38066</v>
      </c>
      <c r="G193" s="8">
        <v>73004</v>
      </c>
      <c r="H193" s="9">
        <v>0</v>
      </c>
      <c r="I193" s="1" t="s">
        <v>34</v>
      </c>
      <c r="J193" s="1" t="s">
        <v>64</v>
      </c>
      <c r="K193" s="10" t="s">
        <v>36</v>
      </c>
    </row>
    <row r="194" spans="1:11" x14ac:dyDescent="0.3">
      <c r="A194" s="6" t="s">
        <v>63</v>
      </c>
      <c r="B194" s="1" t="s">
        <v>54</v>
      </c>
      <c r="C194" s="1" t="s">
        <v>46</v>
      </c>
      <c r="D194" s="1" t="s">
        <v>33</v>
      </c>
      <c r="E194" s="1">
        <v>57</v>
      </c>
      <c r="F194" s="7">
        <v>36275</v>
      </c>
      <c r="G194" s="8">
        <v>95061</v>
      </c>
      <c r="H194" s="9">
        <v>0.1</v>
      </c>
      <c r="I194" s="1" t="s">
        <v>34</v>
      </c>
      <c r="J194" s="1" t="s">
        <v>55</v>
      </c>
      <c r="K194" s="10" t="s">
        <v>36</v>
      </c>
    </row>
    <row r="195" spans="1:11" x14ac:dyDescent="0.3">
      <c r="A195" s="6" t="s">
        <v>37</v>
      </c>
      <c r="B195" s="1" t="s">
        <v>45</v>
      </c>
      <c r="C195" s="1" t="s">
        <v>46</v>
      </c>
      <c r="D195" s="1" t="s">
        <v>28</v>
      </c>
      <c r="E195" s="1">
        <v>49</v>
      </c>
      <c r="F195" s="7">
        <v>35887</v>
      </c>
      <c r="G195" s="8">
        <v>160832</v>
      </c>
      <c r="H195" s="9">
        <v>0.3</v>
      </c>
      <c r="I195" s="1" t="s">
        <v>29</v>
      </c>
      <c r="J195" s="1" t="s">
        <v>43</v>
      </c>
      <c r="K195" s="10" t="s">
        <v>36</v>
      </c>
    </row>
    <row r="196" spans="1:11" x14ac:dyDescent="0.3">
      <c r="A196" s="6" t="s">
        <v>86</v>
      </c>
      <c r="B196" s="1" t="s">
        <v>26</v>
      </c>
      <c r="C196" s="1" t="s">
        <v>32</v>
      </c>
      <c r="D196" s="1" t="s">
        <v>33</v>
      </c>
      <c r="E196" s="1">
        <v>54</v>
      </c>
      <c r="F196" s="7">
        <v>40540</v>
      </c>
      <c r="G196" s="8">
        <v>64417</v>
      </c>
      <c r="H196" s="9">
        <v>0</v>
      </c>
      <c r="I196" s="1" t="s">
        <v>29</v>
      </c>
      <c r="J196" s="1" t="s">
        <v>58</v>
      </c>
      <c r="K196" s="10" t="s">
        <v>36</v>
      </c>
    </row>
    <row r="197" spans="1:11" x14ac:dyDescent="0.3">
      <c r="A197" s="6" t="s">
        <v>47</v>
      </c>
      <c r="B197" s="1" t="s">
        <v>45</v>
      </c>
      <c r="C197" s="1" t="s">
        <v>46</v>
      </c>
      <c r="D197" s="1" t="s">
        <v>33</v>
      </c>
      <c r="E197" s="1">
        <v>28</v>
      </c>
      <c r="F197" s="7">
        <v>44274</v>
      </c>
      <c r="G197" s="8">
        <v>127543</v>
      </c>
      <c r="H197" s="9">
        <v>0.06</v>
      </c>
      <c r="I197" s="1" t="s">
        <v>34</v>
      </c>
      <c r="J197" s="1" t="s">
        <v>55</v>
      </c>
      <c r="K197" s="10" t="s">
        <v>36</v>
      </c>
    </row>
    <row r="198" spans="1:11" x14ac:dyDescent="0.3">
      <c r="A198" s="6" t="s">
        <v>48</v>
      </c>
      <c r="B198" s="1" t="s">
        <v>57</v>
      </c>
      <c r="C198" s="1" t="s">
        <v>32</v>
      </c>
      <c r="D198" s="1" t="s">
        <v>33</v>
      </c>
      <c r="E198" s="1">
        <v>30</v>
      </c>
      <c r="F198" s="7">
        <v>43272</v>
      </c>
      <c r="G198" s="8">
        <v>56154</v>
      </c>
      <c r="H198" s="9">
        <v>0</v>
      </c>
      <c r="I198" s="1" t="s">
        <v>59</v>
      </c>
      <c r="J198" s="1" t="s">
        <v>76</v>
      </c>
      <c r="K198" s="10" t="s">
        <v>36</v>
      </c>
    </row>
    <row r="199" spans="1:11" x14ac:dyDescent="0.3">
      <c r="A199" s="6" t="s">
        <v>56</v>
      </c>
      <c r="B199" s="1" t="s">
        <v>45</v>
      </c>
      <c r="C199" s="1" t="s">
        <v>32</v>
      </c>
      <c r="D199" s="1" t="s">
        <v>28</v>
      </c>
      <c r="E199" s="1">
        <v>36</v>
      </c>
      <c r="F199" s="7">
        <v>41692</v>
      </c>
      <c r="G199" s="8">
        <v>218530</v>
      </c>
      <c r="H199" s="9">
        <v>0.3</v>
      </c>
      <c r="I199" s="1" t="s">
        <v>34</v>
      </c>
      <c r="J199" s="1" t="s">
        <v>55</v>
      </c>
      <c r="K199" s="10" t="s">
        <v>36</v>
      </c>
    </row>
    <row r="200" spans="1:11" x14ac:dyDescent="0.3">
      <c r="A200" s="6" t="s">
        <v>86</v>
      </c>
      <c r="B200" s="1" t="s">
        <v>26</v>
      </c>
      <c r="C200" s="1" t="s">
        <v>32</v>
      </c>
      <c r="D200" s="1" t="s">
        <v>28</v>
      </c>
      <c r="E200" s="1">
        <v>36</v>
      </c>
      <c r="F200" s="7">
        <v>43818</v>
      </c>
      <c r="G200" s="8">
        <v>91954</v>
      </c>
      <c r="H200" s="9">
        <v>0</v>
      </c>
      <c r="I200" s="1" t="s">
        <v>29</v>
      </c>
      <c r="J200" s="1" t="s">
        <v>58</v>
      </c>
      <c r="K200" s="10" t="s">
        <v>36</v>
      </c>
    </row>
    <row r="201" spans="1:11" x14ac:dyDescent="0.3">
      <c r="A201" s="6" t="s">
        <v>56</v>
      </c>
      <c r="B201" s="1" t="s">
        <v>57</v>
      </c>
      <c r="C201" s="1" t="s">
        <v>46</v>
      </c>
      <c r="D201" s="1" t="s">
        <v>28</v>
      </c>
      <c r="E201" s="1">
        <v>30</v>
      </c>
      <c r="F201" s="7">
        <v>42634</v>
      </c>
      <c r="G201" s="8">
        <v>221217</v>
      </c>
      <c r="H201" s="9">
        <v>0.32</v>
      </c>
      <c r="I201" s="1" t="s">
        <v>29</v>
      </c>
      <c r="J201" s="1" t="s">
        <v>58</v>
      </c>
      <c r="K201" s="10">
        <v>43003</v>
      </c>
    </row>
    <row r="202" spans="1:11" x14ac:dyDescent="0.3">
      <c r="A202" s="6" t="s">
        <v>82</v>
      </c>
      <c r="B202" s="1" t="s">
        <v>26</v>
      </c>
      <c r="C202" s="1" t="s">
        <v>32</v>
      </c>
      <c r="D202" s="1" t="s">
        <v>33</v>
      </c>
      <c r="E202" s="1">
        <v>29</v>
      </c>
      <c r="F202" s="7">
        <v>42866</v>
      </c>
      <c r="G202" s="8">
        <v>87536</v>
      </c>
      <c r="H202" s="9">
        <v>0</v>
      </c>
      <c r="I202" s="1" t="s">
        <v>29</v>
      </c>
      <c r="J202" s="1" t="s">
        <v>30</v>
      </c>
      <c r="K202" s="10" t="s">
        <v>36</v>
      </c>
    </row>
    <row r="203" spans="1:11" x14ac:dyDescent="0.3">
      <c r="A203" s="6" t="s">
        <v>48</v>
      </c>
      <c r="B203" s="1" t="s">
        <v>45</v>
      </c>
      <c r="C203" s="1" t="s">
        <v>46</v>
      </c>
      <c r="D203" s="1" t="s">
        <v>28</v>
      </c>
      <c r="E203" s="1">
        <v>47</v>
      </c>
      <c r="F203" s="7">
        <v>42164</v>
      </c>
      <c r="G203" s="8">
        <v>41429</v>
      </c>
      <c r="H203" s="9">
        <v>0</v>
      </c>
      <c r="I203" s="1" t="s">
        <v>29</v>
      </c>
      <c r="J203" s="1" t="s">
        <v>30</v>
      </c>
      <c r="K203" s="10" t="s">
        <v>36</v>
      </c>
    </row>
    <row r="204" spans="1:11" x14ac:dyDescent="0.3">
      <c r="A204" s="6" t="s">
        <v>56</v>
      </c>
      <c r="B204" s="1" t="s">
        <v>54</v>
      </c>
      <c r="C204" s="1" t="s">
        <v>32</v>
      </c>
      <c r="D204" s="1" t="s">
        <v>33</v>
      </c>
      <c r="E204" s="1">
        <v>35</v>
      </c>
      <c r="F204" s="7">
        <v>40826</v>
      </c>
      <c r="G204" s="8">
        <v>245482</v>
      </c>
      <c r="H204" s="9">
        <v>0.39</v>
      </c>
      <c r="I204" s="1" t="s">
        <v>29</v>
      </c>
      <c r="J204" s="1" t="s">
        <v>30</v>
      </c>
      <c r="K204" s="10" t="s">
        <v>36</v>
      </c>
    </row>
    <row r="205" spans="1:11" x14ac:dyDescent="0.3">
      <c r="A205" s="6" t="s">
        <v>80</v>
      </c>
      <c r="B205" s="1" t="s">
        <v>54</v>
      </c>
      <c r="C205" s="1" t="s">
        <v>32</v>
      </c>
      <c r="D205" s="1" t="s">
        <v>28</v>
      </c>
      <c r="E205" s="1">
        <v>25</v>
      </c>
      <c r="F205" s="7">
        <v>43850</v>
      </c>
      <c r="G205" s="8">
        <v>71359</v>
      </c>
      <c r="H205" s="9">
        <v>0</v>
      </c>
      <c r="I205" s="1" t="s">
        <v>29</v>
      </c>
      <c r="J205" s="1" t="s">
        <v>43</v>
      </c>
      <c r="K205" s="10" t="s">
        <v>36</v>
      </c>
    </row>
    <row r="206" spans="1:11" x14ac:dyDescent="0.3">
      <c r="A206" s="6" t="s">
        <v>37</v>
      </c>
      <c r="B206" s="1" t="s">
        <v>54</v>
      </c>
      <c r="C206" s="1" t="s">
        <v>39</v>
      </c>
      <c r="D206" s="1" t="s">
        <v>33</v>
      </c>
      <c r="E206" s="1">
        <v>45</v>
      </c>
      <c r="F206" s="7">
        <v>41879</v>
      </c>
      <c r="G206" s="8">
        <v>183161</v>
      </c>
      <c r="H206" s="9">
        <v>0.22</v>
      </c>
      <c r="I206" s="1" t="s">
        <v>29</v>
      </c>
      <c r="J206" s="1" t="s">
        <v>49</v>
      </c>
      <c r="K206" s="10" t="s">
        <v>36</v>
      </c>
    </row>
    <row r="207" spans="1:11" x14ac:dyDescent="0.3">
      <c r="A207" s="6" t="s">
        <v>87</v>
      </c>
      <c r="B207" s="1" t="s">
        <v>26</v>
      </c>
      <c r="C207" s="1" t="s">
        <v>46</v>
      </c>
      <c r="D207" s="1" t="s">
        <v>33</v>
      </c>
      <c r="E207" s="1">
        <v>58</v>
      </c>
      <c r="F207" s="7">
        <v>34176</v>
      </c>
      <c r="G207" s="8">
        <v>69260</v>
      </c>
      <c r="H207" s="9">
        <v>0</v>
      </c>
      <c r="I207" s="1" t="s">
        <v>29</v>
      </c>
      <c r="J207" s="1" t="s">
        <v>43</v>
      </c>
      <c r="K207" s="10" t="s">
        <v>36</v>
      </c>
    </row>
    <row r="208" spans="1:11" x14ac:dyDescent="0.3">
      <c r="A208" s="6" t="s">
        <v>73</v>
      </c>
      <c r="B208" s="1" t="s">
        <v>54</v>
      </c>
      <c r="C208" s="1" t="s">
        <v>39</v>
      </c>
      <c r="D208" s="1" t="s">
        <v>33</v>
      </c>
      <c r="E208" s="1">
        <v>51</v>
      </c>
      <c r="F208" s="7">
        <v>36442</v>
      </c>
      <c r="G208" s="8">
        <v>95639</v>
      </c>
      <c r="H208" s="9">
        <v>0</v>
      </c>
      <c r="I208" s="1" t="s">
        <v>29</v>
      </c>
      <c r="J208" s="1" t="s">
        <v>51</v>
      </c>
      <c r="K208" s="10" t="s">
        <v>36</v>
      </c>
    </row>
    <row r="209" spans="1:11" x14ac:dyDescent="0.3">
      <c r="A209" s="6" t="s">
        <v>47</v>
      </c>
      <c r="B209" s="1" t="s">
        <v>52</v>
      </c>
      <c r="C209" s="1" t="s">
        <v>27</v>
      </c>
      <c r="D209" s="1" t="s">
        <v>33</v>
      </c>
      <c r="E209" s="1">
        <v>48</v>
      </c>
      <c r="F209" s="7">
        <v>38168</v>
      </c>
      <c r="G209" s="8">
        <v>120660</v>
      </c>
      <c r="H209" s="9">
        <v>7.0000000000000007E-2</v>
      </c>
      <c r="I209" s="1" t="s">
        <v>34</v>
      </c>
      <c r="J209" s="1" t="s">
        <v>68</v>
      </c>
      <c r="K209" s="10" t="s">
        <v>36</v>
      </c>
    </row>
    <row r="210" spans="1:11" x14ac:dyDescent="0.3">
      <c r="A210" s="6" t="s">
        <v>42</v>
      </c>
      <c r="B210" s="1" t="s">
        <v>45</v>
      </c>
      <c r="C210" s="1" t="s">
        <v>46</v>
      </c>
      <c r="D210" s="1" t="s">
        <v>33</v>
      </c>
      <c r="E210" s="1">
        <v>36</v>
      </c>
      <c r="F210" s="7">
        <v>44556</v>
      </c>
      <c r="G210" s="8">
        <v>75119</v>
      </c>
      <c r="H210" s="9">
        <v>0</v>
      </c>
      <c r="I210" s="1" t="s">
        <v>29</v>
      </c>
      <c r="J210" s="1" t="s">
        <v>40</v>
      </c>
      <c r="K210" s="10" t="s">
        <v>36</v>
      </c>
    </row>
    <row r="211" spans="1:11" x14ac:dyDescent="0.3">
      <c r="A211" s="6" t="s">
        <v>56</v>
      </c>
      <c r="B211" s="1" t="s">
        <v>50</v>
      </c>
      <c r="C211" s="1" t="s">
        <v>27</v>
      </c>
      <c r="D211" s="1" t="s">
        <v>33</v>
      </c>
      <c r="E211" s="1">
        <v>59</v>
      </c>
      <c r="F211" s="7">
        <v>40681</v>
      </c>
      <c r="G211" s="8">
        <v>192213</v>
      </c>
      <c r="H211" s="9">
        <v>0.4</v>
      </c>
      <c r="I211" s="1" t="s">
        <v>29</v>
      </c>
      <c r="J211" s="1" t="s">
        <v>40</v>
      </c>
      <c r="K211" s="10" t="s">
        <v>36</v>
      </c>
    </row>
    <row r="212" spans="1:11" x14ac:dyDescent="0.3">
      <c r="A212" s="6" t="s">
        <v>44</v>
      </c>
      <c r="B212" s="1" t="s">
        <v>45</v>
      </c>
      <c r="C212" s="1" t="s">
        <v>39</v>
      </c>
      <c r="D212" s="1" t="s">
        <v>28</v>
      </c>
      <c r="E212" s="1">
        <v>45</v>
      </c>
      <c r="F212" s="7">
        <v>41769</v>
      </c>
      <c r="G212" s="8">
        <v>65047</v>
      </c>
      <c r="H212" s="9">
        <v>0</v>
      </c>
      <c r="I212" s="1" t="s">
        <v>59</v>
      </c>
      <c r="J212" s="1" t="s">
        <v>76</v>
      </c>
      <c r="K212" s="10" t="s">
        <v>36</v>
      </c>
    </row>
    <row r="213" spans="1:11" x14ac:dyDescent="0.3">
      <c r="A213" s="6" t="s">
        <v>25</v>
      </c>
      <c r="B213" s="1" t="s">
        <v>45</v>
      </c>
      <c r="C213" s="1" t="s">
        <v>32</v>
      </c>
      <c r="D213" s="1" t="s">
        <v>33</v>
      </c>
      <c r="E213" s="1">
        <v>29</v>
      </c>
      <c r="F213" s="7">
        <v>42810</v>
      </c>
      <c r="G213" s="8">
        <v>151413</v>
      </c>
      <c r="H213" s="9">
        <v>0.15</v>
      </c>
      <c r="I213" s="1" t="s">
        <v>29</v>
      </c>
      <c r="J213" s="1" t="s">
        <v>30</v>
      </c>
      <c r="K213" s="10" t="s">
        <v>36</v>
      </c>
    </row>
    <row r="214" spans="1:11" x14ac:dyDescent="0.3">
      <c r="A214" s="6" t="s">
        <v>42</v>
      </c>
      <c r="B214" s="1" t="s">
        <v>50</v>
      </c>
      <c r="C214" s="1" t="s">
        <v>39</v>
      </c>
      <c r="D214" s="1" t="s">
        <v>33</v>
      </c>
      <c r="E214" s="1">
        <v>62</v>
      </c>
      <c r="F214" s="7">
        <v>37733</v>
      </c>
      <c r="G214" s="8">
        <v>76906</v>
      </c>
      <c r="H214" s="9">
        <v>0</v>
      </c>
      <c r="I214" s="1" t="s">
        <v>29</v>
      </c>
      <c r="J214" s="1" t="s">
        <v>30</v>
      </c>
      <c r="K214" s="10" t="s">
        <v>36</v>
      </c>
    </row>
    <row r="215" spans="1:11" x14ac:dyDescent="0.3">
      <c r="A215" s="6" t="s">
        <v>47</v>
      </c>
      <c r="B215" s="1" t="s">
        <v>26</v>
      </c>
      <c r="C215" s="1" t="s">
        <v>46</v>
      </c>
      <c r="D215" s="1" t="s">
        <v>33</v>
      </c>
      <c r="E215" s="1">
        <v>51</v>
      </c>
      <c r="F215" s="7">
        <v>34388</v>
      </c>
      <c r="G215" s="8">
        <v>122802</v>
      </c>
      <c r="H215" s="9">
        <v>0.05</v>
      </c>
      <c r="I215" s="1" t="s">
        <v>34</v>
      </c>
      <c r="J215" s="1" t="s">
        <v>55</v>
      </c>
      <c r="K215" s="10" t="s">
        <v>36</v>
      </c>
    </row>
    <row r="216" spans="1:11" x14ac:dyDescent="0.3">
      <c r="A216" s="6" t="s">
        <v>80</v>
      </c>
      <c r="B216" s="1" t="s">
        <v>54</v>
      </c>
      <c r="C216" s="1" t="s">
        <v>27</v>
      </c>
      <c r="D216" s="1" t="s">
        <v>33</v>
      </c>
      <c r="E216" s="1">
        <v>47</v>
      </c>
      <c r="F216" s="7">
        <v>35990</v>
      </c>
      <c r="G216" s="8">
        <v>99091</v>
      </c>
      <c r="H216" s="9">
        <v>0</v>
      </c>
      <c r="I216" s="1" t="s">
        <v>29</v>
      </c>
      <c r="J216" s="1" t="s">
        <v>51</v>
      </c>
      <c r="K216" s="10" t="s">
        <v>36</v>
      </c>
    </row>
    <row r="217" spans="1:11" x14ac:dyDescent="0.3">
      <c r="A217" s="6" t="s">
        <v>53</v>
      </c>
      <c r="B217" s="1" t="s">
        <v>54</v>
      </c>
      <c r="C217" s="1" t="s">
        <v>32</v>
      </c>
      <c r="D217" s="1" t="s">
        <v>33</v>
      </c>
      <c r="E217" s="1">
        <v>40</v>
      </c>
      <c r="F217" s="7">
        <v>39506</v>
      </c>
      <c r="G217" s="8">
        <v>113987</v>
      </c>
      <c r="H217" s="9">
        <v>0</v>
      </c>
      <c r="I217" s="1" t="s">
        <v>59</v>
      </c>
      <c r="J217" s="1" t="s">
        <v>60</v>
      </c>
      <c r="K217" s="10" t="s">
        <v>36</v>
      </c>
    </row>
    <row r="218" spans="1:11" x14ac:dyDescent="0.3">
      <c r="A218" s="6" t="s">
        <v>42</v>
      </c>
      <c r="B218" s="1" t="s">
        <v>38</v>
      </c>
      <c r="C218" s="1" t="s">
        <v>46</v>
      </c>
      <c r="D218" s="1" t="s">
        <v>28</v>
      </c>
      <c r="E218" s="1">
        <v>28</v>
      </c>
      <c r="F218" s="7">
        <v>44078</v>
      </c>
      <c r="G218" s="8">
        <v>95045</v>
      </c>
      <c r="H218" s="9">
        <v>0</v>
      </c>
      <c r="I218" s="1" t="s">
        <v>29</v>
      </c>
      <c r="J218" s="1" t="s">
        <v>40</v>
      </c>
      <c r="K218" s="10" t="s">
        <v>36</v>
      </c>
    </row>
    <row r="219" spans="1:11" x14ac:dyDescent="0.3">
      <c r="A219" s="6" t="s">
        <v>56</v>
      </c>
      <c r="B219" s="1" t="s">
        <v>57</v>
      </c>
      <c r="C219" s="1" t="s">
        <v>39</v>
      </c>
      <c r="D219" s="1" t="s">
        <v>28</v>
      </c>
      <c r="E219" s="1">
        <v>29</v>
      </c>
      <c r="F219" s="7">
        <v>42740</v>
      </c>
      <c r="G219" s="8">
        <v>190401</v>
      </c>
      <c r="H219" s="9">
        <v>0.37</v>
      </c>
      <c r="I219" s="1" t="s">
        <v>29</v>
      </c>
      <c r="J219" s="1" t="s">
        <v>58</v>
      </c>
      <c r="K219" s="10" t="s">
        <v>36</v>
      </c>
    </row>
    <row r="220" spans="1:11" x14ac:dyDescent="0.3">
      <c r="A220" s="6" t="s">
        <v>42</v>
      </c>
      <c r="B220" s="1" t="s">
        <v>38</v>
      </c>
      <c r="C220" s="1" t="s">
        <v>46</v>
      </c>
      <c r="D220" s="1" t="s">
        <v>33</v>
      </c>
      <c r="E220" s="1">
        <v>46</v>
      </c>
      <c r="F220" s="7">
        <v>41294</v>
      </c>
      <c r="G220" s="8">
        <v>86061</v>
      </c>
      <c r="H220" s="9">
        <v>0</v>
      </c>
      <c r="I220" s="1" t="s">
        <v>59</v>
      </c>
      <c r="J220" s="1" t="s">
        <v>61</v>
      </c>
      <c r="K220" s="10" t="s">
        <v>36</v>
      </c>
    </row>
    <row r="221" spans="1:11" x14ac:dyDescent="0.3">
      <c r="A221" s="6" t="s">
        <v>81</v>
      </c>
      <c r="B221" s="1" t="s">
        <v>45</v>
      </c>
      <c r="C221" s="1" t="s">
        <v>39</v>
      </c>
      <c r="D221" s="1" t="s">
        <v>33</v>
      </c>
      <c r="E221" s="1">
        <v>45</v>
      </c>
      <c r="F221" s="7">
        <v>44237</v>
      </c>
      <c r="G221" s="8">
        <v>79882</v>
      </c>
      <c r="H221" s="9">
        <v>0</v>
      </c>
      <c r="I221" s="1" t="s">
        <v>29</v>
      </c>
      <c r="J221" s="1" t="s">
        <v>43</v>
      </c>
      <c r="K221" s="10" t="s">
        <v>36</v>
      </c>
    </row>
    <row r="222" spans="1:11" x14ac:dyDescent="0.3">
      <c r="A222" s="6" t="s">
        <v>56</v>
      </c>
      <c r="B222" s="1" t="s">
        <v>54</v>
      </c>
      <c r="C222" s="1" t="s">
        <v>32</v>
      </c>
      <c r="D222" s="1" t="s">
        <v>28</v>
      </c>
      <c r="E222" s="1">
        <v>30</v>
      </c>
      <c r="F222" s="7">
        <v>43165</v>
      </c>
      <c r="G222" s="8">
        <v>255431</v>
      </c>
      <c r="H222" s="9">
        <v>0.36</v>
      </c>
      <c r="I222" s="1" t="s">
        <v>29</v>
      </c>
      <c r="J222" s="1" t="s">
        <v>58</v>
      </c>
      <c r="K222" s="10" t="s">
        <v>36</v>
      </c>
    </row>
    <row r="223" spans="1:11" x14ac:dyDescent="0.3">
      <c r="A223" s="6" t="s">
        <v>86</v>
      </c>
      <c r="B223" s="1" t="s">
        <v>26</v>
      </c>
      <c r="C223" s="1" t="s">
        <v>32</v>
      </c>
      <c r="D223" s="1" t="s">
        <v>28</v>
      </c>
      <c r="E223" s="1">
        <v>48</v>
      </c>
      <c r="F223" s="7">
        <v>37855</v>
      </c>
      <c r="G223" s="8">
        <v>82017</v>
      </c>
      <c r="H223" s="9">
        <v>0</v>
      </c>
      <c r="I223" s="1" t="s">
        <v>34</v>
      </c>
      <c r="J223" s="1" t="s">
        <v>64</v>
      </c>
      <c r="K223" s="10" t="s">
        <v>36</v>
      </c>
    </row>
    <row r="224" spans="1:11" x14ac:dyDescent="0.3">
      <c r="A224" s="6" t="s">
        <v>48</v>
      </c>
      <c r="B224" s="1" t="s">
        <v>38</v>
      </c>
      <c r="C224" s="1" t="s">
        <v>32</v>
      </c>
      <c r="D224" s="1" t="s">
        <v>28</v>
      </c>
      <c r="E224" s="1">
        <v>51</v>
      </c>
      <c r="F224" s="7">
        <v>42753</v>
      </c>
      <c r="G224" s="8">
        <v>53799</v>
      </c>
      <c r="H224" s="9">
        <v>0</v>
      </c>
      <c r="I224" s="1" t="s">
        <v>29</v>
      </c>
      <c r="J224" s="1" t="s">
        <v>58</v>
      </c>
      <c r="K224" s="10" t="s">
        <v>36</v>
      </c>
    </row>
    <row r="225" spans="1:11" x14ac:dyDescent="0.3">
      <c r="A225" s="6" t="s">
        <v>42</v>
      </c>
      <c r="B225" s="1" t="s">
        <v>45</v>
      </c>
      <c r="C225" s="1" t="s">
        <v>46</v>
      </c>
      <c r="D225" s="1" t="s">
        <v>28</v>
      </c>
      <c r="E225" s="1">
        <v>28</v>
      </c>
      <c r="F225" s="7">
        <v>44380</v>
      </c>
      <c r="G225" s="8">
        <v>82739</v>
      </c>
      <c r="H225" s="9">
        <v>0</v>
      </c>
      <c r="I225" s="1" t="s">
        <v>29</v>
      </c>
      <c r="J225" s="1" t="s">
        <v>43</v>
      </c>
      <c r="K225" s="10" t="s">
        <v>36</v>
      </c>
    </row>
    <row r="226" spans="1:11" x14ac:dyDescent="0.3">
      <c r="A226" s="6" t="s">
        <v>75</v>
      </c>
      <c r="B226" s="1" t="s">
        <v>26</v>
      </c>
      <c r="C226" s="1" t="s">
        <v>32</v>
      </c>
      <c r="D226" s="1" t="s">
        <v>28</v>
      </c>
      <c r="E226" s="1">
        <v>36</v>
      </c>
      <c r="F226" s="7">
        <v>41789</v>
      </c>
      <c r="G226" s="8">
        <v>99080</v>
      </c>
      <c r="H226" s="9">
        <v>0</v>
      </c>
      <c r="I226" s="1" t="s">
        <v>29</v>
      </c>
      <c r="J226" s="1" t="s">
        <v>40</v>
      </c>
      <c r="K226" s="10" t="s">
        <v>36</v>
      </c>
    </row>
    <row r="227" spans="1:11" x14ac:dyDescent="0.3">
      <c r="A227" s="6" t="s">
        <v>81</v>
      </c>
      <c r="B227" s="1" t="s">
        <v>45</v>
      </c>
      <c r="C227" s="1" t="s">
        <v>46</v>
      </c>
      <c r="D227" s="1" t="s">
        <v>28</v>
      </c>
      <c r="E227" s="1">
        <v>40</v>
      </c>
      <c r="F227" s="7">
        <v>40563</v>
      </c>
      <c r="G227" s="8">
        <v>96719</v>
      </c>
      <c r="H227" s="9">
        <v>0</v>
      </c>
      <c r="I227" s="1" t="s">
        <v>34</v>
      </c>
      <c r="J227" s="1" t="s">
        <v>68</v>
      </c>
      <c r="K227" s="10" t="s">
        <v>36</v>
      </c>
    </row>
    <row r="228" spans="1:11" x14ac:dyDescent="0.3">
      <c r="A228" s="6" t="s">
        <v>37</v>
      </c>
      <c r="B228" s="1" t="s">
        <v>52</v>
      </c>
      <c r="C228" s="1" t="s">
        <v>27</v>
      </c>
      <c r="D228" s="1" t="s">
        <v>28</v>
      </c>
      <c r="E228" s="1">
        <v>51</v>
      </c>
      <c r="F228" s="7">
        <v>44283</v>
      </c>
      <c r="G228" s="8">
        <v>180687</v>
      </c>
      <c r="H228" s="9">
        <v>0.19</v>
      </c>
      <c r="I228" s="1" t="s">
        <v>29</v>
      </c>
      <c r="J228" s="1" t="s">
        <v>43</v>
      </c>
      <c r="K228" s="10" t="s">
        <v>36</v>
      </c>
    </row>
    <row r="229" spans="1:11" x14ac:dyDescent="0.3">
      <c r="A229" s="6" t="s">
        <v>63</v>
      </c>
      <c r="B229" s="1" t="s">
        <v>54</v>
      </c>
      <c r="C229" s="1" t="s">
        <v>46</v>
      </c>
      <c r="D229" s="1" t="s">
        <v>33</v>
      </c>
      <c r="E229" s="1">
        <v>45</v>
      </c>
      <c r="F229" s="7">
        <v>36993</v>
      </c>
      <c r="G229" s="8">
        <v>95743</v>
      </c>
      <c r="H229" s="9">
        <v>0.15</v>
      </c>
      <c r="I229" s="1" t="s">
        <v>29</v>
      </c>
      <c r="J229" s="1" t="s">
        <v>51</v>
      </c>
      <c r="K229" s="10">
        <v>40193</v>
      </c>
    </row>
    <row r="230" spans="1:11" x14ac:dyDescent="0.3">
      <c r="A230" s="6" t="s">
        <v>80</v>
      </c>
      <c r="B230" s="1" t="s">
        <v>54</v>
      </c>
      <c r="C230" s="1" t="s">
        <v>27</v>
      </c>
      <c r="D230" s="1" t="s">
        <v>28</v>
      </c>
      <c r="E230" s="1">
        <v>44</v>
      </c>
      <c r="F230" s="7">
        <v>40060</v>
      </c>
      <c r="G230" s="8">
        <v>89695</v>
      </c>
      <c r="H230" s="9">
        <v>0</v>
      </c>
      <c r="I230" s="1" t="s">
        <v>29</v>
      </c>
      <c r="J230" s="1" t="s">
        <v>51</v>
      </c>
      <c r="K230" s="10" t="s">
        <v>36</v>
      </c>
    </row>
    <row r="231" spans="1:11" x14ac:dyDescent="0.3">
      <c r="A231" s="6" t="s">
        <v>47</v>
      </c>
      <c r="B231" s="1" t="s">
        <v>38</v>
      </c>
      <c r="C231" s="1" t="s">
        <v>32</v>
      </c>
      <c r="D231" s="1" t="s">
        <v>33</v>
      </c>
      <c r="E231" s="1">
        <v>64</v>
      </c>
      <c r="F231" s="7">
        <v>35996</v>
      </c>
      <c r="G231" s="8">
        <v>122753</v>
      </c>
      <c r="H231" s="9">
        <v>0.09</v>
      </c>
      <c r="I231" s="1" t="s">
        <v>34</v>
      </c>
      <c r="J231" s="1" t="s">
        <v>35</v>
      </c>
      <c r="K231" s="10" t="s">
        <v>36</v>
      </c>
    </row>
    <row r="232" spans="1:11" x14ac:dyDescent="0.3">
      <c r="A232" s="6" t="s">
        <v>69</v>
      </c>
      <c r="B232" s="1" t="s">
        <v>52</v>
      </c>
      <c r="C232" s="1" t="s">
        <v>27</v>
      </c>
      <c r="D232" s="1" t="s">
        <v>33</v>
      </c>
      <c r="E232" s="1">
        <v>30</v>
      </c>
      <c r="F232" s="7">
        <v>42078</v>
      </c>
      <c r="G232" s="8">
        <v>93734</v>
      </c>
      <c r="H232" s="9">
        <v>0</v>
      </c>
      <c r="I232" s="1" t="s">
        <v>29</v>
      </c>
      <c r="J232" s="1" t="s">
        <v>43</v>
      </c>
      <c r="K232" s="10" t="s">
        <v>36</v>
      </c>
    </row>
    <row r="233" spans="1:11" x14ac:dyDescent="0.3">
      <c r="A233" s="6" t="s">
        <v>48</v>
      </c>
      <c r="B233" s="1" t="s">
        <v>50</v>
      </c>
      <c r="C233" s="1" t="s">
        <v>46</v>
      </c>
      <c r="D233" s="1" t="s">
        <v>33</v>
      </c>
      <c r="E233" s="1">
        <v>28</v>
      </c>
      <c r="F233" s="7">
        <v>42867</v>
      </c>
      <c r="G233" s="8">
        <v>52069</v>
      </c>
      <c r="H233" s="9">
        <v>0</v>
      </c>
      <c r="I233" s="1" t="s">
        <v>34</v>
      </c>
      <c r="J233" s="1" t="s">
        <v>35</v>
      </c>
      <c r="K233" s="10" t="s">
        <v>36</v>
      </c>
    </row>
    <row r="234" spans="1:11" x14ac:dyDescent="0.3">
      <c r="A234" s="6" t="s">
        <v>56</v>
      </c>
      <c r="B234" s="1" t="s">
        <v>50</v>
      </c>
      <c r="C234" s="1" t="s">
        <v>46</v>
      </c>
      <c r="D234" s="1" t="s">
        <v>28</v>
      </c>
      <c r="E234" s="1">
        <v>33</v>
      </c>
      <c r="F234" s="7">
        <v>44181</v>
      </c>
      <c r="G234" s="8">
        <v>258426</v>
      </c>
      <c r="H234" s="9">
        <v>0.4</v>
      </c>
      <c r="I234" s="1" t="s">
        <v>59</v>
      </c>
      <c r="J234" s="1" t="s">
        <v>61</v>
      </c>
      <c r="K234" s="10" t="s">
        <v>36</v>
      </c>
    </row>
    <row r="235" spans="1:11" x14ac:dyDescent="0.3">
      <c r="A235" s="6" t="s">
        <v>47</v>
      </c>
      <c r="B235" s="1" t="s">
        <v>38</v>
      </c>
      <c r="C235" s="1" t="s">
        <v>39</v>
      </c>
      <c r="D235" s="1" t="s">
        <v>33</v>
      </c>
      <c r="E235" s="1">
        <v>51</v>
      </c>
      <c r="F235" s="7">
        <v>34746</v>
      </c>
      <c r="G235" s="8">
        <v>125375</v>
      </c>
      <c r="H235" s="9">
        <v>0.09</v>
      </c>
      <c r="I235" s="1" t="s">
        <v>29</v>
      </c>
      <c r="J235" s="1" t="s">
        <v>40</v>
      </c>
      <c r="K235" s="10" t="s">
        <v>36</v>
      </c>
    </row>
    <row r="236" spans="1:11" x14ac:dyDescent="0.3">
      <c r="A236" s="6" t="s">
        <v>56</v>
      </c>
      <c r="B236" s="1" t="s">
        <v>50</v>
      </c>
      <c r="C236" s="1" t="s">
        <v>32</v>
      </c>
      <c r="D236" s="1" t="s">
        <v>33</v>
      </c>
      <c r="E236" s="1">
        <v>25</v>
      </c>
      <c r="F236" s="7">
        <v>44235</v>
      </c>
      <c r="G236" s="8">
        <v>198243</v>
      </c>
      <c r="H236" s="9">
        <v>0.31</v>
      </c>
      <c r="I236" s="1" t="s">
        <v>29</v>
      </c>
      <c r="J236" s="1" t="s">
        <v>49</v>
      </c>
      <c r="K236" s="10" t="s">
        <v>36</v>
      </c>
    </row>
    <row r="237" spans="1:11" x14ac:dyDescent="0.3">
      <c r="A237" s="6" t="s">
        <v>77</v>
      </c>
      <c r="B237" s="1" t="s">
        <v>54</v>
      </c>
      <c r="C237" s="1" t="s">
        <v>27</v>
      </c>
      <c r="D237" s="1" t="s">
        <v>28</v>
      </c>
      <c r="E237" s="1">
        <v>42</v>
      </c>
      <c r="F237" s="7">
        <v>43062</v>
      </c>
      <c r="G237" s="8">
        <v>96023</v>
      </c>
      <c r="H237" s="9">
        <v>0</v>
      </c>
      <c r="I237" s="1" t="s">
        <v>29</v>
      </c>
      <c r="J237" s="1" t="s">
        <v>49</v>
      </c>
      <c r="K237" s="10" t="s">
        <v>36</v>
      </c>
    </row>
    <row r="238" spans="1:11" x14ac:dyDescent="0.3">
      <c r="A238" s="6" t="s">
        <v>42</v>
      </c>
      <c r="B238" s="1" t="s">
        <v>57</v>
      </c>
      <c r="C238" s="1" t="s">
        <v>27</v>
      </c>
      <c r="D238" s="1" t="s">
        <v>28</v>
      </c>
      <c r="E238" s="1">
        <v>34</v>
      </c>
      <c r="F238" s="7">
        <v>41085</v>
      </c>
      <c r="G238" s="8">
        <v>83066</v>
      </c>
      <c r="H238" s="9">
        <v>0</v>
      </c>
      <c r="I238" s="1" t="s">
        <v>29</v>
      </c>
      <c r="J238" s="1" t="s">
        <v>40</v>
      </c>
      <c r="K238" s="10">
        <v>41430</v>
      </c>
    </row>
    <row r="239" spans="1:11" x14ac:dyDescent="0.3">
      <c r="A239" s="6" t="s">
        <v>66</v>
      </c>
      <c r="B239" s="1" t="s">
        <v>45</v>
      </c>
      <c r="C239" s="1" t="s">
        <v>27</v>
      </c>
      <c r="D239" s="1" t="s">
        <v>28</v>
      </c>
      <c r="E239" s="1">
        <v>48</v>
      </c>
      <c r="F239" s="7">
        <v>41773</v>
      </c>
      <c r="G239" s="8">
        <v>61216</v>
      </c>
      <c r="H239" s="9">
        <v>0</v>
      </c>
      <c r="I239" s="1" t="s">
        <v>29</v>
      </c>
      <c r="J239" s="1" t="s">
        <v>30</v>
      </c>
      <c r="K239" s="10" t="s">
        <v>36</v>
      </c>
    </row>
    <row r="240" spans="1:11" x14ac:dyDescent="0.3">
      <c r="A240" s="6" t="s">
        <v>25</v>
      </c>
      <c r="B240" s="1" t="s">
        <v>50</v>
      </c>
      <c r="C240" s="1" t="s">
        <v>46</v>
      </c>
      <c r="D240" s="1" t="s">
        <v>33</v>
      </c>
      <c r="E240" s="1">
        <v>33</v>
      </c>
      <c r="F240" s="7">
        <v>41315</v>
      </c>
      <c r="G240" s="8">
        <v>144231</v>
      </c>
      <c r="H240" s="9">
        <v>0.14000000000000001</v>
      </c>
      <c r="I240" s="1" t="s">
        <v>29</v>
      </c>
      <c r="J240" s="1" t="s">
        <v>58</v>
      </c>
      <c r="K240" s="10">
        <v>44029</v>
      </c>
    </row>
    <row r="241" spans="1:11" x14ac:dyDescent="0.3">
      <c r="A241" s="6" t="s">
        <v>70</v>
      </c>
      <c r="B241" s="1" t="s">
        <v>52</v>
      </c>
      <c r="C241" s="1" t="s">
        <v>27</v>
      </c>
      <c r="D241" s="1" t="s">
        <v>33</v>
      </c>
      <c r="E241" s="1">
        <v>41</v>
      </c>
      <c r="F241" s="7">
        <v>39379</v>
      </c>
      <c r="G241" s="8">
        <v>51630</v>
      </c>
      <c r="H241" s="9">
        <v>0</v>
      </c>
      <c r="I241" s="1" t="s">
        <v>34</v>
      </c>
      <c r="J241" s="1" t="s">
        <v>64</v>
      </c>
      <c r="K241" s="10" t="s">
        <v>36</v>
      </c>
    </row>
    <row r="242" spans="1:11" x14ac:dyDescent="0.3">
      <c r="A242" s="6" t="s">
        <v>25</v>
      </c>
      <c r="B242" s="1" t="s">
        <v>45</v>
      </c>
      <c r="C242" s="1" t="s">
        <v>46</v>
      </c>
      <c r="D242" s="1" t="s">
        <v>33</v>
      </c>
      <c r="E242" s="1">
        <v>55</v>
      </c>
      <c r="F242" s="7">
        <v>41594</v>
      </c>
      <c r="G242" s="8">
        <v>124129</v>
      </c>
      <c r="H242" s="9">
        <v>0.15</v>
      </c>
      <c r="I242" s="1" t="s">
        <v>59</v>
      </c>
      <c r="J242" s="1" t="s">
        <v>76</v>
      </c>
      <c r="K242" s="10" t="s">
        <v>36</v>
      </c>
    </row>
    <row r="243" spans="1:11" x14ac:dyDescent="0.3">
      <c r="A243" s="6" t="s">
        <v>77</v>
      </c>
      <c r="B243" s="1" t="s">
        <v>54</v>
      </c>
      <c r="C243" s="1" t="s">
        <v>32</v>
      </c>
      <c r="D243" s="1" t="s">
        <v>33</v>
      </c>
      <c r="E243" s="1">
        <v>36</v>
      </c>
      <c r="F243" s="7">
        <v>39912</v>
      </c>
      <c r="G243" s="8">
        <v>60055</v>
      </c>
      <c r="H243" s="9">
        <v>0</v>
      </c>
      <c r="I243" s="1" t="s">
        <v>29</v>
      </c>
      <c r="J243" s="1" t="s">
        <v>30</v>
      </c>
      <c r="K243" s="10" t="s">
        <v>36</v>
      </c>
    </row>
    <row r="244" spans="1:11" x14ac:dyDescent="0.3">
      <c r="A244" s="6" t="s">
        <v>37</v>
      </c>
      <c r="B244" s="1" t="s">
        <v>54</v>
      </c>
      <c r="C244" s="1" t="s">
        <v>27</v>
      </c>
      <c r="D244" s="1" t="s">
        <v>33</v>
      </c>
      <c r="E244" s="1">
        <v>31</v>
      </c>
      <c r="F244" s="7">
        <v>44069</v>
      </c>
      <c r="G244" s="8">
        <v>189290</v>
      </c>
      <c r="H244" s="9">
        <v>0.22</v>
      </c>
      <c r="I244" s="1" t="s">
        <v>59</v>
      </c>
      <c r="J244" s="1" t="s">
        <v>76</v>
      </c>
      <c r="K244" s="10">
        <v>44099</v>
      </c>
    </row>
    <row r="245" spans="1:11" x14ac:dyDescent="0.3">
      <c r="A245" s="6" t="s">
        <v>56</v>
      </c>
      <c r="B245" s="1" t="s">
        <v>26</v>
      </c>
      <c r="C245" s="1" t="s">
        <v>46</v>
      </c>
      <c r="D245" s="1" t="s">
        <v>28</v>
      </c>
      <c r="E245" s="1">
        <v>53</v>
      </c>
      <c r="F245" s="7">
        <v>39568</v>
      </c>
      <c r="G245" s="8">
        <v>182202</v>
      </c>
      <c r="H245" s="9">
        <v>0.3</v>
      </c>
      <c r="I245" s="1" t="s">
        <v>29</v>
      </c>
      <c r="J245" s="1" t="s">
        <v>51</v>
      </c>
      <c r="K245" s="10" t="s">
        <v>36</v>
      </c>
    </row>
    <row r="246" spans="1:11" x14ac:dyDescent="0.3">
      <c r="A246" s="6" t="s">
        <v>47</v>
      </c>
      <c r="B246" s="1" t="s">
        <v>45</v>
      </c>
      <c r="C246" s="1" t="s">
        <v>39</v>
      </c>
      <c r="D246" s="1" t="s">
        <v>33</v>
      </c>
      <c r="E246" s="1">
        <v>43</v>
      </c>
      <c r="F246" s="7">
        <v>38748</v>
      </c>
      <c r="G246" s="8">
        <v>117518</v>
      </c>
      <c r="H246" s="9">
        <v>7.0000000000000007E-2</v>
      </c>
      <c r="I246" s="1" t="s">
        <v>29</v>
      </c>
      <c r="J246" s="1" t="s">
        <v>30</v>
      </c>
      <c r="K246" s="10" t="s">
        <v>36</v>
      </c>
    </row>
    <row r="247" spans="1:11" x14ac:dyDescent="0.3">
      <c r="A247" s="6" t="s">
        <v>25</v>
      </c>
      <c r="B247" s="1" t="s">
        <v>38</v>
      </c>
      <c r="C247" s="1" t="s">
        <v>32</v>
      </c>
      <c r="D247" s="1" t="s">
        <v>28</v>
      </c>
      <c r="E247" s="1">
        <v>37</v>
      </c>
      <c r="F247" s="7">
        <v>41329</v>
      </c>
      <c r="G247" s="8">
        <v>157474</v>
      </c>
      <c r="H247" s="9">
        <v>0.11</v>
      </c>
      <c r="I247" s="1" t="s">
        <v>59</v>
      </c>
      <c r="J247" s="1" t="s">
        <v>61</v>
      </c>
      <c r="K247" s="10" t="s">
        <v>36</v>
      </c>
    </row>
    <row r="248" spans="1:11" x14ac:dyDescent="0.3">
      <c r="A248" s="6" t="s">
        <v>47</v>
      </c>
      <c r="B248" s="1" t="s">
        <v>57</v>
      </c>
      <c r="C248" s="1" t="s">
        <v>32</v>
      </c>
      <c r="D248" s="1" t="s">
        <v>33</v>
      </c>
      <c r="E248" s="1">
        <v>38</v>
      </c>
      <c r="F248" s="7">
        <v>39544</v>
      </c>
      <c r="G248" s="8">
        <v>126856</v>
      </c>
      <c r="H248" s="9">
        <v>0.06</v>
      </c>
      <c r="I248" s="1" t="s">
        <v>29</v>
      </c>
      <c r="J248" s="1" t="s">
        <v>58</v>
      </c>
      <c r="K248" s="10" t="s">
        <v>36</v>
      </c>
    </row>
    <row r="249" spans="1:11" x14ac:dyDescent="0.3">
      <c r="A249" s="6" t="s">
        <v>25</v>
      </c>
      <c r="B249" s="1" t="s">
        <v>50</v>
      </c>
      <c r="C249" s="1" t="s">
        <v>32</v>
      </c>
      <c r="D249" s="1" t="s">
        <v>28</v>
      </c>
      <c r="E249" s="1">
        <v>49</v>
      </c>
      <c r="F249" s="7">
        <v>36983</v>
      </c>
      <c r="G249" s="8">
        <v>129124</v>
      </c>
      <c r="H249" s="9">
        <v>0.12</v>
      </c>
      <c r="I249" s="1" t="s">
        <v>34</v>
      </c>
      <c r="J249" s="1" t="s">
        <v>55</v>
      </c>
      <c r="K249" s="10" t="s">
        <v>36</v>
      </c>
    </row>
    <row r="250" spans="1:11" x14ac:dyDescent="0.3">
      <c r="A250" s="6" t="s">
        <v>37</v>
      </c>
      <c r="B250" s="1" t="s">
        <v>45</v>
      </c>
      <c r="C250" s="1" t="s">
        <v>27</v>
      </c>
      <c r="D250" s="1" t="s">
        <v>28</v>
      </c>
      <c r="E250" s="1">
        <v>45</v>
      </c>
      <c r="F250" s="7">
        <v>37316</v>
      </c>
      <c r="G250" s="8">
        <v>165181</v>
      </c>
      <c r="H250" s="9">
        <v>0.16</v>
      </c>
      <c r="I250" s="1" t="s">
        <v>29</v>
      </c>
      <c r="J250" s="1" t="s">
        <v>30</v>
      </c>
      <c r="K250" s="10" t="s">
        <v>36</v>
      </c>
    </row>
    <row r="251" spans="1:11" x14ac:dyDescent="0.3">
      <c r="A251" s="6" t="s">
        <v>56</v>
      </c>
      <c r="B251" s="1" t="s">
        <v>38</v>
      </c>
      <c r="C251" s="1" t="s">
        <v>46</v>
      </c>
      <c r="D251" s="1" t="s">
        <v>33</v>
      </c>
      <c r="E251" s="1">
        <v>50</v>
      </c>
      <c r="F251" s="7">
        <v>38004</v>
      </c>
      <c r="G251" s="8">
        <v>247939</v>
      </c>
      <c r="H251" s="9">
        <v>0.35</v>
      </c>
      <c r="I251" s="1" t="s">
        <v>59</v>
      </c>
      <c r="J251" s="1" t="s">
        <v>61</v>
      </c>
      <c r="K251" s="10" t="s">
        <v>36</v>
      </c>
    </row>
    <row r="252" spans="1:11" x14ac:dyDescent="0.3">
      <c r="A252" s="6" t="s">
        <v>37</v>
      </c>
      <c r="B252" s="1" t="s">
        <v>54</v>
      </c>
      <c r="C252" s="1" t="s">
        <v>39</v>
      </c>
      <c r="D252" s="1" t="s">
        <v>33</v>
      </c>
      <c r="E252" s="1">
        <v>64</v>
      </c>
      <c r="F252" s="7">
        <v>42972</v>
      </c>
      <c r="G252" s="8">
        <v>169509</v>
      </c>
      <c r="H252" s="9">
        <v>0.18</v>
      </c>
      <c r="I252" s="1" t="s">
        <v>59</v>
      </c>
      <c r="J252" s="1" t="s">
        <v>60</v>
      </c>
      <c r="K252" s="10" t="s">
        <v>36</v>
      </c>
    </row>
    <row r="253" spans="1:11" x14ac:dyDescent="0.3">
      <c r="A253" s="6" t="s">
        <v>25</v>
      </c>
      <c r="B253" s="1" t="s">
        <v>50</v>
      </c>
      <c r="C253" s="1" t="s">
        <v>32</v>
      </c>
      <c r="D253" s="1" t="s">
        <v>28</v>
      </c>
      <c r="E253" s="1">
        <v>55</v>
      </c>
      <c r="F253" s="7">
        <v>40552</v>
      </c>
      <c r="G253" s="8">
        <v>138521</v>
      </c>
      <c r="H253" s="9">
        <v>0.1</v>
      </c>
      <c r="I253" s="1" t="s">
        <v>29</v>
      </c>
      <c r="J253" s="1" t="s">
        <v>49</v>
      </c>
      <c r="K253" s="10" t="s">
        <v>36</v>
      </c>
    </row>
    <row r="254" spans="1:11" x14ac:dyDescent="0.3">
      <c r="A254" s="6" t="s">
        <v>63</v>
      </c>
      <c r="B254" s="1" t="s">
        <v>54</v>
      </c>
      <c r="C254" s="1" t="s">
        <v>39</v>
      </c>
      <c r="D254" s="1" t="s">
        <v>28</v>
      </c>
      <c r="E254" s="1">
        <v>45</v>
      </c>
      <c r="F254" s="7">
        <v>41712</v>
      </c>
      <c r="G254" s="8">
        <v>113873</v>
      </c>
      <c r="H254" s="9">
        <v>0.11</v>
      </c>
      <c r="I254" s="1" t="s">
        <v>59</v>
      </c>
      <c r="J254" s="1" t="s">
        <v>61</v>
      </c>
      <c r="K254" s="10" t="s">
        <v>36</v>
      </c>
    </row>
    <row r="255" spans="1:11" x14ac:dyDescent="0.3">
      <c r="A255" s="6" t="s">
        <v>67</v>
      </c>
      <c r="B255" s="1" t="s">
        <v>26</v>
      </c>
      <c r="C255" s="1" t="s">
        <v>46</v>
      </c>
      <c r="D255" s="1" t="s">
        <v>28</v>
      </c>
      <c r="E255" s="1">
        <v>39</v>
      </c>
      <c r="F255" s="7">
        <v>43229</v>
      </c>
      <c r="G255" s="8">
        <v>73317</v>
      </c>
      <c r="H255" s="9">
        <v>0</v>
      </c>
      <c r="I255" s="1" t="s">
        <v>29</v>
      </c>
      <c r="J255" s="1" t="s">
        <v>49</v>
      </c>
      <c r="K255" s="10" t="s">
        <v>36</v>
      </c>
    </row>
    <row r="256" spans="1:11" x14ac:dyDescent="0.3">
      <c r="A256" s="6" t="s">
        <v>86</v>
      </c>
      <c r="B256" s="1" t="s">
        <v>26</v>
      </c>
      <c r="C256" s="1" t="s">
        <v>39</v>
      </c>
      <c r="D256" s="1" t="s">
        <v>28</v>
      </c>
      <c r="E256" s="1">
        <v>40</v>
      </c>
      <c r="F256" s="7">
        <v>41451</v>
      </c>
      <c r="G256" s="8">
        <v>69096</v>
      </c>
      <c r="H256" s="9">
        <v>0</v>
      </c>
      <c r="I256" s="1" t="s">
        <v>29</v>
      </c>
      <c r="J256" s="1" t="s">
        <v>30</v>
      </c>
      <c r="K256" s="10" t="s">
        <v>36</v>
      </c>
    </row>
    <row r="257" spans="1:11" x14ac:dyDescent="0.3">
      <c r="A257" s="6" t="s">
        <v>69</v>
      </c>
      <c r="B257" s="1" t="s">
        <v>52</v>
      </c>
      <c r="C257" s="1" t="s">
        <v>32</v>
      </c>
      <c r="D257" s="1" t="s">
        <v>33</v>
      </c>
      <c r="E257" s="1">
        <v>48</v>
      </c>
      <c r="F257" s="7">
        <v>38454</v>
      </c>
      <c r="G257" s="8">
        <v>87158</v>
      </c>
      <c r="H257" s="9">
        <v>0</v>
      </c>
      <c r="I257" s="1" t="s">
        <v>59</v>
      </c>
      <c r="J257" s="1" t="s">
        <v>60</v>
      </c>
      <c r="K257" s="10" t="s">
        <v>36</v>
      </c>
    </row>
    <row r="258" spans="1:11" x14ac:dyDescent="0.3">
      <c r="A258" s="6" t="s">
        <v>77</v>
      </c>
      <c r="B258" s="1" t="s">
        <v>54</v>
      </c>
      <c r="C258" s="1" t="s">
        <v>46</v>
      </c>
      <c r="D258" s="1" t="s">
        <v>33</v>
      </c>
      <c r="E258" s="1">
        <v>64</v>
      </c>
      <c r="F258" s="7">
        <v>33875</v>
      </c>
      <c r="G258" s="8">
        <v>70778</v>
      </c>
      <c r="H258" s="9">
        <v>0</v>
      </c>
      <c r="I258" s="1" t="s">
        <v>29</v>
      </c>
      <c r="J258" s="1" t="s">
        <v>51</v>
      </c>
      <c r="K258" s="10" t="s">
        <v>36</v>
      </c>
    </row>
    <row r="259" spans="1:11" x14ac:dyDescent="0.3">
      <c r="A259" s="6" t="s">
        <v>37</v>
      </c>
      <c r="B259" s="1" t="s">
        <v>52</v>
      </c>
      <c r="C259" s="1" t="s">
        <v>39</v>
      </c>
      <c r="D259" s="1" t="s">
        <v>28</v>
      </c>
      <c r="E259" s="1">
        <v>65</v>
      </c>
      <c r="F259" s="7">
        <v>38130</v>
      </c>
      <c r="G259" s="8">
        <v>153938</v>
      </c>
      <c r="H259" s="9">
        <v>0.2</v>
      </c>
      <c r="I259" s="1" t="s">
        <v>29</v>
      </c>
      <c r="J259" s="1" t="s">
        <v>43</v>
      </c>
      <c r="K259" s="10" t="s">
        <v>36</v>
      </c>
    </row>
    <row r="260" spans="1:11" x14ac:dyDescent="0.3">
      <c r="A260" s="6" t="s">
        <v>83</v>
      </c>
      <c r="B260" s="1" t="s">
        <v>26</v>
      </c>
      <c r="C260" s="1" t="s">
        <v>27</v>
      </c>
      <c r="D260" s="1" t="s">
        <v>33</v>
      </c>
      <c r="E260" s="1">
        <v>43</v>
      </c>
      <c r="F260" s="7">
        <v>43224</v>
      </c>
      <c r="G260" s="8">
        <v>59888</v>
      </c>
      <c r="H260" s="9">
        <v>0</v>
      </c>
      <c r="I260" s="1" t="s">
        <v>34</v>
      </c>
      <c r="J260" s="1" t="s">
        <v>64</v>
      </c>
      <c r="K260" s="10" t="s">
        <v>36</v>
      </c>
    </row>
    <row r="261" spans="1:11" x14ac:dyDescent="0.3">
      <c r="A261" s="6" t="s">
        <v>77</v>
      </c>
      <c r="B261" s="1" t="s">
        <v>54</v>
      </c>
      <c r="C261" s="1" t="s">
        <v>46</v>
      </c>
      <c r="D261" s="1" t="s">
        <v>33</v>
      </c>
      <c r="E261" s="1">
        <v>50</v>
      </c>
      <c r="F261" s="7">
        <v>43447</v>
      </c>
      <c r="G261" s="8">
        <v>63098</v>
      </c>
      <c r="H261" s="9">
        <v>0</v>
      </c>
      <c r="I261" s="1" t="s">
        <v>29</v>
      </c>
      <c r="J261" s="1" t="s">
        <v>58</v>
      </c>
      <c r="K261" s="10" t="s">
        <v>36</v>
      </c>
    </row>
    <row r="262" spans="1:11" x14ac:dyDescent="0.3">
      <c r="A262" s="6" t="s">
        <v>56</v>
      </c>
      <c r="B262" s="1" t="s">
        <v>38</v>
      </c>
      <c r="C262" s="1" t="s">
        <v>46</v>
      </c>
      <c r="D262" s="1" t="s">
        <v>28</v>
      </c>
      <c r="E262" s="1">
        <v>27</v>
      </c>
      <c r="F262" s="7">
        <v>44545</v>
      </c>
      <c r="G262" s="8">
        <v>255369</v>
      </c>
      <c r="H262" s="9">
        <v>0.33</v>
      </c>
      <c r="I262" s="1" t="s">
        <v>59</v>
      </c>
      <c r="J262" s="1" t="s">
        <v>76</v>
      </c>
      <c r="K262" s="10" t="s">
        <v>36</v>
      </c>
    </row>
    <row r="263" spans="1:11" x14ac:dyDescent="0.3">
      <c r="A263" s="6" t="s">
        <v>25</v>
      </c>
      <c r="B263" s="1" t="s">
        <v>52</v>
      </c>
      <c r="C263" s="1" t="s">
        <v>32</v>
      </c>
      <c r="D263" s="1" t="s">
        <v>28</v>
      </c>
      <c r="E263" s="1">
        <v>55</v>
      </c>
      <c r="F263" s="7">
        <v>38301</v>
      </c>
      <c r="G263" s="8">
        <v>142318</v>
      </c>
      <c r="H263" s="9">
        <v>0.14000000000000001</v>
      </c>
      <c r="I263" s="1" t="s">
        <v>29</v>
      </c>
      <c r="J263" s="1" t="s">
        <v>40</v>
      </c>
      <c r="K263" s="10" t="s">
        <v>36</v>
      </c>
    </row>
    <row r="264" spans="1:11" x14ac:dyDescent="0.3">
      <c r="A264" s="6" t="s">
        <v>74</v>
      </c>
      <c r="B264" s="1" t="s">
        <v>52</v>
      </c>
      <c r="C264" s="1" t="s">
        <v>32</v>
      </c>
      <c r="D264" s="1" t="s">
        <v>33</v>
      </c>
      <c r="E264" s="1">
        <v>41</v>
      </c>
      <c r="F264" s="7">
        <v>38219</v>
      </c>
      <c r="G264" s="8">
        <v>49186</v>
      </c>
      <c r="H264" s="9">
        <v>0</v>
      </c>
      <c r="I264" s="1" t="s">
        <v>29</v>
      </c>
      <c r="J264" s="1" t="s">
        <v>51</v>
      </c>
      <c r="K264" s="10">
        <v>39616</v>
      </c>
    </row>
    <row r="265" spans="1:11" x14ac:dyDescent="0.3">
      <c r="A265" s="6" t="s">
        <v>56</v>
      </c>
      <c r="B265" s="1" t="s">
        <v>52</v>
      </c>
      <c r="C265" s="1" t="s">
        <v>27</v>
      </c>
      <c r="D265" s="1" t="s">
        <v>28</v>
      </c>
      <c r="E265" s="1">
        <v>34</v>
      </c>
      <c r="F265" s="7">
        <v>43673</v>
      </c>
      <c r="G265" s="8">
        <v>220937</v>
      </c>
      <c r="H265" s="9">
        <v>0.38</v>
      </c>
      <c r="I265" s="1" t="s">
        <v>29</v>
      </c>
      <c r="J265" s="1" t="s">
        <v>51</v>
      </c>
      <c r="K265" s="10" t="s">
        <v>36</v>
      </c>
    </row>
    <row r="266" spans="1:11" x14ac:dyDescent="0.3">
      <c r="A266" s="6" t="s">
        <v>37</v>
      </c>
      <c r="B266" s="1" t="s">
        <v>26</v>
      </c>
      <c r="C266" s="1" t="s">
        <v>39</v>
      </c>
      <c r="D266" s="1" t="s">
        <v>28</v>
      </c>
      <c r="E266" s="1">
        <v>47</v>
      </c>
      <c r="F266" s="7">
        <v>41208</v>
      </c>
      <c r="G266" s="8">
        <v>183156</v>
      </c>
      <c r="H266" s="9">
        <v>0.3</v>
      </c>
      <c r="I266" s="1" t="s">
        <v>29</v>
      </c>
      <c r="J266" s="1" t="s">
        <v>30</v>
      </c>
      <c r="K266" s="10" t="s">
        <v>36</v>
      </c>
    </row>
    <row r="267" spans="1:11" x14ac:dyDescent="0.3">
      <c r="A267" s="6" t="s">
        <v>56</v>
      </c>
      <c r="B267" s="1" t="s">
        <v>26</v>
      </c>
      <c r="C267" s="1" t="s">
        <v>39</v>
      </c>
      <c r="D267" s="1" t="s">
        <v>28</v>
      </c>
      <c r="E267" s="1">
        <v>32</v>
      </c>
      <c r="F267" s="7">
        <v>44034</v>
      </c>
      <c r="G267" s="8">
        <v>192749</v>
      </c>
      <c r="H267" s="9">
        <v>0.31</v>
      </c>
      <c r="I267" s="1" t="s">
        <v>29</v>
      </c>
      <c r="J267" s="1" t="s">
        <v>40</v>
      </c>
      <c r="K267" s="10" t="s">
        <v>36</v>
      </c>
    </row>
    <row r="268" spans="1:11" x14ac:dyDescent="0.3">
      <c r="A268" s="6" t="s">
        <v>25</v>
      </c>
      <c r="B268" s="1" t="s">
        <v>26</v>
      </c>
      <c r="C268" s="1" t="s">
        <v>32</v>
      </c>
      <c r="D268" s="1" t="s">
        <v>28</v>
      </c>
      <c r="E268" s="1">
        <v>39</v>
      </c>
      <c r="F268" s="7">
        <v>42819</v>
      </c>
      <c r="G268" s="8">
        <v>135325</v>
      </c>
      <c r="H268" s="9">
        <v>0.14000000000000001</v>
      </c>
      <c r="I268" s="1" t="s">
        <v>29</v>
      </c>
      <c r="J268" s="1" t="s">
        <v>43</v>
      </c>
      <c r="K268" s="10" t="s">
        <v>36</v>
      </c>
    </row>
    <row r="269" spans="1:11" x14ac:dyDescent="0.3">
      <c r="A269" s="6" t="s">
        <v>42</v>
      </c>
      <c r="B269" s="1" t="s">
        <v>45</v>
      </c>
      <c r="C269" s="1" t="s">
        <v>39</v>
      </c>
      <c r="D269" s="1" t="s">
        <v>28</v>
      </c>
      <c r="E269" s="1">
        <v>26</v>
      </c>
      <c r="F269" s="7">
        <v>43752</v>
      </c>
      <c r="G269" s="8">
        <v>79356</v>
      </c>
      <c r="H269" s="9">
        <v>0</v>
      </c>
      <c r="I269" s="1" t="s">
        <v>29</v>
      </c>
      <c r="J269" s="1" t="s">
        <v>43</v>
      </c>
      <c r="K269" s="10" t="s">
        <v>36</v>
      </c>
    </row>
    <row r="270" spans="1:11" x14ac:dyDescent="0.3">
      <c r="A270" s="6" t="s">
        <v>80</v>
      </c>
      <c r="B270" s="1" t="s">
        <v>54</v>
      </c>
      <c r="C270" s="1" t="s">
        <v>32</v>
      </c>
      <c r="D270" s="1" t="s">
        <v>33</v>
      </c>
      <c r="E270" s="1">
        <v>40</v>
      </c>
      <c r="F270" s="7">
        <v>38540</v>
      </c>
      <c r="G270" s="8">
        <v>74412</v>
      </c>
      <c r="H270" s="9">
        <v>0</v>
      </c>
      <c r="I270" s="1" t="s">
        <v>29</v>
      </c>
      <c r="J270" s="1" t="s">
        <v>30</v>
      </c>
      <c r="K270" s="10" t="s">
        <v>36</v>
      </c>
    </row>
    <row r="271" spans="1:11" x14ac:dyDescent="0.3">
      <c r="A271" s="6" t="s">
        <v>41</v>
      </c>
      <c r="B271" s="1" t="s">
        <v>26</v>
      </c>
      <c r="C271" s="1" t="s">
        <v>32</v>
      </c>
      <c r="D271" s="1" t="s">
        <v>28</v>
      </c>
      <c r="E271" s="1">
        <v>32</v>
      </c>
      <c r="F271" s="7">
        <v>43010</v>
      </c>
      <c r="G271" s="8">
        <v>61886</v>
      </c>
      <c r="H271" s="9">
        <v>0.09</v>
      </c>
      <c r="I271" s="1" t="s">
        <v>59</v>
      </c>
      <c r="J271" s="1" t="s">
        <v>61</v>
      </c>
      <c r="K271" s="10" t="s">
        <v>36</v>
      </c>
    </row>
    <row r="272" spans="1:11" x14ac:dyDescent="0.3">
      <c r="A272" s="6" t="s">
        <v>37</v>
      </c>
      <c r="B272" s="1" t="s">
        <v>50</v>
      </c>
      <c r="C272" s="1" t="s">
        <v>27</v>
      </c>
      <c r="D272" s="1" t="s">
        <v>28</v>
      </c>
      <c r="E272" s="1">
        <v>58</v>
      </c>
      <c r="F272" s="7">
        <v>37755</v>
      </c>
      <c r="G272" s="8">
        <v>173071</v>
      </c>
      <c r="H272" s="9">
        <v>0.28999999999999998</v>
      </c>
      <c r="I272" s="1" t="s">
        <v>29</v>
      </c>
      <c r="J272" s="1" t="s">
        <v>58</v>
      </c>
      <c r="K272" s="10" t="s">
        <v>36</v>
      </c>
    </row>
    <row r="273" spans="1:11" x14ac:dyDescent="0.3">
      <c r="A273" s="6" t="s">
        <v>71</v>
      </c>
      <c r="B273" s="1" t="s">
        <v>54</v>
      </c>
      <c r="C273" s="1" t="s">
        <v>27</v>
      </c>
      <c r="D273" s="1" t="s">
        <v>28</v>
      </c>
      <c r="E273" s="1">
        <v>58</v>
      </c>
      <c r="F273" s="7">
        <v>34999</v>
      </c>
      <c r="G273" s="8">
        <v>70189</v>
      </c>
      <c r="H273" s="9">
        <v>0</v>
      </c>
      <c r="I273" s="1" t="s">
        <v>29</v>
      </c>
      <c r="J273" s="1" t="s">
        <v>58</v>
      </c>
      <c r="K273" s="10" t="s">
        <v>36</v>
      </c>
    </row>
    <row r="274" spans="1:11" x14ac:dyDescent="0.3">
      <c r="A274" s="6" t="s">
        <v>56</v>
      </c>
      <c r="B274" s="1" t="s">
        <v>45</v>
      </c>
      <c r="C274" s="1" t="s">
        <v>27</v>
      </c>
      <c r="D274" s="1" t="s">
        <v>28</v>
      </c>
      <c r="E274" s="1">
        <v>42</v>
      </c>
      <c r="F274" s="7">
        <v>41528</v>
      </c>
      <c r="G274" s="8">
        <v>181452</v>
      </c>
      <c r="H274" s="9">
        <v>0.3</v>
      </c>
      <c r="I274" s="1" t="s">
        <v>29</v>
      </c>
      <c r="J274" s="1" t="s">
        <v>58</v>
      </c>
      <c r="K274" s="10" t="s">
        <v>36</v>
      </c>
    </row>
    <row r="275" spans="1:11" x14ac:dyDescent="0.3">
      <c r="A275" s="6" t="s">
        <v>70</v>
      </c>
      <c r="B275" s="1" t="s">
        <v>52</v>
      </c>
      <c r="C275" s="1" t="s">
        <v>39</v>
      </c>
      <c r="D275" s="1" t="s">
        <v>33</v>
      </c>
      <c r="E275" s="1">
        <v>26</v>
      </c>
      <c r="F275" s="7">
        <v>44267</v>
      </c>
      <c r="G275" s="8">
        <v>70369</v>
      </c>
      <c r="H275" s="9">
        <v>0</v>
      </c>
      <c r="I275" s="1" t="s">
        <v>29</v>
      </c>
      <c r="J275" s="1" t="s">
        <v>30</v>
      </c>
      <c r="K275" s="10" t="s">
        <v>36</v>
      </c>
    </row>
    <row r="276" spans="1:11" x14ac:dyDescent="0.3">
      <c r="A276" s="6" t="s">
        <v>42</v>
      </c>
      <c r="B276" s="1" t="s">
        <v>50</v>
      </c>
      <c r="C276" s="1" t="s">
        <v>32</v>
      </c>
      <c r="D276" s="1" t="s">
        <v>33</v>
      </c>
      <c r="E276" s="1">
        <v>38</v>
      </c>
      <c r="F276" s="7">
        <v>39634</v>
      </c>
      <c r="G276" s="8">
        <v>78056</v>
      </c>
      <c r="H276" s="9">
        <v>0</v>
      </c>
      <c r="I276" s="1" t="s">
        <v>59</v>
      </c>
      <c r="J276" s="1" t="s">
        <v>76</v>
      </c>
      <c r="K276" s="10" t="s">
        <v>36</v>
      </c>
    </row>
    <row r="277" spans="1:11" x14ac:dyDescent="0.3">
      <c r="A277" s="6" t="s">
        <v>37</v>
      </c>
      <c r="B277" s="1" t="s">
        <v>38</v>
      </c>
      <c r="C277" s="1" t="s">
        <v>27</v>
      </c>
      <c r="D277" s="1" t="s">
        <v>33</v>
      </c>
      <c r="E277" s="1">
        <v>64</v>
      </c>
      <c r="F277" s="7">
        <v>35187</v>
      </c>
      <c r="G277" s="8">
        <v>189933</v>
      </c>
      <c r="H277" s="9">
        <v>0.23</v>
      </c>
      <c r="I277" s="1" t="s">
        <v>29</v>
      </c>
      <c r="J277" s="1" t="s">
        <v>49</v>
      </c>
      <c r="K277" s="10" t="s">
        <v>36</v>
      </c>
    </row>
    <row r="278" spans="1:11" x14ac:dyDescent="0.3">
      <c r="A278" s="6" t="s">
        <v>72</v>
      </c>
      <c r="B278" s="1" t="s">
        <v>54</v>
      </c>
      <c r="C278" s="1" t="s">
        <v>39</v>
      </c>
      <c r="D278" s="1" t="s">
        <v>33</v>
      </c>
      <c r="E278" s="1">
        <v>38</v>
      </c>
      <c r="F278" s="7">
        <v>40360</v>
      </c>
      <c r="G278" s="8">
        <v>78237</v>
      </c>
      <c r="H278" s="9">
        <v>0</v>
      </c>
      <c r="I278" s="1" t="s">
        <v>29</v>
      </c>
      <c r="J278" s="1" t="s">
        <v>43</v>
      </c>
      <c r="K278" s="10" t="s">
        <v>36</v>
      </c>
    </row>
    <row r="279" spans="1:11" x14ac:dyDescent="0.3">
      <c r="A279" s="6" t="s">
        <v>48</v>
      </c>
      <c r="B279" s="1" t="s">
        <v>50</v>
      </c>
      <c r="C279" s="1" t="s">
        <v>27</v>
      </c>
      <c r="D279" s="1" t="s">
        <v>28</v>
      </c>
      <c r="E279" s="1">
        <v>55</v>
      </c>
      <c r="F279" s="7">
        <v>35242</v>
      </c>
      <c r="G279" s="8">
        <v>48687</v>
      </c>
      <c r="H279" s="9">
        <v>0</v>
      </c>
      <c r="I279" s="1" t="s">
        <v>59</v>
      </c>
      <c r="J279" s="1" t="s">
        <v>61</v>
      </c>
      <c r="K279" s="10" t="s">
        <v>36</v>
      </c>
    </row>
    <row r="280" spans="1:11" x14ac:dyDescent="0.3">
      <c r="A280" s="6" t="s">
        <v>25</v>
      </c>
      <c r="B280" s="1" t="s">
        <v>57</v>
      </c>
      <c r="C280" s="1" t="s">
        <v>32</v>
      </c>
      <c r="D280" s="1" t="s">
        <v>28</v>
      </c>
      <c r="E280" s="1">
        <v>45</v>
      </c>
      <c r="F280" s="7">
        <v>38218</v>
      </c>
      <c r="G280" s="8">
        <v>121065</v>
      </c>
      <c r="H280" s="9">
        <v>0.15</v>
      </c>
      <c r="I280" s="1" t="s">
        <v>59</v>
      </c>
      <c r="J280" s="1" t="s">
        <v>61</v>
      </c>
      <c r="K280" s="10" t="s">
        <v>36</v>
      </c>
    </row>
    <row r="281" spans="1:11" x14ac:dyDescent="0.3">
      <c r="A281" s="6" t="s">
        <v>42</v>
      </c>
      <c r="B281" s="1" t="s">
        <v>45</v>
      </c>
      <c r="C281" s="1" t="s">
        <v>46</v>
      </c>
      <c r="D281" s="1" t="s">
        <v>33</v>
      </c>
      <c r="E281" s="1">
        <v>43</v>
      </c>
      <c r="F281" s="7">
        <v>38093</v>
      </c>
      <c r="G281" s="8">
        <v>94246</v>
      </c>
      <c r="H281" s="9">
        <v>0</v>
      </c>
      <c r="I281" s="1" t="s">
        <v>29</v>
      </c>
      <c r="J281" s="1" t="s">
        <v>51</v>
      </c>
      <c r="K281" s="10" t="s">
        <v>36</v>
      </c>
    </row>
    <row r="282" spans="1:11" x14ac:dyDescent="0.3">
      <c r="A282" s="6" t="s">
        <v>83</v>
      </c>
      <c r="B282" s="1" t="s">
        <v>26</v>
      </c>
      <c r="C282" s="1" t="s">
        <v>32</v>
      </c>
      <c r="D282" s="1" t="s">
        <v>28</v>
      </c>
      <c r="E282" s="1">
        <v>34</v>
      </c>
      <c r="F282" s="7">
        <v>42512</v>
      </c>
      <c r="G282" s="8">
        <v>44614</v>
      </c>
      <c r="H282" s="9">
        <v>0</v>
      </c>
      <c r="I282" s="1" t="s">
        <v>29</v>
      </c>
      <c r="J282" s="1" t="s">
        <v>49</v>
      </c>
      <c r="K282" s="10" t="s">
        <v>36</v>
      </c>
    </row>
    <row r="283" spans="1:11" x14ac:dyDescent="0.3">
      <c r="A283" s="6" t="s">
        <v>56</v>
      </c>
      <c r="B283" s="1" t="s">
        <v>26</v>
      </c>
      <c r="C283" s="1" t="s">
        <v>27</v>
      </c>
      <c r="D283" s="1" t="s">
        <v>33</v>
      </c>
      <c r="E283" s="1">
        <v>40</v>
      </c>
      <c r="F283" s="7">
        <v>44143</v>
      </c>
      <c r="G283" s="8">
        <v>234469</v>
      </c>
      <c r="H283" s="9">
        <v>0.31</v>
      </c>
      <c r="I283" s="1" t="s">
        <v>34</v>
      </c>
      <c r="J283" s="1" t="s">
        <v>68</v>
      </c>
      <c r="K283" s="10" t="s">
        <v>36</v>
      </c>
    </row>
    <row r="284" spans="1:11" x14ac:dyDescent="0.3">
      <c r="A284" s="6" t="s">
        <v>72</v>
      </c>
      <c r="B284" s="1" t="s">
        <v>54</v>
      </c>
      <c r="C284" s="1" t="s">
        <v>27</v>
      </c>
      <c r="D284" s="1" t="s">
        <v>33</v>
      </c>
      <c r="E284" s="1">
        <v>52</v>
      </c>
      <c r="F284" s="7">
        <v>44022</v>
      </c>
      <c r="G284" s="8">
        <v>88272</v>
      </c>
      <c r="H284" s="9">
        <v>0</v>
      </c>
      <c r="I284" s="1" t="s">
        <v>59</v>
      </c>
      <c r="J284" s="1" t="s">
        <v>76</v>
      </c>
      <c r="K284" s="10" t="s">
        <v>36</v>
      </c>
    </row>
    <row r="285" spans="1:11" x14ac:dyDescent="0.3">
      <c r="A285" s="6" t="s">
        <v>66</v>
      </c>
      <c r="B285" s="1" t="s">
        <v>38</v>
      </c>
      <c r="C285" s="1" t="s">
        <v>46</v>
      </c>
      <c r="D285" s="1" t="s">
        <v>33</v>
      </c>
      <c r="E285" s="1">
        <v>52</v>
      </c>
      <c r="F285" s="7">
        <v>42992</v>
      </c>
      <c r="G285" s="8">
        <v>74449</v>
      </c>
      <c r="H285" s="9">
        <v>0</v>
      </c>
      <c r="I285" s="1" t="s">
        <v>34</v>
      </c>
      <c r="J285" s="1" t="s">
        <v>64</v>
      </c>
      <c r="K285" s="10" t="s">
        <v>36</v>
      </c>
    </row>
    <row r="286" spans="1:11" x14ac:dyDescent="0.3">
      <c r="A286" s="6" t="s">
        <v>56</v>
      </c>
      <c r="B286" s="1" t="s">
        <v>54</v>
      </c>
      <c r="C286" s="1" t="s">
        <v>39</v>
      </c>
      <c r="D286" s="1" t="s">
        <v>33</v>
      </c>
      <c r="E286" s="1">
        <v>47</v>
      </c>
      <c r="F286" s="7">
        <v>41071</v>
      </c>
      <c r="G286" s="8">
        <v>222941</v>
      </c>
      <c r="H286" s="9">
        <v>0.39</v>
      </c>
      <c r="I286" s="1" t="s">
        <v>34</v>
      </c>
      <c r="J286" s="1" t="s">
        <v>64</v>
      </c>
      <c r="K286" s="10" t="s">
        <v>36</v>
      </c>
    </row>
    <row r="287" spans="1:11" x14ac:dyDescent="0.3">
      <c r="A287" s="6" t="s">
        <v>48</v>
      </c>
      <c r="B287" s="1" t="s">
        <v>57</v>
      </c>
      <c r="C287" s="1" t="s">
        <v>32</v>
      </c>
      <c r="D287" s="1" t="s">
        <v>28</v>
      </c>
      <c r="E287" s="1">
        <v>65</v>
      </c>
      <c r="F287" s="7">
        <v>41543</v>
      </c>
      <c r="G287" s="8">
        <v>50341</v>
      </c>
      <c r="H287" s="9">
        <v>0</v>
      </c>
      <c r="I287" s="1" t="s">
        <v>34</v>
      </c>
      <c r="J287" s="1" t="s">
        <v>64</v>
      </c>
      <c r="K287" s="10" t="s">
        <v>36</v>
      </c>
    </row>
    <row r="288" spans="1:11" x14ac:dyDescent="0.3">
      <c r="A288" s="6" t="s">
        <v>70</v>
      </c>
      <c r="B288" s="1" t="s">
        <v>52</v>
      </c>
      <c r="C288" s="1" t="s">
        <v>46</v>
      </c>
      <c r="D288" s="1" t="s">
        <v>28</v>
      </c>
      <c r="E288" s="1">
        <v>31</v>
      </c>
      <c r="F288" s="7">
        <v>44297</v>
      </c>
      <c r="G288" s="8">
        <v>72235</v>
      </c>
      <c r="H288" s="9">
        <v>0</v>
      </c>
      <c r="I288" s="1" t="s">
        <v>59</v>
      </c>
      <c r="J288" s="1" t="s">
        <v>60</v>
      </c>
      <c r="K288" s="10" t="s">
        <v>36</v>
      </c>
    </row>
    <row r="289" spans="1:11" x14ac:dyDescent="0.3">
      <c r="A289" s="6" t="s">
        <v>42</v>
      </c>
      <c r="B289" s="1" t="s">
        <v>50</v>
      </c>
      <c r="C289" s="1" t="s">
        <v>46</v>
      </c>
      <c r="D289" s="1" t="s">
        <v>28</v>
      </c>
      <c r="E289" s="1">
        <v>41</v>
      </c>
      <c r="F289" s="7">
        <v>42533</v>
      </c>
      <c r="G289" s="8">
        <v>70165</v>
      </c>
      <c r="H289" s="9">
        <v>0</v>
      </c>
      <c r="I289" s="1" t="s">
        <v>29</v>
      </c>
      <c r="J289" s="1" t="s">
        <v>58</v>
      </c>
      <c r="K289" s="10" t="s">
        <v>36</v>
      </c>
    </row>
    <row r="290" spans="1:11" x14ac:dyDescent="0.3">
      <c r="A290" s="6" t="s">
        <v>25</v>
      </c>
      <c r="B290" s="1" t="s">
        <v>57</v>
      </c>
      <c r="C290" s="1" t="s">
        <v>39</v>
      </c>
      <c r="D290" s="1" t="s">
        <v>33</v>
      </c>
      <c r="E290" s="1">
        <v>30</v>
      </c>
      <c r="F290" s="7">
        <v>44030</v>
      </c>
      <c r="G290" s="8">
        <v>148485</v>
      </c>
      <c r="H290" s="9">
        <v>0.15</v>
      </c>
      <c r="I290" s="1" t="s">
        <v>29</v>
      </c>
      <c r="J290" s="1" t="s">
        <v>49</v>
      </c>
      <c r="K290" s="10" t="s">
        <v>36</v>
      </c>
    </row>
    <row r="291" spans="1:11" x14ac:dyDescent="0.3">
      <c r="A291" s="6" t="s">
        <v>31</v>
      </c>
      <c r="B291" s="1" t="s">
        <v>26</v>
      </c>
      <c r="C291" s="1" t="s">
        <v>32</v>
      </c>
      <c r="D291" s="1" t="s">
        <v>28</v>
      </c>
      <c r="E291" s="1">
        <v>58</v>
      </c>
      <c r="F291" s="7">
        <v>38521</v>
      </c>
      <c r="G291" s="8">
        <v>86089</v>
      </c>
      <c r="H291" s="9">
        <v>0</v>
      </c>
      <c r="I291" s="1" t="s">
        <v>29</v>
      </c>
      <c r="J291" s="1" t="s">
        <v>40</v>
      </c>
      <c r="K291" s="10" t="s">
        <v>36</v>
      </c>
    </row>
    <row r="292" spans="1:11" x14ac:dyDescent="0.3">
      <c r="A292" s="6" t="s">
        <v>63</v>
      </c>
      <c r="B292" s="1" t="s">
        <v>54</v>
      </c>
      <c r="C292" s="1" t="s">
        <v>27</v>
      </c>
      <c r="D292" s="1" t="s">
        <v>33</v>
      </c>
      <c r="E292" s="1">
        <v>54</v>
      </c>
      <c r="F292" s="7">
        <v>39382</v>
      </c>
      <c r="G292" s="8">
        <v>106313</v>
      </c>
      <c r="H292" s="9">
        <v>0.15</v>
      </c>
      <c r="I292" s="1" t="s">
        <v>29</v>
      </c>
      <c r="J292" s="1" t="s">
        <v>40</v>
      </c>
      <c r="K292" s="10" t="s">
        <v>36</v>
      </c>
    </row>
    <row r="293" spans="1:11" x14ac:dyDescent="0.3">
      <c r="A293" s="6" t="s">
        <v>48</v>
      </c>
      <c r="B293" s="1" t="s">
        <v>57</v>
      </c>
      <c r="C293" s="1" t="s">
        <v>27</v>
      </c>
      <c r="D293" s="1" t="s">
        <v>28</v>
      </c>
      <c r="E293" s="1">
        <v>40</v>
      </c>
      <c r="F293" s="7">
        <v>44251</v>
      </c>
      <c r="G293" s="8">
        <v>46833</v>
      </c>
      <c r="H293" s="9">
        <v>0</v>
      </c>
      <c r="I293" s="1" t="s">
        <v>34</v>
      </c>
      <c r="J293" s="1" t="s">
        <v>68</v>
      </c>
      <c r="K293" s="10">
        <v>44510</v>
      </c>
    </row>
    <row r="294" spans="1:11" x14ac:dyDescent="0.3">
      <c r="A294" s="6" t="s">
        <v>37</v>
      </c>
      <c r="B294" s="1" t="s">
        <v>38</v>
      </c>
      <c r="C294" s="1" t="s">
        <v>27</v>
      </c>
      <c r="D294" s="1" t="s">
        <v>28</v>
      </c>
      <c r="E294" s="1">
        <v>63</v>
      </c>
      <c r="F294" s="7">
        <v>36826</v>
      </c>
      <c r="G294" s="8">
        <v>155320</v>
      </c>
      <c r="H294" s="9">
        <v>0.17</v>
      </c>
      <c r="I294" s="1" t="s">
        <v>34</v>
      </c>
      <c r="J294" s="1" t="s">
        <v>35</v>
      </c>
      <c r="K294" s="10" t="s">
        <v>36</v>
      </c>
    </row>
    <row r="295" spans="1:11" x14ac:dyDescent="0.3">
      <c r="A295" s="6" t="s">
        <v>42</v>
      </c>
      <c r="B295" s="1" t="s">
        <v>50</v>
      </c>
      <c r="C295" s="1" t="s">
        <v>32</v>
      </c>
      <c r="D295" s="1" t="s">
        <v>33</v>
      </c>
      <c r="E295" s="1">
        <v>40</v>
      </c>
      <c r="F295" s="7">
        <v>42384</v>
      </c>
      <c r="G295" s="8">
        <v>89984</v>
      </c>
      <c r="H295" s="9">
        <v>0</v>
      </c>
      <c r="I295" s="1" t="s">
        <v>34</v>
      </c>
      <c r="J295" s="1" t="s">
        <v>68</v>
      </c>
      <c r="K295" s="10" t="s">
        <v>36</v>
      </c>
    </row>
    <row r="296" spans="1:11" x14ac:dyDescent="0.3">
      <c r="A296" s="6" t="s">
        <v>63</v>
      </c>
      <c r="B296" s="1" t="s">
        <v>54</v>
      </c>
      <c r="C296" s="1" t="s">
        <v>39</v>
      </c>
      <c r="D296" s="1" t="s">
        <v>28</v>
      </c>
      <c r="E296" s="1">
        <v>65</v>
      </c>
      <c r="F296" s="7">
        <v>38792</v>
      </c>
      <c r="G296" s="8">
        <v>83756</v>
      </c>
      <c r="H296" s="9">
        <v>0.14000000000000001</v>
      </c>
      <c r="I296" s="1" t="s">
        <v>34</v>
      </c>
      <c r="J296" s="1" t="s">
        <v>55</v>
      </c>
      <c r="K296" s="10" t="s">
        <v>36</v>
      </c>
    </row>
    <row r="297" spans="1:11" x14ac:dyDescent="0.3">
      <c r="A297" s="6" t="s">
        <v>37</v>
      </c>
      <c r="B297" s="1" t="s">
        <v>52</v>
      </c>
      <c r="C297" s="1" t="s">
        <v>46</v>
      </c>
      <c r="D297" s="1" t="s">
        <v>28</v>
      </c>
      <c r="E297" s="1">
        <v>57</v>
      </c>
      <c r="F297" s="7">
        <v>42667</v>
      </c>
      <c r="G297" s="8">
        <v>176324</v>
      </c>
      <c r="H297" s="9">
        <v>0.23</v>
      </c>
      <c r="I297" s="1" t="s">
        <v>34</v>
      </c>
      <c r="J297" s="1" t="s">
        <v>55</v>
      </c>
      <c r="K297" s="10" t="s">
        <v>36</v>
      </c>
    </row>
    <row r="298" spans="1:11" x14ac:dyDescent="0.3">
      <c r="A298" s="6" t="s">
        <v>42</v>
      </c>
      <c r="B298" s="1" t="s">
        <v>50</v>
      </c>
      <c r="C298" s="1" t="s">
        <v>39</v>
      </c>
      <c r="D298" s="1" t="s">
        <v>33</v>
      </c>
      <c r="E298" s="1">
        <v>27</v>
      </c>
      <c r="F298" s="7">
        <v>44482</v>
      </c>
      <c r="G298" s="8">
        <v>74077</v>
      </c>
      <c r="H298" s="9">
        <v>0</v>
      </c>
      <c r="I298" s="1" t="s">
        <v>29</v>
      </c>
      <c r="J298" s="1" t="s">
        <v>30</v>
      </c>
      <c r="K298" s="10" t="s">
        <v>36</v>
      </c>
    </row>
    <row r="299" spans="1:11" x14ac:dyDescent="0.3">
      <c r="A299" s="6" t="s">
        <v>47</v>
      </c>
      <c r="B299" s="1" t="s">
        <v>52</v>
      </c>
      <c r="C299" s="1" t="s">
        <v>32</v>
      </c>
      <c r="D299" s="1" t="s">
        <v>28</v>
      </c>
      <c r="E299" s="1">
        <v>31</v>
      </c>
      <c r="F299" s="7">
        <v>44214</v>
      </c>
      <c r="G299" s="8">
        <v>104162</v>
      </c>
      <c r="H299" s="9">
        <v>7.0000000000000007E-2</v>
      </c>
      <c r="I299" s="1" t="s">
        <v>29</v>
      </c>
      <c r="J299" s="1" t="s">
        <v>51</v>
      </c>
      <c r="K299" s="10" t="s">
        <v>36</v>
      </c>
    </row>
    <row r="300" spans="1:11" x14ac:dyDescent="0.3">
      <c r="A300" s="6" t="s">
        <v>85</v>
      </c>
      <c r="B300" s="1" t="s">
        <v>26</v>
      </c>
      <c r="C300" s="1" t="s">
        <v>46</v>
      </c>
      <c r="D300" s="1" t="s">
        <v>28</v>
      </c>
      <c r="E300" s="1">
        <v>45</v>
      </c>
      <c r="F300" s="7">
        <v>40418</v>
      </c>
      <c r="G300" s="8">
        <v>82162</v>
      </c>
      <c r="H300" s="9">
        <v>0</v>
      </c>
      <c r="I300" s="1" t="s">
        <v>34</v>
      </c>
      <c r="J300" s="1" t="s">
        <v>64</v>
      </c>
      <c r="K300" s="10">
        <v>44107</v>
      </c>
    </row>
    <row r="301" spans="1:11" x14ac:dyDescent="0.3">
      <c r="A301" s="6" t="s">
        <v>44</v>
      </c>
      <c r="B301" s="1" t="s">
        <v>45</v>
      </c>
      <c r="C301" s="1" t="s">
        <v>39</v>
      </c>
      <c r="D301" s="1" t="s">
        <v>28</v>
      </c>
      <c r="E301" s="1">
        <v>47</v>
      </c>
      <c r="F301" s="7">
        <v>42195</v>
      </c>
      <c r="G301" s="8">
        <v>63880</v>
      </c>
      <c r="H301" s="9">
        <v>0</v>
      </c>
      <c r="I301" s="1" t="s">
        <v>34</v>
      </c>
      <c r="J301" s="1" t="s">
        <v>35</v>
      </c>
      <c r="K301" s="10" t="s">
        <v>36</v>
      </c>
    </row>
    <row r="302" spans="1:11" x14ac:dyDescent="0.3">
      <c r="A302" s="6" t="s">
        <v>77</v>
      </c>
      <c r="B302" s="1" t="s">
        <v>54</v>
      </c>
      <c r="C302" s="1" t="s">
        <v>27</v>
      </c>
      <c r="D302" s="1" t="s">
        <v>28</v>
      </c>
      <c r="E302" s="1">
        <v>55</v>
      </c>
      <c r="F302" s="7">
        <v>41525</v>
      </c>
      <c r="G302" s="8">
        <v>73248</v>
      </c>
      <c r="H302" s="9">
        <v>0</v>
      </c>
      <c r="I302" s="1" t="s">
        <v>29</v>
      </c>
      <c r="J302" s="1" t="s">
        <v>58</v>
      </c>
      <c r="K302" s="10" t="s">
        <v>36</v>
      </c>
    </row>
    <row r="303" spans="1:11" x14ac:dyDescent="0.3">
      <c r="A303" s="6" t="s">
        <v>42</v>
      </c>
      <c r="B303" s="1" t="s">
        <v>50</v>
      </c>
      <c r="C303" s="1" t="s">
        <v>32</v>
      </c>
      <c r="D303" s="1" t="s">
        <v>33</v>
      </c>
      <c r="E303" s="1">
        <v>51</v>
      </c>
      <c r="F303" s="7">
        <v>44113</v>
      </c>
      <c r="G303" s="8">
        <v>91853</v>
      </c>
      <c r="H303" s="9">
        <v>0</v>
      </c>
      <c r="I303" s="1" t="s">
        <v>29</v>
      </c>
      <c r="J303" s="1" t="s">
        <v>40</v>
      </c>
      <c r="K303" s="10" t="s">
        <v>36</v>
      </c>
    </row>
    <row r="304" spans="1:11" x14ac:dyDescent="0.3">
      <c r="A304" s="6" t="s">
        <v>37</v>
      </c>
      <c r="B304" s="1" t="s">
        <v>38</v>
      </c>
      <c r="C304" s="1" t="s">
        <v>39</v>
      </c>
      <c r="D304" s="1" t="s">
        <v>33</v>
      </c>
      <c r="E304" s="1">
        <v>25</v>
      </c>
      <c r="F304" s="7">
        <v>43844</v>
      </c>
      <c r="G304" s="8">
        <v>168014</v>
      </c>
      <c r="H304" s="9">
        <v>0.27</v>
      </c>
      <c r="I304" s="1" t="s">
        <v>29</v>
      </c>
      <c r="J304" s="1" t="s">
        <v>40</v>
      </c>
      <c r="K304" s="10">
        <v>44404</v>
      </c>
    </row>
    <row r="305" spans="1:11" x14ac:dyDescent="0.3">
      <c r="A305" s="6" t="s">
        <v>80</v>
      </c>
      <c r="B305" s="1" t="s">
        <v>54</v>
      </c>
      <c r="C305" s="1" t="s">
        <v>46</v>
      </c>
      <c r="D305" s="1" t="s">
        <v>28</v>
      </c>
      <c r="E305" s="1">
        <v>37</v>
      </c>
      <c r="F305" s="7">
        <v>42995</v>
      </c>
      <c r="G305" s="8">
        <v>70770</v>
      </c>
      <c r="H305" s="9">
        <v>0</v>
      </c>
      <c r="I305" s="1" t="s">
        <v>29</v>
      </c>
      <c r="J305" s="1" t="s">
        <v>49</v>
      </c>
      <c r="K305" s="10" t="s">
        <v>36</v>
      </c>
    </row>
    <row r="306" spans="1:11" x14ac:dyDescent="0.3">
      <c r="A306" s="6" t="s">
        <v>70</v>
      </c>
      <c r="B306" s="1" t="s">
        <v>52</v>
      </c>
      <c r="C306" s="1" t="s">
        <v>46</v>
      </c>
      <c r="D306" s="1" t="s">
        <v>33</v>
      </c>
      <c r="E306" s="1">
        <v>62</v>
      </c>
      <c r="F306" s="7">
        <v>38271</v>
      </c>
      <c r="G306" s="8">
        <v>50825</v>
      </c>
      <c r="H306" s="9">
        <v>0</v>
      </c>
      <c r="I306" s="1" t="s">
        <v>29</v>
      </c>
      <c r="J306" s="1" t="s">
        <v>30</v>
      </c>
      <c r="K306" s="10" t="s">
        <v>36</v>
      </c>
    </row>
    <row r="307" spans="1:11" x14ac:dyDescent="0.3">
      <c r="A307" s="6" t="s">
        <v>25</v>
      </c>
      <c r="B307" s="1" t="s">
        <v>38</v>
      </c>
      <c r="C307" s="1" t="s">
        <v>27</v>
      </c>
      <c r="D307" s="1" t="s">
        <v>33</v>
      </c>
      <c r="E307" s="1">
        <v>31</v>
      </c>
      <c r="F307" s="7">
        <v>42266</v>
      </c>
      <c r="G307" s="8">
        <v>145846</v>
      </c>
      <c r="H307" s="9">
        <v>0.15</v>
      </c>
      <c r="I307" s="1" t="s">
        <v>59</v>
      </c>
      <c r="J307" s="1" t="s">
        <v>60</v>
      </c>
      <c r="K307" s="10" t="s">
        <v>36</v>
      </c>
    </row>
    <row r="308" spans="1:11" x14ac:dyDescent="0.3">
      <c r="A308" s="6" t="s">
        <v>25</v>
      </c>
      <c r="B308" s="1" t="s">
        <v>52</v>
      </c>
      <c r="C308" s="1" t="s">
        <v>27</v>
      </c>
      <c r="D308" s="1" t="s">
        <v>28</v>
      </c>
      <c r="E308" s="1">
        <v>64</v>
      </c>
      <c r="F308" s="7">
        <v>37962</v>
      </c>
      <c r="G308" s="8">
        <v>125807</v>
      </c>
      <c r="H308" s="9">
        <v>0.15</v>
      </c>
      <c r="I308" s="1" t="s">
        <v>29</v>
      </c>
      <c r="J308" s="1" t="s">
        <v>40</v>
      </c>
      <c r="K308" s="10" t="s">
        <v>36</v>
      </c>
    </row>
    <row r="309" spans="1:11" x14ac:dyDescent="0.3">
      <c r="A309" s="6" t="s">
        <v>48</v>
      </c>
      <c r="B309" s="1" t="s">
        <v>45</v>
      </c>
      <c r="C309" s="1" t="s">
        <v>39</v>
      </c>
      <c r="D309" s="1" t="s">
        <v>33</v>
      </c>
      <c r="E309" s="1">
        <v>25</v>
      </c>
      <c r="F309" s="7">
        <v>44405</v>
      </c>
      <c r="G309" s="8">
        <v>46845</v>
      </c>
      <c r="H309" s="9">
        <v>0</v>
      </c>
      <c r="I309" s="1" t="s">
        <v>29</v>
      </c>
      <c r="J309" s="1" t="s">
        <v>49</v>
      </c>
      <c r="K309" s="10" t="s">
        <v>36</v>
      </c>
    </row>
    <row r="310" spans="1:11" x14ac:dyDescent="0.3">
      <c r="A310" s="6" t="s">
        <v>25</v>
      </c>
      <c r="B310" s="1" t="s">
        <v>57</v>
      </c>
      <c r="C310" s="1" t="s">
        <v>46</v>
      </c>
      <c r="D310" s="1" t="s">
        <v>28</v>
      </c>
      <c r="E310" s="1">
        <v>59</v>
      </c>
      <c r="F310" s="7">
        <v>39689</v>
      </c>
      <c r="G310" s="8">
        <v>157969</v>
      </c>
      <c r="H310" s="9">
        <v>0.1</v>
      </c>
      <c r="I310" s="1" t="s">
        <v>34</v>
      </c>
      <c r="J310" s="1" t="s">
        <v>35</v>
      </c>
      <c r="K310" s="10" t="s">
        <v>36</v>
      </c>
    </row>
    <row r="311" spans="1:11" x14ac:dyDescent="0.3">
      <c r="A311" s="6" t="s">
        <v>84</v>
      </c>
      <c r="B311" s="1" t="s">
        <v>26</v>
      </c>
      <c r="C311" s="1" t="s">
        <v>46</v>
      </c>
      <c r="D311" s="1" t="s">
        <v>28</v>
      </c>
      <c r="E311" s="1">
        <v>40</v>
      </c>
      <c r="F311" s="7">
        <v>40522</v>
      </c>
      <c r="G311" s="8">
        <v>97807</v>
      </c>
      <c r="H311" s="9">
        <v>0</v>
      </c>
      <c r="I311" s="1" t="s">
        <v>29</v>
      </c>
      <c r="J311" s="1" t="s">
        <v>40</v>
      </c>
      <c r="K311" s="10" t="s">
        <v>36</v>
      </c>
    </row>
    <row r="312" spans="1:11" x14ac:dyDescent="0.3">
      <c r="A312" s="6" t="s">
        <v>70</v>
      </c>
      <c r="B312" s="1" t="s">
        <v>52</v>
      </c>
      <c r="C312" s="1" t="s">
        <v>32</v>
      </c>
      <c r="D312" s="1" t="s">
        <v>33</v>
      </c>
      <c r="E312" s="1">
        <v>31</v>
      </c>
      <c r="F312" s="7">
        <v>42347</v>
      </c>
      <c r="G312" s="8">
        <v>73854</v>
      </c>
      <c r="H312" s="9">
        <v>0</v>
      </c>
      <c r="I312" s="1" t="s">
        <v>29</v>
      </c>
      <c r="J312" s="1" t="s">
        <v>30</v>
      </c>
      <c r="K312" s="10" t="s">
        <v>36</v>
      </c>
    </row>
    <row r="313" spans="1:11" x14ac:dyDescent="0.3">
      <c r="A313" s="6" t="s">
        <v>25</v>
      </c>
      <c r="B313" s="1" t="s">
        <v>50</v>
      </c>
      <c r="C313" s="1" t="s">
        <v>32</v>
      </c>
      <c r="D313" s="1" t="s">
        <v>33</v>
      </c>
      <c r="E313" s="1">
        <v>45</v>
      </c>
      <c r="F313" s="7">
        <v>39063</v>
      </c>
      <c r="G313" s="8">
        <v>149537</v>
      </c>
      <c r="H313" s="9">
        <v>0.14000000000000001</v>
      </c>
      <c r="I313" s="1" t="s">
        <v>29</v>
      </c>
      <c r="J313" s="1" t="s">
        <v>30</v>
      </c>
      <c r="K313" s="10" t="s">
        <v>36</v>
      </c>
    </row>
    <row r="314" spans="1:11" x14ac:dyDescent="0.3">
      <c r="A314" s="6" t="s">
        <v>25</v>
      </c>
      <c r="B314" s="1" t="s">
        <v>45</v>
      </c>
      <c r="C314" s="1" t="s">
        <v>32</v>
      </c>
      <c r="D314" s="1" t="s">
        <v>28</v>
      </c>
      <c r="E314" s="1">
        <v>49</v>
      </c>
      <c r="F314" s="7">
        <v>41379</v>
      </c>
      <c r="G314" s="8">
        <v>128303</v>
      </c>
      <c r="H314" s="9">
        <v>0.15</v>
      </c>
      <c r="I314" s="1" t="s">
        <v>29</v>
      </c>
      <c r="J314" s="1" t="s">
        <v>43</v>
      </c>
      <c r="K314" s="10" t="s">
        <v>36</v>
      </c>
    </row>
    <row r="315" spans="1:11" x14ac:dyDescent="0.3">
      <c r="A315" s="6" t="s">
        <v>78</v>
      </c>
      <c r="B315" s="1" t="s">
        <v>26</v>
      </c>
      <c r="C315" s="1" t="s">
        <v>39</v>
      </c>
      <c r="D315" s="1" t="s">
        <v>33</v>
      </c>
      <c r="E315" s="1">
        <v>46</v>
      </c>
      <c r="F315" s="7">
        <v>38513</v>
      </c>
      <c r="G315" s="8">
        <v>67374</v>
      </c>
      <c r="H315" s="9">
        <v>0</v>
      </c>
      <c r="I315" s="1" t="s">
        <v>29</v>
      </c>
      <c r="J315" s="1" t="s">
        <v>51</v>
      </c>
      <c r="K315" s="10" t="s">
        <v>36</v>
      </c>
    </row>
    <row r="316" spans="1:11" x14ac:dyDescent="0.3">
      <c r="A316" s="6" t="s">
        <v>47</v>
      </c>
      <c r="B316" s="1" t="s">
        <v>52</v>
      </c>
      <c r="C316" s="1" t="s">
        <v>46</v>
      </c>
      <c r="D316" s="1" t="s">
        <v>33</v>
      </c>
      <c r="E316" s="1">
        <v>46</v>
      </c>
      <c r="F316" s="7">
        <v>40810</v>
      </c>
      <c r="G316" s="8">
        <v>102167</v>
      </c>
      <c r="H316" s="9">
        <v>0.06</v>
      </c>
      <c r="I316" s="1" t="s">
        <v>59</v>
      </c>
      <c r="J316" s="1" t="s">
        <v>61</v>
      </c>
      <c r="K316" s="10" t="s">
        <v>36</v>
      </c>
    </row>
    <row r="317" spans="1:11" x14ac:dyDescent="0.3">
      <c r="A317" s="6" t="s">
        <v>25</v>
      </c>
      <c r="B317" s="1" t="s">
        <v>45</v>
      </c>
      <c r="C317" s="1" t="s">
        <v>32</v>
      </c>
      <c r="D317" s="1" t="s">
        <v>33</v>
      </c>
      <c r="E317" s="1">
        <v>45</v>
      </c>
      <c r="F317" s="7">
        <v>39332</v>
      </c>
      <c r="G317" s="8">
        <v>151027</v>
      </c>
      <c r="H317" s="9">
        <v>0.1</v>
      </c>
      <c r="I317" s="1" t="s">
        <v>34</v>
      </c>
      <c r="J317" s="1" t="s">
        <v>55</v>
      </c>
      <c r="K317" s="10" t="s">
        <v>36</v>
      </c>
    </row>
    <row r="318" spans="1:11" x14ac:dyDescent="0.3">
      <c r="A318" s="6" t="s">
        <v>47</v>
      </c>
      <c r="B318" s="1" t="s">
        <v>50</v>
      </c>
      <c r="C318" s="1" t="s">
        <v>39</v>
      </c>
      <c r="D318" s="1" t="s">
        <v>33</v>
      </c>
      <c r="E318" s="1">
        <v>40</v>
      </c>
      <c r="F318" s="7">
        <v>43147</v>
      </c>
      <c r="G318" s="8">
        <v>120905</v>
      </c>
      <c r="H318" s="9">
        <v>0.05</v>
      </c>
      <c r="I318" s="1" t="s">
        <v>29</v>
      </c>
      <c r="J318" s="1" t="s">
        <v>30</v>
      </c>
      <c r="K318" s="10" t="s">
        <v>36</v>
      </c>
    </row>
    <row r="319" spans="1:11" x14ac:dyDescent="0.3">
      <c r="A319" s="6" t="s">
        <v>56</v>
      </c>
      <c r="B319" s="1" t="s">
        <v>38</v>
      </c>
      <c r="C319" s="1" t="s">
        <v>32</v>
      </c>
      <c r="D319" s="1" t="s">
        <v>28</v>
      </c>
      <c r="E319" s="1">
        <v>48</v>
      </c>
      <c r="F319" s="7">
        <v>43253</v>
      </c>
      <c r="G319" s="8">
        <v>231567</v>
      </c>
      <c r="H319" s="9">
        <v>0.36</v>
      </c>
      <c r="I319" s="1" t="s">
        <v>29</v>
      </c>
      <c r="J319" s="1" t="s">
        <v>30</v>
      </c>
      <c r="K319" s="10" t="s">
        <v>36</v>
      </c>
    </row>
    <row r="320" spans="1:11" x14ac:dyDescent="0.3">
      <c r="A320" s="6" t="s">
        <v>56</v>
      </c>
      <c r="B320" s="1" t="s">
        <v>26</v>
      </c>
      <c r="C320" s="1" t="s">
        <v>27</v>
      </c>
      <c r="D320" s="1" t="s">
        <v>33</v>
      </c>
      <c r="E320" s="1">
        <v>31</v>
      </c>
      <c r="F320" s="7">
        <v>42197</v>
      </c>
      <c r="G320" s="8">
        <v>215388</v>
      </c>
      <c r="H320" s="9">
        <v>0.33</v>
      </c>
      <c r="I320" s="1" t="s">
        <v>29</v>
      </c>
      <c r="J320" s="1" t="s">
        <v>49</v>
      </c>
      <c r="K320" s="10" t="s">
        <v>36</v>
      </c>
    </row>
    <row r="321" spans="1:11" x14ac:dyDescent="0.3">
      <c r="A321" s="6" t="s">
        <v>25</v>
      </c>
      <c r="B321" s="1" t="s">
        <v>45</v>
      </c>
      <c r="C321" s="1" t="s">
        <v>39</v>
      </c>
      <c r="D321" s="1" t="s">
        <v>28</v>
      </c>
      <c r="E321" s="1">
        <v>30</v>
      </c>
      <c r="F321" s="7">
        <v>42168</v>
      </c>
      <c r="G321" s="8">
        <v>127972</v>
      </c>
      <c r="H321" s="9">
        <v>0.11</v>
      </c>
      <c r="I321" s="1" t="s">
        <v>29</v>
      </c>
      <c r="J321" s="1" t="s">
        <v>30</v>
      </c>
      <c r="K321" s="10" t="s">
        <v>36</v>
      </c>
    </row>
    <row r="322" spans="1:11" x14ac:dyDescent="0.3">
      <c r="A322" s="6" t="s">
        <v>73</v>
      </c>
      <c r="B322" s="1" t="s">
        <v>54</v>
      </c>
      <c r="C322" s="1" t="s">
        <v>46</v>
      </c>
      <c r="D322" s="1" t="s">
        <v>28</v>
      </c>
      <c r="E322" s="1">
        <v>55</v>
      </c>
      <c r="F322" s="7">
        <v>34915</v>
      </c>
      <c r="G322" s="8">
        <v>80701</v>
      </c>
      <c r="H322" s="9">
        <v>0</v>
      </c>
      <c r="I322" s="1" t="s">
        <v>29</v>
      </c>
      <c r="J322" s="1" t="s">
        <v>40</v>
      </c>
      <c r="K322" s="10">
        <v>38456</v>
      </c>
    </row>
    <row r="323" spans="1:11" x14ac:dyDescent="0.3">
      <c r="A323" s="6" t="s">
        <v>47</v>
      </c>
      <c r="B323" s="1" t="s">
        <v>57</v>
      </c>
      <c r="C323" s="1" t="s">
        <v>46</v>
      </c>
      <c r="D323" s="1" t="s">
        <v>33</v>
      </c>
      <c r="E323" s="1">
        <v>28</v>
      </c>
      <c r="F323" s="7">
        <v>43863</v>
      </c>
      <c r="G323" s="8">
        <v>115417</v>
      </c>
      <c r="H323" s="9">
        <v>0.06</v>
      </c>
      <c r="I323" s="1" t="s">
        <v>34</v>
      </c>
      <c r="J323" s="1" t="s">
        <v>55</v>
      </c>
      <c r="K323" s="10" t="s">
        <v>36</v>
      </c>
    </row>
    <row r="324" spans="1:11" x14ac:dyDescent="0.3">
      <c r="A324" s="6" t="s">
        <v>62</v>
      </c>
      <c r="B324" s="1" t="s">
        <v>54</v>
      </c>
      <c r="C324" s="1" t="s">
        <v>46</v>
      </c>
      <c r="D324" s="1" t="s">
        <v>28</v>
      </c>
      <c r="E324" s="1">
        <v>45</v>
      </c>
      <c r="F324" s="7">
        <v>43635</v>
      </c>
      <c r="G324" s="8">
        <v>88045</v>
      </c>
      <c r="H324" s="9">
        <v>0</v>
      </c>
      <c r="I324" s="1" t="s">
        <v>29</v>
      </c>
      <c r="J324" s="1" t="s">
        <v>40</v>
      </c>
      <c r="K324" s="10" t="s">
        <v>36</v>
      </c>
    </row>
    <row r="325" spans="1:11" x14ac:dyDescent="0.3">
      <c r="A325" s="6" t="s">
        <v>41</v>
      </c>
      <c r="B325" s="1" t="s">
        <v>26</v>
      </c>
      <c r="C325" s="1" t="s">
        <v>39</v>
      </c>
      <c r="D325" s="1" t="s">
        <v>28</v>
      </c>
      <c r="E325" s="1">
        <v>45</v>
      </c>
      <c r="F325" s="7">
        <v>43185</v>
      </c>
      <c r="G325" s="8">
        <v>86478</v>
      </c>
      <c r="H325" s="9">
        <v>0.06</v>
      </c>
      <c r="I325" s="1" t="s">
        <v>29</v>
      </c>
      <c r="J325" s="1" t="s">
        <v>51</v>
      </c>
      <c r="K325" s="10" t="s">
        <v>36</v>
      </c>
    </row>
    <row r="326" spans="1:11" x14ac:dyDescent="0.3">
      <c r="A326" s="6" t="s">
        <v>56</v>
      </c>
      <c r="B326" s="1" t="s">
        <v>54</v>
      </c>
      <c r="C326" s="1" t="s">
        <v>32</v>
      </c>
      <c r="D326" s="1" t="s">
        <v>33</v>
      </c>
      <c r="E326" s="1">
        <v>63</v>
      </c>
      <c r="F326" s="7">
        <v>42387</v>
      </c>
      <c r="G326" s="8">
        <v>180994</v>
      </c>
      <c r="H326" s="9">
        <v>0.39</v>
      </c>
      <c r="I326" s="1" t="s">
        <v>29</v>
      </c>
      <c r="J326" s="1" t="s">
        <v>30</v>
      </c>
      <c r="K326" s="10" t="s">
        <v>36</v>
      </c>
    </row>
    <row r="327" spans="1:11" x14ac:dyDescent="0.3">
      <c r="A327" s="6" t="s">
        <v>66</v>
      </c>
      <c r="B327" s="1" t="s">
        <v>38</v>
      </c>
      <c r="C327" s="1" t="s">
        <v>27</v>
      </c>
      <c r="D327" s="1" t="s">
        <v>28</v>
      </c>
      <c r="E327" s="1">
        <v>55</v>
      </c>
      <c r="F327" s="7">
        <v>39418</v>
      </c>
      <c r="G327" s="8">
        <v>64494</v>
      </c>
      <c r="H327" s="9">
        <v>0</v>
      </c>
      <c r="I327" s="1" t="s">
        <v>29</v>
      </c>
      <c r="J327" s="1" t="s">
        <v>58</v>
      </c>
      <c r="K327" s="10" t="s">
        <v>36</v>
      </c>
    </row>
    <row r="328" spans="1:11" x14ac:dyDescent="0.3">
      <c r="A328" s="6" t="s">
        <v>44</v>
      </c>
      <c r="B328" s="1" t="s">
        <v>45</v>
      </c>
      <c r="C328" s="1" t="s">
        <v>32</v>
      </c>
      <c r="D328" s="1" t="s">
        <v>33</v>
      </c>
      <c r="E328" s="1">
        <v>47</v>
      </c>
      <c r="F328" s="7">
        <v>37550</v>
      </c>
      <c r="G328" s="8">
        <v>70122</v>
      </c>
      <c r="H328" s="9">
        <v>0</v>
      </c>
      <c r="I328" s="1" t="s">
        <v>29</v>
      </c>
      <c r="J328" s="1" t="s">
        <v>58</v>
      </c>
      <c r="K328" s="10" t="s">
        <v>36</v>
      </c>
    </row>
    <row r="329" spans="1:11" x14ac:dyDescent="0.3">
      <c r="A329" s="6" t="s">
        <v>37</v>
      </c>
      <c r="B329" s="1" t="s">
        <v>50</v>
      </c>
      <c r="C329" s="1" t="s">
        <v>32</v>
      </c>
      <c r="D329" s="1" t="s">
        <v>33</v>
      </c>
      <c r="E329" s="1">
        <v>29</v>
      </c>
      <c r="F329" s="7">
        <v>42785</v>
      </c>
      <c r="G329" s="8">
        <v>181854</v>
      </c>
      <c r="H329" s="9">
        <v>0.28999999999999998</v>
      </c>
      <c r="I329" s="1" t="s">
        <v>29</v>
      </c>
      <c r="J329" s="1" t="s">
        <v>30</v>
      </c>
      <c r="K329" s="10">
        <v>43945</v>
      </c>
    </row>
    <row r="330" spans="1:11" x14ac:dyDescent="0.3">
      <c r="A330" s="6" t="s">
        <v>74</v>
      </c>
      <c r="B330" s="1" t="s">
        <v>52</v>
      </c>
      <c r="C330" s="1" t="s">
        <v>39</v>
      </c>
      <c r="D330" s="1" t="s">
        <v>28</v>
      </c>
      <c r="E330" s="1">
        <v>34</v>
      </c>
      <c r="F330" s="7">
        <v>42664</v>
      </c>
      <c r="G330" s="8">
        <v>52811</v>
      </c>
      <c r="H330" s="9">
        <v>0</v>
      </c>
      <c r="I330" s="1" t="s">
        <v>29</v>
      </c>
      <c r="J330" s="1" t="s">
        <v>49</v>
      </c>
      <c r="K330" s="10" t="s">
        <v>36</v>
      </c>
    </row>
    <row r="331" spans="1:11" x14ac:dyDescent="0.3">
      <c r="A331" s="6" t="s">
        <v>83</v>
      </c>
      <c r="B331" s="1" t="s">
        <v>26</v>
      </c>
      <c r="C331" s="1" t="s">
        <v>27</v>
      </c>
      <c r="D331" s="1" t="s">
        <v>28</v>
      </c>
      <c r="E331" s="1">
        <v>28</v>
      </c>
      <c r="F331" s="7">
        <v>43763</v>
      </c>
      <c r="G331" s="8">
        <v>50111</v>
      </c>
      <c r="H331" s="9">
        <v>0</v>
      </c>
      <c r="I331" s="1" t="s">
        <v>34</v>
      </c>
      <c r="J331" s="1" t="s">
        <v>68</v>
      </c>
      <c r="K331" s="10" t="s">
        <v>36</v>
      </c>
    </row>
    <row r="332" spans="1:11" x14ac:dyDescent="0.3">
      <c r="A332" s="6" t="s">
        <v>87</v>
      </c>
      <c r="B332" s="1" t="s">
        <v>26</v>
      </c>
      <c r="C332" s="1" t="s">
        <v>32</v>
      </c>
      <c r="D332" s="1" t="s">
        <v>33</v>
      </c>
      <c r="E332" s="1">
        <v>31</v>
      </c>
      <c r="F332" s="7">
        <v>42497</v>
      </c>
      <c r="G332" s="8">
        <v>71192</v>
      </c>
      <c r="H332" s="9">
        <v>0</v>
      </c>
      <c r="I332" s="1" t="s">
        <v>29</v>
      </c>
      <c r="J332" s="1" t="s">
        <v>51</v>
      </c>
      <c r="K332" s="10" t="s">
        <v>36</v>
      </c>
    </row>
    <row r="333" spans="1:11" x14ac:dyDescent="0.3">
      <c r="A333" s="6" t="s">
        <v>37</v>
      </c>
      <c r="B333" s="1" t="s">
        <v>45</v>
      </c>
      <c r="C333" s="1" t="s">
        <v>32</v>
      </c>
      <c r="D333" s="1" t="s">
        <v>28</v>
      </c>
      <c r="E333" s="1">
        <v>50</v>
      </c>
      <c r="F333" s="7">
        <v>43452</v>
      </c>
      <c r="G333" s="8">
        <v>155351</v>
      </c>
      <c r="H333" s="9">
        <v>0.2</v>
      </c>
      <c r="I333" s="1" t="s">
        <v>29</v>
      </c>
      <c r="J333" s="1" t="s">
        <v>30</v>
      </c>
      <c r="K333" s="10" t="s">
        <v>36</v>
      </c>
    </row>
    <row r="334" spans="1:11" x14ac:dyDescent="0.3">
      <c r="A334" s="6" t="s">
        <v>37</v>
      </c>
      <c r="B334" s="1" t="s">
        <v>52</v>
      </c>
      <c r="C334" s="1" t="s">
        <v>39</v>
      </c>
      <c r="D334" s="1" t="s">
        <v>33</v>
      </c>
      <c r="E334" s="1">
        <v>39</v>
      </c>
      <c r="F334" s="7">
        <v>39049</v>
      </c>
      <c r="G334" s="8">
        <v>161690</v>
      </c>
      <c r="H334" s="9">
        <v>0.28999999999999998</v>
      </c>
      <c r="I334" s="1" t="s">
        <v>34</v>
      </c>
      <c r="J334" s="1" t="s">
        <v>64</v>
      </c>
      <c r="K334" s="10" t="s">
        <v>36</v>
      </c>
    </row>
    <row r="335" spans="1:11" x14ac:dyDescent="0.3">
      <c r="A335" s="6" t="s">
        <v>80</v>
      </c>
      <c r="B335" s="1" t="s">
        <v>54</v>
      </c>
      <c r="C335" s="1" t="s">
        <v>39</v>
      </c>
      <c r="D335" s="1" t="s">
        <v>28</v>
      </c>
      <c r="E335" s="1">
        <v>35</v>
      </c>
      <c r="F335" s="7">
        <v>42776</v>
      </c>
      <c r="G335" s="8">
        <v>60132</v>
      </c>
      <c r="H335" s="9">
        <v>0</v>
      </c>
      <c r="I335" s="1" t="s">
        <v>34</v>
      </c>
      <c r="J335" s="1" t="s">
        <v>35</v>
      </c>
      <c r="K335" s="10" t="s">
        <v>36</v>
      </c>
    </row>
    <row r="336" spans="1:11" x14ac:dyDescent="0.3">
      <c r="A336" s="6" t="s">
        <v>78</v>
      </c>
      <c r="B336" s="1" t="s">
        <v>26</v>
      </c>
      <c r="C336" s="1" t="s">
        <v>32</v>
      </c>
      <c r="D336" s="1" t="s">
        <v>33</v>
      </c>
      <c r="E336" s="1">
        <v>54</v>
      </c>
      <c r="F336" s="7">
        <v>34631</v>
      </c>
      <c r="G336" s="8">
        <v>87216</v>
      </c>
      <c r="H336" s="9">
        <v>0</v>
      </c>
      <c r="I336" s="1" t="s">
        <v>29</v>
      </c>
      <c r="J336" s="1" t="s">
        <v>49</v>
      </c>
      <c r="K336" s="10" t="s">
        <v>36</v>
      </c>
    </row>
    <row r="337" spans="1:11" x14ac:dyDescent="0.3">
      <c r="A337" s="6" t="s">
        <v>83</v>
      </c>
      <c r="B337" s="1" t="s">
        <v>26</v>
      </c>
      <c r="C337" s="1" t="s">
        <v>46</v>
      </c>
      <c r="D337" s="1" t="s">
        <v>33</v>
      </c>
      <c r="E337" s="1">
        <v>47</v>
      </c>
      <c r="F337" s="7">
        <v>43944</v>
      </c>
      <c r="G337" s="8">
        <v>50069</v>
      </c>
      <c r="H337" s="9">
        <v>0</v>
      </c>
      <c r="I337" s="1" t="s">
        <v>29</v>
      </c>
      <c r="J337" s="1" t="s">
        <v>30</v>
      </c>
      <c r="K337" s="10" t="s">
        <v>36</v>
      </c>
    </row>
    <row r="338" spans="1:11" x14ac:dyDescent="0.3">
      <c r="A338" s="6" t="s">
        <v>37</v>
      </c>
      <c r="B338" s="1" t="s">
        <v>26</v>
      </c>
      <c r="C338" s="1" t="s">
        <v>39</v>
      </c>
      <c r="D338" s="1" t="s">
        <v>28</v>
      </c>
      <c r="E338" s="1">
        <v>26</v>
      </c>
      <c r="F338" s="7">
        <v>44403</v>
      </c>
      <c r="G338" s="8">
        <v>151108</v>
      </c>
      <c r="H338" s="9">
        <v>0.22</v>
      </c>
      <c r="I338" s="1" t="s">
        <v>29</v>
      </c>
      <c r="J338" s="1" t="s">
        <v>43</v>
      </c>
      <c r="K338" s="10" t="s">
        <v>36</v>
      </c>
    </row>
    <row r="339" spans="1:11" x14ac:dyDescent="0.3">
      <c r="A339" s="6" t="s">
        <v>41</v>
      </c>
      <c r="B339" s="1" t="s">
        <v>26</v>
      </c>
      <c r="C339" s="1" t="s">
        <v>32</v>
      </c>
      <c r="D339" s="1" t="s">
        <v>28</v>
      </c>
      <c r="E339" s="1">
        <v>42</v>
      </c>
      <c r="F339" s="7">
        <v>38640</v>
      </c>
      <c r="G339" s="8">
        <v>67398</v>
      </c>
      <c r="H339" s="9">
        <v>7.0000000000000007E-2</v>
      </c>
      <c r="I339" s="1" t="s">
        <v>29</v>
      </c>
      <c r="J339" s="1" t="s">
        <v>43</v>
      </c>
      <c r="K339" s="10" t="s">
        <v>36</v>
      </c>
    </row>
    <row r="340" spans="1:11" x14ac:dyDescent="0.3">
      <c r="A340" s="6" t="s">
        <v>80</v>
      </c>
      <c r="B340" s="1" t="s">
        <v>54</v>
      </c>
      <c r="C340" s="1" t="s">
        <v>27</v>
      </c>
      <c r="D340" s="1" t="s">
        <v>28</v>
      </c>
      <c r="E340" s="1">
        <v>47</v>
      </c>
      <c r="F340" s="7">
        <v>42245</v>
      </c>
      <c r="G340" s="8">
        <v>68488</v>
      </c>
      <c r="H340" s="9">
        <v>0</v>
      </c>
      <c r="I340" s="1" t="s">
        <v>29</v>
      </c>
      <c r="J340" s="1" t="s">
        <v>30</v>
      </c>
      <c r="K340" s="10" t="s">
        <v>36</v>
      </c>
    </row>
    <row r="341" spans="1:11" x14ac:dyDescent="0.3">
      <c r="A341" s="6" t="s">
        <v>62</v>
      </c>
      <c r="B341" s="1" t="s">
        <v>54</v>
      </c>
      <c r="C341" s="1" t="s">
        <v>32</v>
      </c>
      <c r="D341" s="1" t="s">
        <v>28</v>
      </c>
      <c r="E341" s="1">
        <v>60</v>
      </c>
      <c r="F341" s="7">
        <v>35992</v>
      </c>
      <c r="G341" s="8">
        <v>92932</v>
      </c>
      <c r="H341" s="9">
        <v>0</v>
      </c>
      <c r="I341" s="1" t="s">
        <v>29</v>
      </c>
      <c r="J341" s="1" t="s">
        <v>58</v>
      </c>
      <c r="K341" s="10" t="s">
        <v>36</v>
      </c>
    </row>
    <row r="342" spans="1:11" x14ac:dyDescent="0.3">
      <c r="A342" s="6" t="s">
        <v>48</v>
      </c>
      <c r="B342" s="1" t="s">
        <v>38</v>
      </c>
      <c r="C342" s="1" t="s">
        <v>46</v>
      </c>
      <c r="D342" s="1" t="s">
        <v>28</v>
      </c>
      <c r="E342" s="1">
        <v>36</v>
      </c>
      <c r="F342" s="7">
        <v>39994</v>
      </c>
      <c r="G342" s="8">
        <v>43363</v>
      </c>
      <c r="H342" s="9">
        <v>0</v>
      </c>
      <c r="I342" s="1" t="s">
        <v>29</v>
      </c>
      <c r="J342" s="1" t="s">
        <v>51</v>
      </c>
      <c r="K342" s="10" t="s">
        <v>36</v>
      </c>
    </row>
    <row r="343" spans="1:11" x14ac:dyDescent="0.3">
      <c r="A343" s="6" t="s">
        <v>86</v>
      </c>
      <c r="B343" s="1" t="s">
        <v>26</v>
      </c>
      <c r="C343" s="1" t="s">
        <v>39</v>
      </c>
      <c r="D343" s="1" t="s">
        <v>33</v>
      </c>
      <c r="E343" s="1">
        <v>31</v>
      </c>
      <c r="F343" s="7">
        <v>42780</v>
      </c>
      <c r="G343" s="8">
        <v>95963</v>
      </c>
      <c r="H343" s="9">
        <v>0</v>
      </c>
      <c r="I343" s="1" t="s">
        <v>34</v>
      </c>
      <c r="J343" s="1" t="s">
        <v>68</v>
      </c>
      <c r="K343" s="10" t="s">
        <v>36</v>
      </c>
    </row>
    <row r="344" spans="1:11" x14ac:dyDescent="0.3">
      <c r="A344" s="6" t="s">
        <v>47</v>
      </c>
      <c r="B344" s="1" t="s">
        <v>38</v>
      </c>
      <c r="C344" s="1" t="s">
        <v>39</v>
      </c>
      <c r="D344" s="1" t="s">
        <v>28</v>
      </c>
      <c r="E344" s="1">
        <v>55</v>
      </c>
      <c r="F344" s="7">
        <v>40297</v>
      </c>
      <c r="G344" s="8">
        <v>111038</v>
      </c>
      <c r="H344" s="9">
        <v>0.05</v>
      </c>
      <c r="I344" s="1" t="s">
        <v>59</v>
      </c>
      <c r="J344" s="1" t="s">
        <v>76</v>
      </c>
      <c r="K344" s="10" t="s">
        <v>36</v>
      </c>
    </row>
    <row r="345" spans="1:11" x14ac:dyDescent="0.3">
      <c r="A345" s="6" t="s">
        <v>56</v>
      </c>
      <c r="B345" s="1" t="s">
        <v>54</v>
      </c>
      <c r="C345" s="1" t="s">
        <v>27</v>
      </c>
      <c r="D345" s="1" t="s">
        <v>28</v>
      </c>
      <c r="E345" s="1">
        <v>51</v>
      </c>
      <c r="F345" s="7">
        <v>35230</v>
      </c>
      <c r="G345" s="8">
        <v>200246</v>
      </c>
      <c r="H345" s="9">
        <v>0.34</v>
      </c>
      <c r="I345" s="1" t="s">
        <v>29</v>
      </c>
      <c r="J345" s="1" t="s">
        <v>58</v>
      </c>
      <c r="K345" s="10" t="s">
        <v>36</v>
      </c>
    </row>
    <row r="346" spans="1:11" x14ac:dyDescent="0.3">
      <c r="A346" s="6" t="s">
        <v>56</v>
      </c>
      <c r="B346" s="1" t="s">
        <v>26</v>
      </c>
      <c r="C346" s="1" t="s">
        <v>46</v>
      </c>
      <c r="D346" s="1" t="s">
        <v>28</v>
      </c>
      <c r="E346" s="1">
        <v>48</v>
      </c>
      <c r="F346" s="7">
        <v>42053</v>
      </c>
      <c r="G346" s="8">
        <v>194871</v>
      </c>
      <c r="H346" s="9">
        <v>0.35</v>
      </c>
      <c r="I346" s="1" t="s">
        <v>29</v>
      </c>
      <c r="J346" s="1" t="s">
        <v>58</v>
      </c>
      <c r="K346" s="10" t="s">
        <v>36</v>
      </c>
    </row>
    <row r="347" spans="1:11" x14ac:dyDescent="0.3">
      <c r="A347" s="6" t="s">
        <v>42</v>
      </c>
      <c r="B347" s="1" t="s">
        <v>50</v>
      </c>
      <c r="C347" s="1" t="s">
        <v>27</v>
      </c>
      <c r="D347" s="1" t="s">
        <v>33</v>
      </c>
      <c r="E347" s="1">
        <v>58</v>
      </c>
      <c r="F347" s="7">
        <v>34592</v>
      </c>
      <c r="G347" s="8">
        <v>98769</v>
      </c>
      <c r="H347" s="9">
        <v>0</v>
      </c>
      <c r="I347" s="1" t="s">
        <v>59</v>
      </c>
      <c r="J347" s="1" t="s">
        <v>61</v>
      </c>
      <c r="K347" s="10">
        <v>42646</v>
      </c>
    </row>
    <row r="348" spans="1:11" x14ac:dyDescent="0.3">
      <c r="A348" s="6" t="s">
        <v>44</v>
      </c>
      <c r="B348" s="1" t="s">
        <v>45</v>
      </c>
      <c r="C348" s="1" t="s">
        <v>27</v>
      </c>
      <c r="D348" s="1" t="s">
        <v>28</v>
      </c>
      <c r="E348" s="1">
        <v>29</v>
      </c>
      <c r="F348" s="7">
        <v>43239</v>
      </c>
      <c r="G348" s="8">
        <v>65334</v>
      </c>
      <c r="H348" s="9">
        <v>0</v>
      </c>
      <c r="I348" s="1" t="s">
        <v>59</v>
      </c>
      <c r="J348" s="1" t="s">
        <v>61</v>
      </c>
      <c r="K348" s="10" t="s">
        <v>36</v>
      </c>
    </row>
    <row r="349" spans="1:11" x14ac:dyDescent="0.3">
      <c r="A349" s="6" t="s">
        <v>31</v>
      </c>
      <c r="B349" s="1" t="s">
        <v>26</v>
      </c>
      <c r="C349" s="1" t="s">
        <v>32</v>
      </c>
      <c r="D349" s="1" t="s">
        <v>28</v>
      </c>
      <c r="E349" s="1">
        <v>25</v>
      </c>
      <c r="F349" s="7">
        <v>44327</v>
      </c>
      <c r="G349" s="8">
        <v>83934</v>
      </c>
      <c r="H349" s="9">
        <v>0</v>
      </c>
      <c r="I349" s="1" t="s">
        <v>29</v>
      </c>
      <c r="J349" s="1" t="s">
        <v>49</v>
      </c>
      <c r="K349" s="10" t="s">
        <v>36</v>
      </c>
    </row>
    <row r="350" spans="1:11" x14ac:dyDescent="0.3">
      <c r="A350" s="6" t="s">
        <v>37</v>
      </c>
      <c r="B350" s="1" t="s">
        <v>50</v>
      </c>
      <c r="C350" s="1" t="s">
        <v>27</v>
      </c>
      <c r="D350" s="1" t="s">
        <v>33</v>
      </c>
      <c r="E350" s="1">
        <v>36</v>
      </c>
      <c r="F350" s="7">
        <v>42616</v>
      </c>
      <c r="G350" s="8">
        <v>150399</v>
      </c>
      <c r="H350" s="9">
        <v>0.28000000000000003</v>
      </c>
      <c r="I350" s="1" t="s">
        <v>29</v>
      </c>
      <c r="J350" s="1" t="s">
        <v>40</v>
      </c>
      <c r="K350" s="10" t="s">
        <v>36</v>
      </c>
    </row>
    <row r="351" spans="1:11" x14ac:dyDescent="0.3">
      <c r="A351" s="6" t="s">
        <v>37</v>
      </c>
      <c r="B351" s="1" t="s">
        <v>52</v>
      </c>
      <c r="C351" s="1" t="s">
        <v>27</v>
      </c>
      <c r="D351" s="1" t="s">
        <v>33</v>
      </c>
      <c r="E351" s="1">
        <v>37</v>
      </c>
      <c r="F351" s="7">
        <v>41048</v>
      </c>
      <c r="G351" s="8">
        <v>160280</v>
      </c>
      <c r="H351" s="9">
        <v>0.19</v>
      </c>
      <c r="I351" s="1" t="s">
        <v>34</v>
      </c>
      <c r="J351" s="1" t="s">
        <v>64</v>
      </c>
      <c r="K351" s="10" t="s">
        <v>36</v>
      </c>
    </row>
    <row r="352" spans="1:11" x14ac:dyDescent="0.3">
      <c r="A352" s="6" t="s">
        <v>74</v>
      </c>
      <c r="B352" s="1" t="s">
        <v>52</v>
      </c>
      <c r="C352" s="1" t="s">
        <v>39</v>
      </c>
      <c r="D352" s="1" t="s">
        <v>33</v>
      </c>
      <c r="E352" s="1">
        <v>57</v>
      </c>
      <c r="F352" s="7">
        <v>35548</v>
      </c>
      <c r="G352" s="8">
        <v>54051</v>
      </c>
      <c r="H352" s="9">
        <v>0</v>
      </c>
      <c r="I352" s="1" t="s">
        <v>29</v>
      </c>
      <c r="J352" s="1" t="s">
        <v>49</v>
      </c>
      <c r="K352" s="10">
        <v>36079</v>
      </c>
    </row>
    <row r="353" spans="1:11" x14ac:dyDescent="0.3">
      <c r="A353" s="6" t="s">
        <v>37</v>
      </c>
      <c r="B353" s="1" t="s">
        <v>54</v>
      </c>
      <c r="C353" s="1" t="s">
        <v>27</v>
      </c>
      <c r="D353" s="1" t="s">
        <v>28</v>
      </c>
      <c r="E353" s="1">
        <v>59</v>
      </c>
      <c r="F353" s="7">
        <v>37726</v>
      </c>
      <c r="G353" s="8">
        <v>150699</v>
      </c>
      <c r="H353" s="9">
        <v>0.28999999999999998</v>
      </c>
      <c r="I353" s="1" t="s">
        <v>59</v>
      </c>
      <c r="J353" s="1" t="s">
        <v>76</v>
      </c>
      <c r="K353" s="10" t="s">
        <v>36</v>
      </c>
    </row>
    <row r="354" spans="1:11" x14ac:dyDescent="0.3">
      <c r="A354" s="6" t="s">
        <v>66</v>
      </c>
      <c r="B354" s="1" t="s">
        <v>57</v>
      </c>
      <c r="C354" s="1" t="s">
        <v>39</v>
      </c>
      <c r="D354" s="1" t="s">
        <v>33</v>
      </c>
      <c r="E354" s="1">
        <v>37</v>
      </c>
      <c r="F354" s="7">
        <v>41363</v>
      </c>
      <c r="G354" s="8">
        <v>69570</v>
      </c>
      <c r="H354" s="9">
        <v>0</v>
      </c>
      <c r="I354" s="1" t="s">
        <v>29</v>
      </c>
      <c r="J354" s="1" t="s">
        <v>49</v>
      </c>
      <c r="K354" s="10" t="s">
        <v>36</v>
      </c>
    </row>
    <row r="355" spans="1:11" x14ac:dyDescent="0.3">
      <c r="A355" s="6" t="s">
        <v>86</v>
      </c>
      <c r="B355" s="1" t="s">
        <v>26</v>
      </c>
      <c r="C355" s="1" t="s">
        <v>32</v>
      </c>
      <c r="D355" s="1" t="s">
        <v>28</v>
      </c>
      <c r="E355" s="1">
        <v>30</v>
      </c>
      <c r="F355" s="7">
        <v>43553</v>
      </c>
      <c r="G355" s="8">
        <v>86774</v>
      </c>
      <c r="H355" s="9">
        <v>0</v>
      </c>
      <c r="I355" s="1" t="s">
        <v>34</v>
      </c>
      <c r="J355" s="1" t="s">
        <v>68</v>
      </c>
      <c r="K355" s="10" t="s">
        <v>36</v>
      </c>
    </row>
    <row r="356" spans="1:11" x14ac:dyDescent="0.3">
      <c r="A356" s="6" t="s">
        <v>70</v>
      </c>
      <c r="B356" s="1" t="s">
        <v>52</v>
      </c>
      <c r="C356" s="1" t="s">
        <v>32</v>
      </c>
      <c r="D356" s="1" t="s">
        <v>33</v>
      </c>
      <c r="E356" s="1">
        <v>49</v>
      </c>
      <c r="F356" s="7">
        <v>36979</v>
      </c>
      <c r="G356" s="8">
        <v>57606</v>
      </c>
      <c r="H356" s="9">
        <v>0</v>
      </c>
      <c r="I356" s="1" t="s">
        <v>29</v>
      </c>
      <c r="J356" s="1" t="s">
        <v>49</v>
      </c>
      <c r="K356" s="10" t="s">
        <v>36</v>
      </c>
    </row>
    <row r="357" spans="1:11" x14ac:dyDescent="0.3">
      <c r="A357" s="6" t="s">
        <v>25</v>
      </c>
      <c r="B357" s="1" t="s">
        <v>38</v>
      </c>
      <c r="C357" s="1" t="s">
        <v>46</v>
      </c>
      <c r="D357" s="1" t="s">
        <v>28</v>
      </c>
      <c r="E357" s="1">
        <v>48</v>
      </c>
      <c r="F357" s="7">
        <v>37144</v>
      </c>
      <c r="G357" s="8">
        <v>125730</v>
      </c>
      <c r="H357" s="9">
        <v>0.11</v>
      </c>
      <c r="I357" s="1" t="s">
        <v>34</v>
      </c>
      <c r="J357" s="1" t="s">
        <v>35</v>
      </c>
      <c r="K357" s="10" t="s">
        <v>36</v>
      </c>
    </row>
    <row r="358" spans="1:11" x14ac:dyDescent="0.3">
      <c r="A358" s="6" t="s">
        <v>82</v>
      </c>
      <c r="B358" s="1" t="s">
        <v>26</v>
      </c>
      <c r="C358" s="1" t="s">
        <v>27</v>
      </c>
      <c r="D358" s="1" t="s">
        <v>28</v>
      </c>
      <c r="E358" s="1">
        <v>51</v>
      </c>
      <c r="F358" s="7">
        <v>40964</v>
      </c>
      <c r="G358" s="8">
        <v>64170</v>
      </c>
      <c r="H358" s="9">
        <v>0</v>
      </c>
      <c r="I358" s="1" t="s">
        <v>29</v>
      </c>
      <c r="J358" s="1" t="s">
        <v>58</v>
      </c>
      <c r="K358" s="10" t="s">
        <v>36</v>
      </c>
    </row>
    <row r="359" spans="1:11" x14ac:dyDescent="0.3">
      <c r="A359" s="6" t="s">
        <v>69</v>
      </c>
      <c r="B359" s="1" t="s">
        <v>52</v>
      </c>
      <c r="C359" s="1" t="s">
        <v>39</v>
      </c>
      <c r="D359" s="1" t="s">
        <v>33</v>
      </c>
      <c r="E359" s="1">
        <v>56</v>
      </c>
      <c r="F359" s="7">
        <v>35816</v>
      </c>
      <c r="G359" s="8">
        <v>72303</v>
      </c>
      <c r="H359" s="9">
        <v>0</v>
      </c>
      <c r="I359" s="1" t="s">
        <v>29</v>
      </c>
      <c r="J359" s="1" t="s">
        <v>43</v>
      </c>
      <c r="K359" s="10" t="s">
        <v>36</v>
      </c>
    </row>
    <row r="360" spans="1:11" x14ac:dyDescent="0.3">
      <c r="A360" s="6" t="s">
        <v>47</v>
      </c>
      <c r="B360" s="1" t="s">
        <v>45</v>
      </c>
      <c r="C360" s="1" t="s">
        <v>27</v>
      </c>
      <c r="D360" s="1" t="s">
        <v>33</v>
      </c>
      <c r="E360" s="1">
        <v>36</v>
      </c>
      <c r="F360" s="7">
        <v>41116</v>
      </c>
      <c r="G360" s="8">
        <v>105891</v>
      </c>
      <c r="H360" s="9">
        <v>7.0000000000000007E-2</v>
      </c>
      <c r="I360" s="1" t="s">
        <v>29</v>
      </c>
      <c r="J360" s="1" t="s">
        <v>30</v>
      </c>
      <c r="K360" s="10" t="s">
        <v>36</v>
      </c>
    </row>
    <row r="361" spans="1:11" x14ac:dyDescent="0.3">
      <c r="A361" s="6" t="s">
        <v>56</v>
      </c>
      <c r="B361" s="1" t="s">
        <v>57</v>
      </c>
      <c r="C361" s="1" t="s">
        <v>39</v>
      </c>
      <c r="D361" s="1" t="s">
        <v>33</v>
      </c>
      <c r="E361" s="1">
        <v>38</v>
      </c>
      <c r="F361" s="7">
        <v>44433</v>
      </c>
      <c r="G361" s="8">
        <v>255230</v>
      </c>
      <c r="H361" s="9">
        <v>0.36</v>
      </c>
      <c r="I361" s="1" t="s">
        <v>29</v>
      </c>
      <c r="J361" s="1" t="s">
        <v>51</v>
      </c>
      <c r="K361" s="10" t="s">
        <v>36</v>
      </c>
    </row>
    <row r="362" spans="1:11" x14ac:dyDescent="0.3">
      <c r="A362" s="6" t="s">
        <v>66</v>
      </c>
      <c r="B362" s="1" t="s">
        <v>45</v>
      </c>
      <c r="C362" s="1" t="s">
        <v>32</v>
      </c>
      <c r="D362" s="1" t="s">
        <v>28</v>
      </c>
      <c r="E362" s="1">
        <v>56</v>
      </c>
      <c r="F362" s="7">
        <v>33770</v>
      </c>
      <c r="G362" s="8">
        <v>59591</v>
      </c>
      <c r="H362" s="9">
        <v>0</v>
      </c>
      <c r="I362" s="1" t="s">
        <v>59</v>
      </c>
      <c r="J362" s="1" t="s">
        <v>76</v>
      </c>
      <c r="K362" s="10" t="s">
        <v>36</v>
      </c>
    </row>
    <row r="363" spans="1:11" x14ac:dyDescent="0.3">
      <c r="A363" s="6" t="s">
        <v>56</v>
      </c>
      <c r="B363" s="1" t="s">
        <v>52</v>
      </c>
      <c r="C363" s="1" t="s">
        <v>32</v>
      </c>
      <c r="D363" s="1" t="s">
        <v>28</v>
      </c>
      <c r="E363" s="1">
        <v>52</v>
      </c>
      <c r="F363" s="7">
        <v>41113</v>
      </c>
      <c r="G363" s="8">
        <v>187048</v>
      </c>
      <c r="H363" s="9">
        <v>0.32</v>
      </c>
      <c r="I363" s="1" t="s">
        <v>34</v>
      </c>
      <c r="J363" s="1" t="s">
        <v>68</v>
      </c>
      <c r="K363" s="10" t="s">
        <v>36</v>
      </c>
    </row>
    <row r="364" spans="1:11" x14ac:dyDescent="0.3">
      <c r="A364" s="6" t="s">
        <v>66</v>
      </c>
      <c r="B364" s="1" t="s">
        <v>38</v>
      </c>
      <c r="C364" s="1" t="s">
        <v>39</v>
      </c>
      <c r="D364" s="1" t="s">
        <v>28</v>
      </c>
      <c r="E364" s="1">
        <v>53</v>
      </c>
      <c r="F364" s="7">
        <v>37296</v>
      </c>
      <c r="G364" s="8">
        <v>58605</v>
      </c>
      <c r="H364" s="9">
        <v>0</v>
      </c>
      <c r="I364" s="1" t="s">
        <v>29</v>
      </c>
      <c r="J364" s="1" t="s">
        <v>43</v>
      </c>
      <c r="K364" s="10" t="s">
        <v>36</v>
      </c>
    </row>
    <row r="365" spans="1:11" x14ac:dyDescent="0.3">
      <c r="A365" s="6" t="s">
        <v>37</v>
      </c>
      <c r="B365" s="1" t="s">
        <v>54</v>
      </c>
      <c r="C365" s="1" t="s">
        <v>46</v>
      </c>
      <c r="D365" s="1" t="s">
        <v>28</v>
      </c>
      <c r="E365" s="1">
        <v>60</v>
      </c>
      <c r="F365" s="7">
        <v>42739</v>
      </c>
      <c r="G365" s="8">
        <v>178502</v>
      </c>
      <c r="H365" s="9">
        <v>0.2</v>
      </c>
      <c r="I365" s="1" t="s">
        <v>29</v>
      </c>
      <c r="J365" s="1" t="s">
        <v>51</v>
      </c>
      <c r="K365" s="10" t="s">
        <v>36</v>
      </c>
    </row>
    <row r="366" spans="1:11" x14ac:dyDescent="0.3">
      <c r="A366" s="6" t="s">
        <v>47</v>
      </c>
      <c r="B366" s="1" t="s">
        <v>50</v>
      </c>
      <c r="C366" s="1" t="s">
        <v>39</v>
      </c>
      <c r="D366" s="1" t="s">
        <v>33</v>
      </c>
      <c r="E366" s="1">
        <v>63</v>
      </c>
      <c r="F366" s="7">
        <v>42214</v>
      </c>
      <c r="G366" s="8">
        <v>103724</v>
      </c>
      <c r="H366" s="9">
        <v>0.05</v>
      </c>
      <c r="I366" s="1" t="s">
        <v>34</v>
      </c>
      <c r="J366" s="1" t="s">
        <v>55</v>
      </c>
      <c r="K366" s="10" t="s">
        <v>36</v>
      </c>
    </row>
    <row r="367" spans="1:11" x14ac:dyDescent="0.3">
      <c r="A367" s="6" t="s">
        <v>37</v>
      </c>
      <c r="B367" s="1" t="s">
        <v>54</v>
      </c>
      <c r="C367" s="1" t="s">
        <v>27</v>
      </c>
      <c r="D367" s="1" t="s">
        <v>28</v>
      </c>
      <c r="E367" s="1">
        <v>37</v>
      </c>
      <c r="F367" s="7">
        <v>39528</v>
      </c>
      <c r="G367" s="8">
        <v>156277</v>
      </c>
      <c r="H367" s="9">
        <v>0.22</v>
      </c>
      <c r="I367" s="1" t="s">
        <v>59</v>
      </c>
      <c r="J367" s="1" t="s">
        <v>60</v>
      </c>
      <c r="K367" s="10" t="s">
        <v>36</v>
      </c>
    </row>
    <row r="368" spans="1:11" x14ac:dyDescent="0.3">
      <c r="A368" s="6" t="s">
        <v>71</v>
      </c>
      <c r="B368" s="1" t="s">
        <v>54</v>
      </c>
      <c r="C368" s="1" t="s">
        <v>27</v>
      </c>
      <c r="D368" s="1" t="s">
        <v>28</v>
      </c>
      <c r="E368" s="1">
        <v>30</v>
      </c>
      <c r="F368" s="7">
        <v>43086</v>
      </c>
      <c r="G368" s="8">
        <v>87744</v>
      </c>
      <c r="H368" s="9">
        <v>0</v>
      </c>
      <c r="I368" s="1" t="s">
        <v>59</v>
      </c>
      <c r="J368" s="1" t="s">
        <v>76</v>
      </c>
      <c r="K368" s="10" t="s">
        <v>36</v>
      </c>
    </row>
    <row r="369" spans="1:11" x14ac:dyDescent="0.3">
      <c r="A369" s="6" t="s">
        <v>66</v>
      </c>
      <c r="B369" s="1" t="s">
        <v>38</v>
      </c>
      <c r="C369" s="1" t="s">
        <v>32</v>
      </c>
      <c r="D369" s="1" t="s">
        <v>33</v>
      </c>
      <c r="E369" s="1">
        <v>30</v>
      </c>
      <c r="F369" s="7">
        <v>43542</v>
      </c>
      <c r="G369" s="8">
        <v>54714</v>
      </c>
      <c r="H369" s="9">
        <v>0</v>
      </c>
      <c r="I369" s="1" t="s">
        <v>29</v>
      </c>
      <c r="J369" s="1" t="s">
        <v>58</v>
      </c>
      <c r="K369" s="10" t="s">
        <v>36</v>
      </c>
    </row>
    <row r="370" spans="1:11" x14ac:dyDescent="0.3">
      <c r="A370" s="6" t="s">
        <v>67</v>
      </c>
      <c r="B370" s="1" t="s">
        <v>26</v>
      </c>
      <c r="C370" s="1" t="s">
        <v>46</v>
      </c>
      <c r="D370" s="1" t="s">
        <v>28</v>
      </c>
      <c r="E370" s="1">
        <v>45</v>
      </c>
      <c r="F370" s="7">
        <v>41511</v>
      </c>
      <c r="G370" s="8">
        <v>99169</v>
      </c>
      <c r="H370" s="9">
        <v>0</v>
      </c>
      <c r="I370" s="1" t="s">
        <v>34</v>
      </c>
      <c r="J370" s="1" t="s">
        <v>64</v>
      </c>
      <c r="K370" s="10" t="s">
        <v>36</v>
      </c>
    </row>
    <row r="371" spans="1:11" x14ac:dyDescent="0.3">
      <c r="A371" s="6" t="s">
        <v>25</v>
      </c>
      <c r="B371" s="1" t="s">
        <v>50</v>
      </c>
      <c r="C371" s="1" t="s">
        <v>27</v>
      </c>
      <c r="D371" s="1" t="s">
        <v>28</v>
      </c>
      <c r="E371" s="1">
        <v>55</v>
      </c>
      <c r="F371" s="7">
        <v>38888</v>
      </c>
      <c r="G371" s="8">
        <v>142628</v>
      </c>
      <c r="H371" s="9">
        <v>0.12</v>
      </c>
      <c r="I371" s="1" t="s">
        <v>34</v>
      </c>
      <c r="J371" s="1" t="s">
        <v>35</v>
      </c>
      <c r="K371" s="10" t="s">
        <v>36</v>
      </c>
    </row>
    <row r="372" spans="1:11" x14ac:dyDescent="0.3">
      <c r="A372" s="6" t="s">
        <v>42</v>
      </c>
      <c r="B372" s="1" t="s">
        <v>57</v>
      </c>
      <c r="C372" s="1" t="s">
        <v>32</v>
      </c>
      <c r="D372" s="1" t="s">
        <v>28</v>
      </c>
      <c r="E372" s="1">
        <v>33</v>
      </c>
      <c r="F372" s="7">
        <v>41756</v>
      </c>
      <c r="G372" s="8">
        <v>75869</v>
      </c>
      <c r="H372" s="9">
        <v>0</v>
      </c>
      <c r="I372" s="1" t="s">
        <v>59</v>
      </c>
      <c r="J372" s="1" t="s">
        <v>76</v>
      </c>
      <c r="K372" s="10" t="s">
        <v>36</v>
      </c>
    </row>
    <row r="373" spans="1:11" x14ac:dyDescent="0.3">
      <c r="A373" s="6" t="s">
        <v>78</v>
      </c>
      <c r="B373" s="1" t="s">
        <v>26</v>
      </c>
      <c r="C373" s="1" t="s">
        <v>32</v>
      </c>
      <c r="D373" s="1" t="s">
        <v>28</v>
      </c>
      <c r="E373" s="1">
        <v>65</v>
      </c>
      <c r="F373" s="7">
        <v>43234</v>
      </c>
      <c r="G373" s="8">
        <v>60985</v>
      </c>
      <c r="H373" s="9">
        <v>0</v>
      </c>
      <c r="I373" s="1" t="s">
        <v>29</v>
      </c>
      <c r="J373" s="1" t="s">
        <v>30</v>
      </c>
      <c r="K373" s="10" t="s">
        <v>36</v>
      </c>
    </row>
    <row r="374" spans="1:11" x14ac:dyDescent="0.3">
      <c r="A374" s="6" t="s">
        <v>25</v>
      </c>
      <c r="B374" s="1" t="s">
        <v>26</v>
      </c>
      <c r="C374" s="1" t="s">
        <v>27</v>
      </c>
      <c r="D374" s="1" t="s">
        <v>28</v>
      </c>
      <c r="E374" s="1">
        <v>60</v>
      </c>
      <c r="F374" s="7">
        <v>40383</v>
      </c>
      <c r="G374" s="8">
        <v>126911</v>
      </c>
      <c r="H374" s="9">
        <v>0.1</v>
      </c>
      <c r="I374" s="1" t="s">
        <v>34</v>
      </c>
      <c r="J374" s="1" t="s">
        <v>55</v>
      </c>
      <c r="K374" s="10" t="s">
        <v>36</v>
      </c>
    </row>
    <row r="375" spans="1:11" x14ac:dyDescent="0.3">
      <c r="A375" s="6" t="s">
        <v>56</v>
      </c>
      <c r="B375" s="1" t="s">
        <v>45</v>
      </c>
      <c r="C375" s="1" t="s">
        <v>27</v>
      </c>
      <c r="D375" s="1" t="s">
        <v>33</v>
      </c>
      <c r="E375" s="1">
        <v>56</v>
      </c>
      <c r="F375" s="7">
        <v>38042</v>
      </c>
      <c r="G375" s="8">
        <v>216949</v>
      </c>
      <c r="H375" s="9">
        <v>0.32</v>
      </c>
      <c r="I375" s="1" t="s">
        <v>34</v>
      </c>
      <c r="J375" s="1" t="s">
        <v>55</v>
      </c>
      <c r="K375" s="10" t="s">
        <v>36</v>
      </c>
    </row>
    <row r="376" spans="1:11" x14ac:dyDescent="0.3">
      <c r="A376" s="6" t="s">
        <v>37</v>
      </c>
      <c r="B376" s="1" t="s">
        <v>54</v>
      </c>
      <c r="C376" s="1" t="s">
        <v>32</v>
      </c>
      <c r="D376" s="1" t="s">
        <v>33</v>
      </c>
      <c r="E376" s="1">
        <v>53</v>
      </c>
      <c r="F376" s="7">
        <v>41204</v>
      </c>
      <c r="G376" s="8">
        <v>168510</v>
      </c>
      <c r="H376" s="9">
        <v>0.28999999999999998</v>
      </c>
      <c r="I376" s="1" t="s">
        <v>29</v>
      </c>
      <c r="J376" s="1" t="s">
        <v>30</v>
      </c>
      <c r="K376" s="10" t="s">
        <v>36</v>
      </c>
    </row>
    <row r="377" spans="1:11" x14ac:dyDescent="0.3">
      <c r="A377" s="6" t="s">
        <v>71</v>
      </c>
      <c r="B377" s="1" t="s">
        <v>54</v>
      </c>
      <c r="C377" s="1" t="s">
        <v>39</v>
      </c>
      <c r="D377" s="1" t="s">
        <v>28</v>
      </c>
      <c r="E377" s="1">
        <v>36</v>
      </c>
      <c r="F377" s="7">
        <v>42443</v>
      </c>
      <c r="G377" s="8">
        <v>85870</v>
      </c>
      <c r="H377" s="9">
        <v>0</v>
      </c>
      <c r="I377" s="1" t="s">
        <v>59</v>
      </c>
      <c r="J377" s="1" t="s">
        <v>76</v>
      </c>
      <c r="K377" s="10" t="s">
        <v>36</v>
      </c>
    </row>
    <row r="378" spans="1:11" x14ac:dyDescent="0.3">
      <c r="A378" s="6" t="s">
        <v>42</v>
      </c>
      <c r="B378" s="1" t="s">
        <v>57</v>
      </c>
      <c r="C378" s="1" t="s">
        <v>46</v>
      </c>
      <c r="D378" s="1" t="s">
        <v>28</v>
      </c>
      <c r="E378" s="1">
        <v>46</v>
      </c>
      <c r="F378" s="7">
        <v>37271</v>
      </c>
      <c r="G378" s="8">
        <v>86510</v>
      </c>
      <c r="H378" s="9">
        <v>0</v>
      </c>
      <c r="I378" s="1" t="s">
        <v>34</v>
      </c>
      <c r="J378" s="1" t="s">
        <v>64</v>
      </c>
      <c r="K378" s="10">
        <v>37623</v>
      </c>
    </row>
    <row r="379" spans="1:11" x14ac:dyDescent="0.3">
      <c r="A379" s="6" t="s">
        <v>47</v>
      </c>
      <c r="B379" s="1" t="s">
        <v>45</v>
      </c>
      <c r="C379" s="1" t="s">
        <v>39</v>
      </c>
      <c r="D379" s="1" t="s">
        <v>28</v>
      </c>
      <c r="E379" s="1">
        <v>38</v>
      </c>
      <c r="F379" s="7">
        <v>42999</v>
      </c>
      <c r="G379" s="8">
        <v>119647</v>
      </c>
      <c r="H379" s="9">
        <v>0.09</v>
      </c>
      <c r="I379" s="1" t="s">
        <v>59</v>
      </c>
      <c r="J379" s="1" t="s">
        <v>76</v>
      </c>
      <c r="K379" s="10" t="s">
        <v>36</v>
      </c>
    </row>
    <row r="380" spans="1:11" x14ac:dyDescent="0.3">
      <c r="A380" s="6" t="s">
        <v>67</v>
      </c>
      <c r="B380" s="1" t="s">
        <v>26</v>
      </c>
      <c r="C380" s="1" t="s">
        <v>27</v>
      </c>
      <c r="D380" s="1" t="s">
        <v>33</v>
      </c>
      <c r="E380" s="1">
        <v>62</v>
      </c>
      <c r="F380" s="7">
        <v>36996</v>
      </c>
      <c r="G380" s="8">
        <v>80921</v>
      </c>
      <c r="H380" s="9">
        <v>0</v>
      </c>
      <c r="I380" s="1" t="s">
        <v>29</v>
      </c>
      <c r="J380" s="1" t="s">
        <v>58</v>
      </c>
      <c r="K380" s="10" t="s">
        <v>36</v>
      </c>
    </row>
    <row r="381" spans="1:11" x14ac:dyDescent="0.3">
      <c r="A381" s="6" t="s">
        <v>63</v>
      </c>
      <c r="B381" s="1" t="s">
        <v>54</v>
      </c>
      <c r="C381" s="1" t="s">
        <v>27</v>
      </c>
      <c r="D381" s="1" t="s">
        <v>28</v>
      </c>
      <c r="E381" s="1">
        <v>61</v>
      </c>
      <c r="F381" s="7">
        <v>40193</v>
      </c>
      <c r="G381" s="8">
        <v>98110</v>
      </c>
      <c r="H381" s="9">
        <v>0.13</v>
      </c>
      <c r="I381" s="1" t="s">
        <v>29</v>
      </c>
      <c r="J381" s="1" t="s">
        <v>40</v>
      </c>
      <c r="K381" s="10" t="s">
        <v>36</v>
      </c>
    </row>
    <row r="382" spans="1:11" x14ac:dyDescent="0.3">
      <c r="A382" s="6" t="s">
        <v>78</v>
      </c>
      <c r="B382" s="1" t="s">
        <v>26</v>
      </c>
      <c r="C382" s="1" t="s">
        <v>39</v>
      </c>
      <c r="D382" s="1" t="s">
        <v>28</v>
      </c>
      <c r="E382" s="1">
        <v>59</v>
      </c>
      <c r="F382" s="7">
        <v>43028</v>
      </c>
      <c r="G382" s="8">
        <v>86831</v>
      </c>
      <c r="H382" s="9">
        <v>0</v>
      </c>
      <c r="I382" s="1" t="s">
        <v>29</v>
      </c>
      <c r="J382" s="1" t="s">
        <v>43</v>
      </c>
      <c r="K382" s="10" t="s">
        <v>36</v>
      </c>
    </row>
    <row r="383" spans="1:11" x14ac:dyDescent="0.3">
      <c r="A383" s="6" t="s">
        <v>31</v>
      </c>
      <c r="B383" s="1" t="s">
        <v>26</v>
      </c>
      <c r="C383" s="1" t="s">
        <v>39</v>
      </c>
      <c r="D383" s="1" t="s">
        <v>28</v>
      </c>
      <c r="E383" s="1">
        <v>49</v>
      </c>
      <c r="F383" s="7">
        <v>40431</v>
      </c>
      <c r="G383" s="8">
        <v>72826</v>
      </c>
      <c r="H383" s="9">
        <v>0</v>
      </c>
      <c r="I383" s="1" t="s">
        <v>34</v>
      </c>
      <c r="J383" s="1" t="s">
        <v>64</v>
      </c>
      <c r="K383" s="10" t="s">
        <v>36</v>
      </c>
    </row>
    <row r="384" spans="1:11" x14ac:dyDescent="0.3">
      <c r="A384" s="6" t="s">
        <v>37</v>
      </c>
      <c r="B384" s="1" t="s">
        <v>57</v>
      </c>
      <c r="C384" s="1" t="s">
        <v>32</v>
      </c>
      <c r="D384" s="1" t="s">
        <v>28</v>
      </c>
      <c r="E384" s="1">
        <v>64</v>
      </c>
      <c r="F384" s="7">
        <v>40588</v>
      </c>
      <c r="G384" s="8">
        <v>171217</v>
      </c>
      <c r="H384" s="9">
        <v>0.19</v>
      </c>
      <c r="I384" s="1" t="s">
        <v>29</v>
      </c>
      <c r="J384" s="1" t="s">
        <v>30</v>
      </c>
      <c r="K384" s="10" t="s">
        <v>36</v>
      </c>
    </row>
    <row r="385" spans="1:11" x14ac:dyDescent="0.3">
      <c r="A385" s="6" t="s">
        <v>47</v>
      </c>
      <c r="B385" s="1" t="s">
        <v>26</v>
      </c>
      <c r="C385" s="1" t="s">
        <v>27</v>
      </c>
      <c r="D385" s="1" t="s">
        <v>28</v>
      </c>
      <c r="E385" s="1">
        <v>57</v>
      </c>
      <c r="F385" s="7">
        <v>43948</v>
      </c>
      <c r="G385" s="8">
        <v>103058</v>
      </c>
      <c r="H385" s="9">
        <v>7.0000000000000007E-2</v>
      </c>
      <c r="I385" s="1" t="s">
        <v>29</v>
      </c>
      <c r="J385" s="1" t="s">
        <v>58</v>
      </c>
      <c r="K385" s="10" t="s">
        <v>36</v>
      </c>
    </row>
    <row r="386" spans="1:11" x14ac:dyDescent="0.3">
      <c r="A386" s="6" t="s">
        <v>47</v>
      </c>
      <c r="B386" s="1" t="s">
        <v>45</v>
      </c>
      <c r="C386" s="1" t="s">
        <v>39</v>
      </c>
      <c r="D386" s="1" t="s">
        <v>33</v>
      </c>
      <c r="E386" s="1">
        <v>52</v>
      </c>
      <c r="F386" s="7">
        <v>41858</v>
      </c>
      <c r="G386" s="8">
        <v>117062</v>
      </c>
      <c r="H386" s="9">
        <v>7.0000000000000007E-2</v>
      </c>
      <c r="I386" s="1" t="s">
        <v>29</v>
      </c>
      <c r="J386" s="1" t="s">
        <v>43</v>
      </c>
      <c r="K386" s="10" t="s">
        <v>36</v>
      </c>
    </row>
    <row r="387" spans="1:11" x14ac:dyDescent="0.3">
      <c r="A387" s="6" t="s">
        <v>25</v>
      </c>
      <c r="B387" s="1" t="s">
        <v>50</v>
      </c>
      <c r="C387" s="1" t="s">
        <v>39</v>
      </c>
      <c r="D387" s="1" t="s">
        <v>33</v>
      </c>
      <c r="E387" s="1">
        <v>40</v>
      </c>
      <c r="F387" s="7">
        <v>43488</v>
      </c>
      <c r="G387" s="8">
        <v>159031</v>
      </c>
      <c r="H387" s="9">
        <v>0.1</v>
      </c>
      <c r="I387" s="1" t="s">
        <v>29</v>
      </c>
      <c r="J387" s="1" t="s">
        <v>49</v>
      </c>
      <c r="K387" s="10" t="s">
        <v>36</v>
      </c>
    </row>
    <row r="388" spans="1:11" x14ac:dyDescent="0.3">
      <c r="A388" s="6" t="s">
        <v>25</v>
      </c>
      <c r="B388" s="1" t="s">
        <v>26</v>
      </c>
      <c r="C388" s="1" t="s">
        <v>27</v>
      </c>
      <c r="D388" s="1" t="s">
        <v>28</v>
      </c>
      <c r="E388" s="1">
        <v>49</v>
      </c>
      <c r="F388" s="7">
        <v>38000</v>
      </c>
      <c r="G388" s="8">
        <v>125086</v>
      </c>
      <c r="H388" s="9">
        <v>0.1</v>
      </c>
      <c r="I388" s="1" t="s">
        <v>59</v>
      </c>
      <c r="J388" s="1" t="s">
        <v>76</v>
      </c>
      <c r="K388" s="10" t="s">
        <v>36</v>
      </c>
    </row>
    <row r="389" spans="1:11" x14ac:dyDescent="0.3">
      <c r="A389" s="6" t="s">
        <v>82</v>
      </c>
      <c r="B389" s="1" t="s">
        <v>26</v>
      </c>
      <c r="C389" s="1" t="s">
        <v>39</v>
      </c>
      <c r="D389" s="1" t="s">
        <v>33</v>
      </c>
      <c r="E389" s="1">
        <v>43</v>
      </c>
      <c r="F389" s="7">
        <v>42467</v>
      </c>
      <c r="G389" s="8">
        <v>67976</v>
      </c>
      <c r="H389" s="9">
        <v>0</v>
      </c>
      <c r="I389" s="1" t="s">
        <v>29</v>
      </c>
      <c r="J389" s="1" t="s">
        <v>30</v>
      </c>
      <c r="K389" s="10" t="s">
        <v>36</v>
      </c>
    </row>
    <row r="390" spans="1:11" x14ac:dyDescent="0.3">
      <c r="A390" s="6" t="s">
        <v>66</v>
      </c>
      <c r="B390" s="1" t="s">
        <v>38</v>
      </c>
      <c r="C390" s="1" t="s">
        <v>39</v>
      </c>
      <c r="D390" s="1" t="s">
        <v>33</v>
      </c>
      <c r="E390" s="1">
        <v>31</v>
      </c>
      <c r="F390" s="7">
        <v>44308</v>
      </c>
      <c r="G390" s="8">
        <v>74215</v>
      </c>
      <c r="H390" s="9">
        <v>0</v>
      </c>
      <c r="I390" s="1" t="s">
        <v>29</v>
      </c>
      <c r="J390" s="1" t="s">
        <v>43</v>
      </c>
      <c r="K390" s="10" t="s">
        <v>36</v>
      </c>
    </row>
    <row r="391" spans="1:11" x14ac:dyDescent="0.3">
      <c r="A391" s="6" t="s">
        <v>37</v>
      </c>
      <c r="B391" s="1" t="s">
        <v>50</v>
      </c>
      <c r="C391" s="1" t="s">
        <v>32</v>
      </c>
      <c r="D391" s="1" t="s">
        <v>33</v>
      </c>
      <c r="E391" s="1">
        <v>55</v>
      </c>
      <c r="F391" s="7">
        <v>40340</v>
      </c>
      <c r="G391" s="8">
        <v>187389</v>
      </c>
      <c r="H391" s="9">
        <v>0.25</v>
      </c>
      <c r="I391" s="1" t="s">
        <v>34</v>
      </c>
      <c r="J391" s="1" t="s">
        <v>68</v>
      </c>
      <c r="K391" s="10" t="s">
        <v>36</v>
      </c>
    </row>
    <row r="392" spans="1:11" x14ac:dyDescent="0.3">
      <c r="A392" s="6" t="s">
        <v>25</v>
      </c>
      <c r="B392" s="1" t="s">
        <v>52</v>
      </c>
      <c r="C392" s="1" t="s">
        <v>39</v>
      </c>
      <c r="D392" s="1" t="s">
        <v>28</v>
      </c>
      <c r="E392" s="1">
        <v>41</v>
      </c>
      <c r="F392" s="7">
        <v>39747</v>
      </c>
      <c r="G392" s="8">
        <v>131841</v>
      </c>
      <c r="H392" s="9">
        <v>0.13</v>
      </c>
      <c r="I392" s="1" t="s">
        <v>29</v>
      </c>
      <c r="J392" s="1" t="s">
        <v>58</v>
      </c>
      <c r="K392" s="10" t="s">
        <v>36</v>
      </c>
    </row>
    <row r="393" spans="1:11" x14ac:dyDescent="0.3">
      <c r="A393" s="6" t="s">
        <v>42</v>
      </c>
      <c r="B393" s="1" t="s">
        <v>50</v>
      </c>
      <c r="C393" s="1" t="s">
        <v>27</v>
      </c>
      <c r="D393" s="1" t="s">
        <v>33</v>
      </c>
      <c r="E393" s="1">
        <v>34</v>
      </c>
      <c r="F393" s="7">
        <v>40750</v>
      </c>
      <c r="G393" s="8">
        <v>97231</v>
      </c>
      <c r="H393" s="9">
        <v>0</v>
      </c>
      <c r="I393" s="1" t="s">
        <v>34</v>
      </c>
      <c r="J393" s="1" t="s">
        <v>64</v>
      </c>
      <c r="K393" s="10" t="s">
        <v>36</v>
      </c>
    </row>
    <row r="394" spans="1:11" x14ac:dyDescent="0.3">
      <c r="A394" s="6" t="s">
        <v>25</v>
      </c>
      <c r="B394" s="1" t="s">
        <v>38</v>
      </c>
      <c r="C394" s="1" t="s">
        <v>46</v>
      </c>
      <c r="D394" s="1" t="s">
        <v>28</v>
      </c>
      <c r="E394" s="1">
        <v>41</v>
      </c>
      <c r="F394" s="7">
        <v>38060</v>
      </c>
      <c r="G394" s="8">
        <v>155004</v>
      </c>
      <c r="H394" s="9">
        <v>0.12</v>
      </c>
      <c r="I394" s="1" t="s">
        <v>29</v>
      </c>
      <c r="J394" s="1" t="s">
        <v>51</v>
      </c>
      <c r="K394" s="10" t="s">
        <v>36</v>
      </c>
    </row>
    <row r="395" spans="1:11" x14ac:dyDescent="0.3">
      <c r="A395" s="6" t="s">
        <v>83</v>
      </c>
      <c r="B395" s="1" t="s">
        <v>26</v>
      </c>
      <c r="C395" s="1" t="s">
        <v>32</v>
      </c>
      <c r="D395" s="1" t="s">
        <v>33</v>
      </c>
      <c r="E395" s="1">
        <v>40</v>
      </c>
      <c r="F395" s="7">
        <v>39293</v>
      </c>
      <c r="G395" s="8">
        <v>41859</v>
      </c>
      <c r="H395" s="9">
        <v>0</v>
      </c>
      <c r="I395" s="1" t="s">
        <v>29</v>
      </c>
      <c r="J395" s="1" t="s">
        <v>30</v>
      </c>
      <c r="K395" s="10" t="s">
        <v>36</v>
      </c>
    </row>
    <row r="396" spans="1:11" x14ac:dyDescent="0.3">
      <c r="A396" s="6" t="s">
        <v>65</v>
      </c>
      <c r="B396" s="1" t="s">
        <v>26</v>
      </c>
      <c r="C396" s="1" t="s">
        <v>32</v>
      </c>
      <c r="D396" s="1" t="s">
        <v>33</v>
      </c>
      <c r="E396" s="1">
        <v>42</v>
      </c>
      <c r="F396" s="7">
        <v>38984</v>
      </c>
      <c r="G396" s="8">
        <v>52733</v>
      </c>
      <c r="H396" s="9">
        <v>0</v>
      </c>
      <c r="I396" s="1" t="s">
        <v>29</v>
      </c>
      <c r="J396" s="1" t="s">
        <v>40</v>
      </c>
      <c r="K396" s="10" t="s">
        <v>36</v>
      </c>
    </row>
    <row r="397" spans="1:11" x14ac:dyDescent="0.3">
      <c r="A397" s="6" t="s">
        <v>56</v>
      </c>
      <c r="B397" s="1" t="s">
        <v>52</v>
      </c>
      <c r="C397" s="1" t="s">
        <v>46</v>
      </c>
      <c r="D397" s="1" t="s">
        <v>33</v>
      </c>
      <c r="E397" s="1">
        <v>31</v>
      </c>
      <c r="F397" s="7">
        <v>42250</v>
      </c>
      <c r="G397" s="8">
        <v>250953</v>
      </c>
      <c r="H397" s="9">
        <v>0.34</v>
      </c>
      <c r="I397" s="1" t="s">
        <v>29</v>
      </c>
      <c r="J397" s="1" t="s">
        <v>58</v>
      </c>
      <c r="K397" s="10" t="s">
        <v>36</v>
      </c>
    </row>
    <row r="398" spans="1:11" x14ac:dyDescent="0.3">
      <c r="A398" s="6" t="s">
        <v>37</v>
      </c>
      <c r="B398" s="1" t="s">
        <v>57</v>
      </c>
      <c r="C398" s="1" t="s">
        <v>27</v>
      </c>
      <c r="D398" s="1" t="s">
        <v>33</v>
      </c>
      <c r="E398" s="1">
        <v>49</v>
      </c>
      <c r="F398" s="7">
        <v>36210</v>
      </c>
      <c r="G398" s="8">
        <v>191807</v>
      </c>
      <c r="H398" s="9">
        <v>0.21</v>
      </c>
      <c r="I398" s="1" t="s">
        <v>34</v>
      </c>
      <c r="J398" s="1" t="s">
        <v>35</v>
      </c>
      <c r="K398" s="10" t="s">
        <v>36</v>
      </c>
    </row>
    <row r="399" spans="1:11" x14ac:dyDescent="0.3">
      <c r="A399" s="6" t="s">
        <v>31</v>
      </c>
      <c r="B399" s="1" t="s">
        <v>26</v>
      </c>
      <c r="C399" s="1" t="s">
        <v>39</v>
      </c>
      <c r="D399" s="1" t="s">
        <v>33</v>
      </c>
      <c r="E399" s="1">
        <v>42</v>
      </c>
      <c r="F399" s="7">
        <v>41813</v>
      </c>
      <c r="G399" s="8">
        <v>64677</v>
      </c>
      <c r="H399" s="9">
        <v>0</v>
      </c>
      <c r="I399" s="1" t="s">
        <v>34</v>
      </c>
      <c r="J399" s="1" t="s">
        <v>35</v>
      </c>
      <c r="K399" s="10" t="s">
        <v>36</v>
      </c>
    </row>
    <row r="400" spans="1:11" x14ac:dyDescent="0.3">
      <c r="A400" s="6" t="s">
        <v>25</v>
      </c>
      <c r="B400" s="1" t="s">
        <v>26</v>
      </c>
      <c r="C400" s="1" t="s">
        <v>46</v>
      </c>
      <c r="D400" s="1" t="s">
        <v>33</v>
      </c>
      <c r="E400" s="1">
        <v>46</v>
      </c>
      <c r="F400" s="7">
        <v>38244</v>
      </c>
      <c r="G400" s="8">
        <v>130274</v>
      </c>
      <c r="H400" s="9">
        <v>0.11</v>
      </c>
      <c r="I400" s="1" t="s">
        <v>29</v>
      </c>
      <c r="J400" s="1" t="s">
        <v>40</v>
      </c>
      <c r="K400" s="10" t="s">
        <v>36</v>
      </c>
    </row>
    <row r="401" spans="1:11" x14ac:dyDescent="0.3">
      <c r="A401" s="6" t="s">
        <v>78</v>
      </c>
      <c r="B401" s="1" t="s">
        <v>26</v>
      </c>
      <c r="C401" s="1" t="s">
        <v>27</v>
      </c>
      <c r="D401" s="1" t="s">
        <v>33</v>
      </c>
      <c r="E401" s="1">
        <v>37</v>
      </c>
      <c r="F401" s="7">
        <v>42922</v>
      </c>
      <c r="G401" s="8">
        <v>96331</v>
      </c>
      <c r="H401" s="9">
        <v>0</v>
      </c>
      <c r="I401" s="1" t="s">
        <v>34</v>
      </c>
      <c r="J401" s="1" t="s">
        <v>55</v>
      </c>
      <c r="K401" s="10" t="s">
        <v>36</v>
      </c>
    </row>
    <row r="402" spans="1:11" x14ac:dyDescent="0.3">
      <c r="A402" s="6" t="s">
        <v>25</v>
      </c>
      <c r="B402" s="1" t="s">
        <v>38</v>
      </c>
      <c r="C402" s="1" t="s">
        <v>27</v>
      </c>
      <c r="D402" s="1" t="s">
        <v>28</v>
      </c>
      <c r="E402" s="1">
        <v>51</v>
      </c>
      <c r="F402" s="7">
        <v>38835</v>
      </c>
      <c r="G402" s="8">
        <v>150758</v>
      </c>
      <c r="H402" s="9">
        <v>0.13</v>
      </c>
      <c r="I402" s="1" t="s">
        <v>29</v>
      </c>
      <c r="J402" s="1" t="s">
        <v>40</v>
      </c>
      <c r="K402" s="10">
        <v>39310</v>
      </c>
    </row>
    <row r="403" spans="1:11" x14ac:dyDescent="0.3">
      <c r="A403" s="6" t="s">
        <v>37</v>
      </c>
      <c r="B403" s="1" t="s">
        <v>54</v>
      </c>
      <c r="C403" s="1" t="s">
        <v>46</v>
      </c>
      <c r="D403" s="1" t="s">
        <v>33</v>
      </c>
      <c r="E403" s="1">
        <v>46</v>
      </c>
      <c r="F403" s="7">
        <v>41839</v>
      </c>
      <c r="G403" s="8">
        <v>173629</v>
      </c>
      <c r="H403" s="9">
        <v>0.21</v>
      </c>
      <c r="I403" s="1" t="s">
        <v>59</v>
      </c>
      <c r="J403" s="1" t="s">
        <v>76</v>
      </c>
      <c r="K403" s="10" t="s">
        <v>36</v>
      </c>
    </row>
    <row r="404" spans="1:11" x14ac:dyDescent="0.3">
      <c r="A404" s="6" t="s">
        <v>84</v>
      </c>
      <c r="B404" s="1" t="s">
        <v>26</v>
      </c>
      <c r="C404" s="1" t="s">
        <v>46</v>
      </c>
      <c r="D404" s="1" t="s">
        <v>33</v>
      </c>
      <c r="E404" s="1">
        <v>55</v>
      </c>
      <c r="F404" s="7">
        <v>35919</v>
      </c>
      <c r="G404" s="8">
        <v>62174</v>
      </c>
      <c r="H404" s="9">
        <v>0</v>
      </c>
      <c r="I404" s="1" t="s">
        <v>29</v>
      </c>
      <c r="J404" s="1" t="s">
        <v>40</v>
      </c>
      <c r="K404" s="10" t="s">
        <v>36</v>
      </c>
    </row>
    <row r="405" spans="1:11" x14ac:dyDescent="0.3">
      <c r="A405" s="6" t="s">
        <v>66</v>
      </c>
      <c r="B405" s="1" t="s">
        <v>50</v>
      </c>
      <c r="C405" s="1" t="s">
        <v>32</v>
      </c>
      <c r="D405" s="1" t="s">
        <v>33</v>
      </c>
      <c r="E405" s="1">
        <v>43</v>
      </c>
      <c r="F405" s="7">
        <v>43028</v>
      </c>
      <c r="G405" s="8">
        <v>56555</v>
      </c>
      <c r="H405" s="9">
        <v>0</v>
      </c>
      <c r="I405" s="1" t="s">
        <v>29</v>
      </c>
      <c r="J405" s="1" t="s">
        <v>43</v>
      </c>
      <c r="K405" s="10" t="s">
        <v>36</v>
      </c>
    </row>
    <row r="406" spans="1:11" x14ac:dyDescent="0.3">
      <c r="A406" s="6" t="s">
        <v>66</v>
      </c>
      <c r="B406" s="1" t="s">
        <v>57</v>
      </c>
      <c r="C406" s="1" t="s">
        <v>32</v>
      </c>
      <c r="D406" s="1" t="s">
        <v>33</v>
      </c>
      <c r="E406" s="1">
        <v>48</v>
      </c>
      <c r="F406" s="7">
        <v>38623</v>
      </c>
      <c r="G406" s="8">
        <v>74655</v>
      </c>
      <c r="H406" s="9">
        <v>0</v>
      </c>
      <c r="I406" s="1" t="s">
        <v>29</v>
      </c>
      <c r="J406" s="1" t="s">
        <v>51</v>
      </c>
      <c r="K406" s="10" t="s">
        <v>36</v>
      </c>
    </row>
    <row r="407" spans="1:11" x14ac:dyDescent="0.3">
      <c r="A407" s="6" t="s">
        <v>82</v>
      </c>
      <c r="B407" s="1" t="s">
        <v>26</v>
      </c>
      <c r="C407" s="1" t="s">
        <v>46</v>
      </c>
      <c r="D407" s="1" t="s">
        <v>33</v>
      </c>
      <c r="E407" s="1">
        <v>48</v>
      </c>
      <c r="F407" s="7">
        <v>37844</v>
      </c>
      <c r="G407" s="8">
        <v>93017</v>
      </c>
      <c r="H407" s="9">
        <v>0</v>
      </c>
      <c r="I407" s="1" t="s">
        <v>29</v>
      </c>
      <c r="J407" s="1" t="s">
        <v>30</v>
      </c>
      <c r="K407" s="10" t="s">
        <v>36</v>
      </c>
    </row>
    <row r="408" spans="1:11" x14ac:dyDescent="0.3">
      <c r="A408" s="6" t="s">
        <v>42</v>
      </c>
      <c r="B408" s="1" t="s">
        <v>57</v>
      </c>
      <c r="C408" s="1" t="s">
        <v>32</v>
      </c>
      <c r="D408" s="1" t="s">
        <v>33</v>
      </c>
      <c r="E408" s="1">
        <v>51</v>
      </c>
      <c r="F408" s="7">
        <v>41013</v>
      </c>
      <c r="G408" s="8">
        <v>82300</v>
      </c>
      <c r="H408" s="9">
        <v>0</v>
      </c>
      <c r="I408" s="1" t="s">
        <v>34</v>
      </c>
      <c r="J408" s="1" t="s">
        <v>68</v>
      </c>
      <c r="K408" s="10" t="s">
        <v>36</v>
      </c>
    </row>
    <row r="409" spans="1:11" x14ac:dyDescent="0.3">
      <c r="A409" s="6" t="s">
        <v>72</v>
      </c>
      <c r="B409" s="1" t="s">
        <v>54</v>
      </c>
      <c r="C409" s="1" t="s">
        <v>27</v>
      </c>
      <c r="D409" s="1" t="s">
        <v>28</v>
      </c>
      <c r="E409" s="1">
        <v>46</v>
      </c>
      <c r="F409" s="7">
        <v>39471</v>
      </c>
      <c r="G409" s="8">
        <v>91621</v>
      </c>
      <c r="H409" s="9">
        <v>0</v>
      </c>
      <c r="I409" s="1" t="s">
        <v>29</v>
      </c>
      <c r="J409" s="1" t="s">
        <v>40</v>
      </c>
      <c r="K409" s="10" t="s">
        <v>36</v>
      </c>
    </row>
    <row r="410" spans="1:11" x14ac:dyDescent="0.3">
      <c r="A410" s="6" t="s">
        <v>42</v>
      </c>
      <c r="B410" s="1" t="s">
        <v>57</v>
      </c>
      <c r="C410" s="1" t="s">
        <v>27</v>
      </c>
      <c r="D410" s="1" t="s">
        <v>33</v>
      </c>
      <c r="E410" s="1">
        <v>33</v>
      </c>
      <c r="F410" s="7">
        <v>41973</v>
      </c>
      <c r="G410" s="8">
        <v>91280</v>
      </c>
      <c r="H410" s="9">
        <v>0</v>
      </c>
      <c r="I410" s="1" t="s">
        <v>29</v>
      </c>
      <c r="J410" s="1" t="s">
        <v>49</v>
      </c>
      <c r="K410" s="10" t="s">
        <v>36</v>
      </c>
    </row>
    <row r="411" spans="1:11" x14ac:dyDescent="0.3">
      <c r="A411" s="6" t="s">
        <v>74</v>
      </c>
      <c r="B411" s="1" t="s">
        <v>52</v>
      </c>
      <c r="C411" s="1" t="s">
        <v>32</v>
      </c>
      <c r="D411" s="1" t="s">
        <v>28</v>
      </c>
      <c r="E411" s="1">
        <v>42</v>
      </c>
      <c r="F411" s="7">
        <v>44092</v>
      </c>
      <c r="G411" s="8">
        <v>47071</v>
      </c>
      <c r="H411" s="9">
        <v>0</v>
      </c>
      <c r="I411" s="1" t="s">
        <v>29</v>
      </c>
      <c r="J411" s="1" t="s">
        <v>58</v>
      </c>
      <c r="K411" s="10" t="s">
        <v>36</v>
      </c>
    </row>
    <row r="412" spans="1:11" x14ac:dyDescent="0.3">
      <c r="A412" s="6" t="s">
        <v>85</v>
      </c>
      <c r="B412" s="1" t="s">
        <v>26</v>
      </c>
      <c r="C412" s="1" t="s">
        <v>32</v>
      </c>
      <c r="D412" s="1" t="s">
        <v>28</v>
      </c>
      <c r="E412" s="1">
        <v>55</v>
      </c>
      <c r="F412" s="7">
        <v>40868</v>
      </c>
      <c r="G412" s="8">
        <v>81218</v>
      </c>
      <c r="H412" s="9">
        <v>0</v>
      </c>
      <c r="I412" s="1" t="s">
        <v>29</v>
      </c>
      <c r="J412" s="1" t="s">
        <v>40</v>
      </c>
      <c r="K412" s="10" t="s">
        <v>36</v>
      </c>
    </row>
    <row r="413" spans="1:11" x14ac:dyDescent="0.3">
      <c r="A413" s="6" t="s">
        <v>56</v>
      </c>
      <c r="B413" s="1" t="s">
        <v>54</v>
      </c>
      <c r="C413" s="1" t="s">
        <v>32</v>
      </c>
      <c r="D413" s="1" t="s">
        <v>28</v>
      </c>
      <c r="E413" s="1">
        <v>50</v>
      </c>
      <c r="F413" s="7">
        <v>39734</v>
      </c>
      <c r="G413" s="8">
        <v>181801</v>
      </c>
      <c r="H413" s="9">
        <v>0.4</v>
      </c>
      <c r="I413" s="1" t="s">
        <v>34</v>
      </c>
      <c r="J413" s="1" t="s">
        <v>35</v>
      </c>
      <c r="K413" s="10">
        <v>43810</v>
      </c>
    </row>
    <row r="414" spans="1:11" x14ac:dyDescent="0.3">
      <c r="A414" s="6" t="s">
        <v>44</v>
      </c>
      <c r="B414" s="1" t="s">
        <v>45</v>
      </c>
      <c r="C414" s="1" t="s">
        <v>32</v>
      </c>
      <c r="D414" s="1" t="s">
        <v>28</v>
      </c>
      <c r="E414" s="1">
        <v>26</v>
      </c>
      <c r="F414" s="7">
        <v>44521</v>
      </c>
      <c r="G414" s="8">
        <v>63137</v>
      </c>
      <c r="H414" s="9">
        <v>0</v>
      </c>
      <c r="I414" s="1" t="s">
        <v>29</v>
      </c>
      <c r="J414" s="1" t="s">
        <v>40</v>
      </c>
      <c r="K414" s="10" t="s">
        <v>36</v>
      </c>
    </row>
    <row r="415" spans="1:11" x14ac:dyDescent="0.3">
      <c r="A415" s="6" t="s">
        <v>56</v>
      </c>
      <c r="B415" s="1" t="s">
        <v>54</v>
      </c>
      <c r="C415" s="1" t="s">
        <v>32</v>
      </c>
      <c r="D415" s="1" t="s">
        <v>28</v>
      </c>
      <c r="E415" s="1">
        <v>55</v>
      </c>
      <c r="F415" s="7">
        <v>43345</v>
      </c>
      <c r="G415" s="8">
        <v>221465</v>
      </c>
      <c r="H415" s="9">
        <v>0.34</v>
      </c>
      <c r="I415" s="1" t="s">
        <v>34</v>
      </c>
      <c r="J415" s="1" t="s">
        <v>68</v>
      </c>
      <c r="K415" s="10" t="s">
        <v>36</v>
      </c>
    </row>
    <row r="416" spans="1:11" x14ac:dyDescent="0.3">
      <c r="A416" s="6" t="s">
        <v>62</v>
      </c>
      <c r="B416" s="1" t="s">
        <v>54</v>
      </c>
      <c r="C416" s="1" t="s">
        <v>27</v>
      </c>
      <c r="D416" s="1" t="s">
        <v>28</v>
      </c>
      <c r="E416" s="1">
        <v>50</v>
      </c>
      <c r="F416" s="7">
        <v>41404</v>
      </c>
      <c r="G416" s="8">
        <v>79388</v>
      </c>
      <c r="H416" s="9">
        <v>0</v>
      </c>
      <c r="I416" s="1" t="s">
        <v>29</v>
      </c>
      <c r="J416" s="1" t="s">
        <v>51</v>
      </c>
      <c r="K416" s="10">
        <v>43681</v>
      </c>
    </row>
    <row r="417" spans="1:11" x14ac:dyDescent="0.3">
      <c r="A417" s="6" t="s">
        <v>84</v>
      </c>
      <c r="B417" s="1" t="s">
        <v>26</v>
      </c>
      <c r="C417" s="1" t="s">
        <v>32</v>
      </c>
      <c r="D417" s="1" t="s">
        <v>28</v>
      </c>
      <c r="E417" s="1">
        <v>28</v>
      </c>
      <c r="F417" s="7">
        <v>43122</v>
      </c>
      <c r="G417" s="8">
        <v>68176</v>
      </c>
      <c r="H417" s="9">
        <v>0</v>
      </c>
      <c r="I417" s="1" t="s">
        <v>29</v>
      </c>
      <c r="J417" s="1" t="s">
        <v>30</v>
      </c>
      <c r="K417" s="10" t="s">
        <v>36</v>
      </c>
    </row>
    <row r="418" spans="1:11" x14ac:dyDescent="0.3">
      <c r="A418" s="6" t="s">
        <v>25</v>
      </c>
      <c r="B418" s="1" t="s">
        <v>38</v>
      </c>
      <c r="C418" s="1" t="s">
        <v>27</v>
      </c>
      <c r="D418" s="1" t="s">
        <v>28</v>
      </c>
      <c r="E418" s="1">
        <v>39</v>
      </c>
      <c r="F418" s="7">
        <v>43756</v>
      </c>
      <c r="G418" s="8">
        <v>122829</v>
      </c>
      <c r="H418" s="9">
        <v>0.11</v>
      </c>
      <c r="I418" s="1" t="s">
        <v>29</v>
      </c>
      <c r="J418" s="1" t="s">
        <v>40</v>
      </c>
      <c r="K418" s="10" t="s">
        <v>36</v>
      </c>
    </row>
    <row r="419" spans="1:11" x14ac:dyDescent="0.3">
      <c r="A419" s="6" t="s">
        <v>25</v>
      </c>
      <c r="B419" s="1" t="s">
        <v>57</v>
      </c>
      <c r="C419" s="1" t="s">
        <v>39</v>
      </c>
      <c r="D419" s="1" t="s">
        <v>28</v>
      </c>
      <c r="E419" s="1">
        <v>31</v>
      </c>
      <c r="F419" s="7">
        <v>43695</v>
      </c>
      <c r="G419" s="8">
        <v>126353</v>
      </c>
      <c r="H419" s="9">
        <v>0.12</v>
      </c>
      <c r="I419" s="1" t="s">
        <v>34</v>
      </c>
      <c r="J419" s="1" t="s">
        <v>55</v>
      </c>
      <c r="K419" s="10" t="s">
        <v>36</v>
      </c>
    </row>
    <row r="420" spans="1:11" x14ac:dyDescent="0.3">
      <c r="A420" s="6" t="s">
        <v>37</v>
      </c>
      <c r="B420" s="1" t="s">
        <v>50</v>
      </c>
      <c r="C420" s="1" t="s">
        <v>39</v>
      </c>
      <c r="D420" s="1" t="s">
        <v>28</v>
      </c>
      <c r="E420" s="1">
        <v>55</v>
      </c>
      <c r="F420" s="7">
        <v>40468</v>
      </c>
      <c r="G420" s="8">
        <v>188727</v>
      </c>
      <c r="H420" s="9">
        <v>0.23</v>
      </c>
      <c r="I420" s="1" t="s">
        <v>34</v>
      </c>
      <c r="J420" s="1" t="s">
        <v>68</v>
      </c>
      <c r="K420" s="10" t="s">
        <v>36</v>
      </c>
    </row>
    <row r="421" spans="1:11" x14ac:dyDescent="0.3">
      <c r="A421" s="6" t="s">
        <v>42</v>
      </c>
      <c r="B421" s="1" t="s">
        <v>45</v>
      </c>
      <c r="C421" s="1" t="s">
        <v>27</v>
      </c>
      <c r="D421" s="1" t="s">
        <v>33</v>
      </c>
      <c r="E421" s="1">
        <v>52</v>
      </c>
      <c r="F421" s="7">
        <v>34383</v>
      </c>
      <c r="G421" s="8">
        <v>99624</v>
      </c>
      <c r="H421" s="9">
        <v>0</v>
      </c>
      <c r="I421" s="1" t="s">
        <v>29</v>
      </c>
      <c r="J421" s="1" t="s">
        <v>30</v>
      </c>
      <c r="K421" s="10" t="s">
        <v>36</v>
      </c>
    </row>
    <row r="422" spans="1:11" x14ac:dyDescent="0.3">
      <c r="A422" s="6" t="s">
        <v>47</v>
      </c>
      <c r="B422" s="1" t="s">
        <v>45</v>
      </c>
      <c r="C422" s="1" t="s">
        <v>39</v>
      </c>
      <c r="D422" s="1" t="s">
        <v>28</v>
      </c>
      <c r="E422" s="1">
        <v>55</v>
      </c>
      <c r="F422" s="7">
        <v>41202</v>
      </c>
      <c r="G422" s="8">
        <v>108686</v>
      </c>
      <c r="H422" s="9">
        <v>0.06</v>
      </c>
      <c r="I422" s="1" t="s">
        <v>29</v>
      </c>
      <c r="J422" s="1" t="s">
        <v>58</v>
      </c>
      <c r="K422" s="10" t="s">
        <v>36</v>
      </c>
    </row>
    <row r="423" spans="1:11" x14ac:dyDescent="0.3">
      <c r="A423" s="6" t="s">
        <v>48</v>
      </c>
      <c r="B423" s="1" t="s">
        <v>50</v>
      </c>
      <c r="C423" s="1" t="s">
        <v>46</v>
      </c>
      <c r="D423" s="1" t="s">
        <v>28</v>
      </c>
      <c r="E423" s="1">
        <v>56</v>
      </c>
      <c r="F423" s="7">
        <v>34802</v>
      </c>
      <c r="G423" s="8">
        <v>50857</v>
      </c>
      <c r="H423" s="9">
        <v>0</v>
      </c>
      <c r="I423" s="1" t="s">
        <v>59</v>
      </c>
      <c r="J423" s="1" t="s">
        <v>60</v>
      </c>
      <c r="K423" s="10" t="s">
        <v>36</v>
      </c>
    </row>
    <row r="424" spans="1:11" x14ac:dyDescent="0.3">
      <c r="A424" s="6" t="s">
        <v>73</v>
      </c>
      <c r="B424" s="1" t="s">
        <v>54</v>
      </c>
      <c r="C424" s="1" t="s">
        <v>32</v>
      </c>
      <c r="D424" s="1" t="s">
        <v>33</v>
      </c>
      <c r="E424" s="1">
        <v>47</v>
      </c>
      <c r="F424" s="7">
        <v>36893</v>
      </c>
      <c r="G424" s="8">
        <v>120628</v>
      </c>
      <c r="H424" s="9">
        <v>0</v>
      </c>
      <c r="I424" s="1" t="s">
        <v>29</v>
      </c>
      <c r="J424" s="1" t="s">
        <v>40</v>
      </c>
      <c r="K424" s="10" t="s">
        <v>36</v>
      </c>
    </row>
    <row r="425" spans="1:11" x14ac:dyDescent="0.3">
      <c r="A425" s="6" t="s">
        <v>37</v>
      </c>
      <c r="B425" s="1" t="s">
        <v>45</v>
      </c>
      <c r="C425" s="1" t="s">
        <v>39</v>
      </c>
      <c r="D425" s="1" t="s">
        <v>28</v>
      </c>
      <c r="E425" s="1">
        <v>63</v>
      </c>
      <c r="F425" s="7">
        <v>43996</v>
      </c>
      <c r="G425" s="8">
        <v>181216</v>
      </c>
      <c r="H425" s="9">
        <v>0.27</v>
      </c>
      <c r="I425" s="1" t="s">
        <v>29</v>
      </c>
      <c r="J425" s="1" t="s">
        <v>58</v>
      </c>
      <c r="K425" s="10" t="s">
        <v>36</v>
      </c>
    </row>
    <row r="426" spans="1:11" x14ac:dyDescent="0.3">
      <c r="A426" s="6" t="s">
        <v>48</v>
      </c>
      <c r="B426" s="1" t="s">
        <v>38</v>
      </c>
      <c r="C426" s="1" t="s">
        <v>46</v>
      </c>
      <c r="D426" s="1" t="s">
        <v>28</v>
      </c>
      <c r="E426" s="1">
        <v>63</v>
      </c>
      <c r="F426" s="7">
        <v>40984</v>
      </c>
      <c r="G426" s="8">
        <v>46081</v>
      </c>
      <c r="H426" s="9">
        <v>0</v>
      </c>
      <c r="I426" s="1" t="s">
        <v>29</v>
      </c>
      <c r="J426" s="1" t="s">
        <v>40</v>
      </c>
      <c r="K426" s="10" t="s">
        <v>36</v>
      </c>
    </row>
    <row r="427" spans="1:11" x14ac:dyDescent="0.3">
      <c r="A427" s="6" t="s">
        <v>25</v>
      </c>
      <c r="B427" s="1" t="s">
        <v>50</v>
      </c>
      <c r="C427" s="1" t="s">
        <v>46</v>
      </c>
      <c r="D427" s="1" t="s">
        <v>28</v>
      </c>
      <c r="E427" s="1">
        <v>55</v>
      </c>
      <c r="F427" s="7">
        <v>38135</v>
      </c>
      <c r="G427" s="8">
        <v>159885</v>
      </c>
      <c r="H427" s="9">
        <v>0.12</v>
      </c>
      <c r="I427" s="1" t="s">
        <v>29</v>
      </c>
      <c r="J427" s="1" t="s">
        <v>58</v>
      </c>
      <c r="K427" s="10" t="s">
        <v>36</v>
      </c>
    </row>
    <row r="428" spans="1:11" x14ac:dyDescent="0.3">
      <c r="A428" s="6" t="s">
        <v>37</v>
      </c>
      <c r="B428" s="1" t="s">
        <v>45</v>
      </c>
      <c r="C428" s="1" t="s">
        <v>32</v>
      </c>
      <c r="D428" s="1" t="s">
        <v>28</v>
      </c>
      <c r="E428" s="1">
        <v>55</v>
      </c>
      <c r="F428" s="7">
        <v>35001</v>
      </c>
      <c r="G428" s="8">
        <v>153271</v>
      </c>
      <c r="H428" s="9">
        <v>0.15</v>
      </c>
      <c r="I428" s="1" t="s">
        <v>29</v>
      </c>
      <c r="J428" s="1" t="s">
        <v>51</v>
      </c>
      <c r="K428" s="10" t="s">
        <v>36</v>
      </c>
    </row>
    <row r="429" spans="1:11" x14ac:dyDescent="0.3">
      <c r="A429" s="6" t="s">
        <v>47</v>
      </c>
      <c r="B429" s="1" t="s">
        <v>52</v>
      </c>
      <c r="C429" s="1" t="s">
        <v>32</v>
      </c>
      <c r="D429" s="1" t="s">
        <v>33</v>
      </c>
      <c r="E429" s="1">
        <v>42</v>
      </c>
      <c r="F429" s="7">
        <v>40159</v>
      </c>
      <c r="G429" s="8">
        <v>114242</v>
      </c>
      <c r="H429" s="9">
        <v>0.08</v>
      </c>
      <c r="I429" s="1" t="s">
        <v>29</v>
      </c>
      <c r="J429" s="1" t="s">
        <v>43</v>
      </c>
      <c r="K429" s="10" t="s">
        <v>36</v>
      </c>
    </row>
    <row r="430" spans="1:11" x14ac:dyDescent="0.3">
      <c r="A430" s="6" t="s">
        <v>65</v>
      </c>
      <c r="B430" s="1" t="s">
        <v>26</v>
      </c>
      <c r="C430" s="1" t="s">
        <v>39</v>
      </c>
      <c r="D430" s="1" t="s">
        <v>28</v>
      </c>
      <c r="E430" s="1">
        <v>39</v>
      </c>
      <c r="F430" s="7">
        <v>44153</v>
      </c>
      <c r="G430" s="8">
        <v>48415</v>
      </c>
      <c r="H430" s="9">
        <v>0</v>
      </c>
      <c r="I430" s="1" t="s">
        <v>34</v>
      </c>
      <c r="J430" s="1" t="s">
        <v>55</v>
      </c>
      <c r="K430" s="10" t="s">
        <v>36</v>
      </c>
    </row>
    <row r="431" spans="1:11" x14ac:dyDescent="0.3">
      <c r="A431" s="6" t="s">
        <v>80</v>
      </c>
      <c r="B431" s="1" t="s">
        <v>54</v>
      </c>
      <c r="C431" s="1" t="s">
        <v>32</v>
      </c>
      <c r="D431" s="1" t="s">
        <v>33</v>
      </c>
      <c r="E431" s="1">
        <v>35</v>
      </c>
      <c r="F431" s="7">
        <v>42878</v>
      </c>
      <c r="G431" s="8">
        <v>65566</v>
      </c>
      <c r="H431" s="9">
        <v>0</v>
      </c>
      <c r="I431" s="1" t="s">
        <v>29</v>
      </c>
      <c r="J431" s="1" t="s">
        <v>30</v>
      </c>
      <c r="K431" s="10" t="s">
        <v>36</v>
      </c>
    </row>
    <row r="432" spans="1:11" x14ac:dyDescent="0.3">
      <c r="A432" s="6" t="s">
        <v>25</v>
      </c>
      <c r="B432" s="1" t="s">
        <v>57</v>
      </c>
      <c r="C432" s="1" t="s">
        <v>27</v>
      </c>
      <c r="D432" s="1" t="s">
        <v>33</v>
      </c>
      <c r="E432" s="1">
        <v>45</v>
      </c>
      <c r="F432" s="7">
        <v>37014</v>
      </c>
      <c r="G432" s="8">
        <v>147752</v>
      </c>
      <c r="H432" s="9">
        <v>0.12</v>
      </c>
      <c r="I432" s="1" t="s">
        <v>34</v>
      </c>
      <c r="J432" s="1" t="s">
        <v>55</v>
      </c>
      <c r="K432" s="10">
        <v>40903</v>
      </c>
    </row>
    <row r="433" spans="1:11" x14ac:dyDescent="0.3">
      <c r="A433" s="6" t="s">
        <v>25</v>
      </c>
      <c r="B433" s="1" t="s">
        <v>57</v>
      </c>
      <c r="C433" s="1" t="s">
        <v>32</v>
      </c>
      <c r="D433" s="1" t="s">
        <v>28</v>
      </c>
      <c r="E433" s="1">
        <v>25</v>
      </c>
      <c r="F433" s="7">
        <v>44453</v>
      </c>
      <c r="G433" s="8">
        <v>136810</v>
      </c>
      <c r="H433" s="9">
        <v>0.14000000000000001</v>
      </c>
      <c r="I433" s="1" t="s">
        <v>34</v>
      </c>
      <c r="J433" s="1" t="s">
        <v>35</v>
      </c>
      <c r="K433" s="10" t="s">
        <v>36</v>
      </c>
    </row>
    <row r="434" spans="1:11" x14ac:dyDescent="0.3">
      <c r="A434" s="6" t="s">
        <v>48</v>
      </c>
      <c r="B434" s="1" t="s">
        <v>45</v>
      </c>
      <c r="C434" s="1" t="s">
        <v>46</v>
      </c>
      <c r="D434" s="1" t="s">
        <v>33</v>
      </c>
      <c r="E434" s="1">
        <v>47</v>
      </c>
      <c r="F434" s="7">
        <v>41333</v>
      </c>
      <c r="G434" s="8">
        <v>54635</v>
      </c>
      <c r="H434" s="9">
        <v>0</v>
      </c>
      <c r="I434" s="1" t="s">
        <v>29</v>
      </c>
      <c r="J434" s="1" t="s">
        <v>40</v>
      </c>
      <c r="K434" s="10" t="s">
        <v>36</v>
      </c>
    </row>
    <row r="435" spans="1:11" x14ac:dyDescent="0.3">
      <c r="A435" s="6" t="s">
        <v>75</v>
      </c>
      <c r="B435" s="1" t="s">
        <v>26</v>
      </c>
      <c r="C435" s="1" t="s">
        <v>46</v>
      </c>
      <c r="D435" s="1" t="s">
        <v>28</v>
      </c>
      <c r="E435" s="1">
        <v>42</v>
      </c>
      <c r="F435" s="7">
        <v>43866</v>
      </c>
      <c r="G435" s="8">
        <v>96636</v>
      </c>
      <c r="H435" s="9">
        <v>0</v>
      </c>
      <c r="I435" s="1" t="s">
        <v>29</v>
      </c>
      <c r="J435" s="1" t="s">
        <v>58</v>
      </c>
      <c r="K435" s="10" t="s">
        <v>36</v>
      </c>
    </row>
    <row r="436" spans="1:11" x14ac:dyDescent="0.3">
      <c r="A436" s="6" t="s">
        <v>82</v>
      </c>
      <c r="B436" s="1" t="s">
        <v>26</v>
      </c>
      <c r="C436" s="1" t="s">
        <v>32</v>
      </c>
      <c r="D436" s="1" t="s">
        <v>28</v>
      </c>
      <c r="E436" s="1">
        <v>35</v>
      </c>
      <c r="F436" s="7">
        <v>41941</v>
      </c>
      <c r="G436" s="8">
        <v>91592</v>
      </c>
      <c r="H436" s="9">
        <v>0</v>
      </c>
      <c r="I436" s="1" t="s">
        <v>29</v>
      </c>
      <c r="J436" s="1" t="s">
        <v>40</v>
      </c>
      <c r="K436" s="10" t="s">
        <v>36</v>
      </c>
    </row>
    <row r="437" spans="1:11" x14ac:dyDescent="0.3">
      <c r="A437" s="6" t="s">
        <v>74</v>
      </c>
      <c r="B437" s="1" t="s">
        <v>52</v>
      </c>
      <c r="C437" s="1" t="s">
        <v>27</v>
      </c>
      <c r="D437" s="1" t="s">
        <v>28</v>
      </c>
      <c r="E437" s="1">
        <v>45</v>
      </c>
      <c r="F437" s="7">
        <v>36755</v>
      </c>
      <c r="G437" s="8">
        <v>55563</v>
      </c>
      <c r="H437" s="9">
        <v>0</v>
      </c>
      <c r="I437" s="1" t="s">
        <v>34</v>
      </c>
      <c r="J437" s="1" t="s">
        <v>68</v>
      </c>
      <c r="K437" s="10" t="s">
        <v>36</v>
      </c>
    </row>
    <row r="438" spans="1:11" x14ac:dyDescent="0.3">
      <c r="A438" s="6" t="s">
        <v>37</v>
      </c>
      <c r="B438" s="1" t="s">
        <v>26</v>
      </c>
      <c r="C438" s="1" t="s">
        <v>27</v>
      </c>
      <c r="D438" s="1" t="s">
        <v>28</v>
      </c>
      <c r="E438" s="1">
        <v>52</v>
      </c>
      <c r="F438" s="7">
        <v>35109</v>
      </c>
      <c r="G438" s="8">
        <v>159724</v>
      </c>
      <c r="H438" s="9">
        <v>0.23</v>
      </c>
      <c r="I438" s="1" t="s">
        <v>34</v>
      </c>
      <c r="J438" s="1" t="s">
        <v>64</v>
      </c>
      <c r="K438" s="10" t="s">
        <v>36</v>
      </c>
    </row>
    <row r="439" spans="1:11" x14ac:dyDescent="0.3">
      <c r="A439" s="6" t="s">
        <v>56</v>
      </c>
      <c r="B439" s="1" t="s">
        <v>57</v>
      </c>
      <c r="C439" s="1" t="s">
        <v>46</v>
      </c>
      <c r="D439" s="1" t="s">
        <v>33</v>
      </c>
      <c r="E439" s="1">
        <v>57</v>
      </c>
      <c r="F439" s="7">
        <v>42951</v>
      </c>
      <c r="G439" s="8">
        <v>183190</v>
      </c>
      <c r="H439" s="9">
        <v>0.36</v>
      </c>
      <c r="I439" s="1" t="s">
        <v>29</v>
      </c>
      <c r="J439" s="1" t="s">
        <v>40</v>
      </c>
      <c r="K439" s="10" t="s">
        <v>36</v>
      </c>
    </row>
    <row r="440" spans="1:11" x14ac:dyDescent="0.3">
      <c r="A440" s="6" t="s">
        <v>48</v>
      </c>
      <c r="B440" s="1" t="s">
        <v>50</v>
      </c>
      <c r="C440" s="1" t="s">
        <v>39</v>
      </c>
      <c r="D440" s="1" t="s">
        <v>28</v>
      </c>
      <c r="E440" s="1">
        <v>56</v>
      </c>
      <c r="F440" s="7">
        <v>43824</v>
      </c>
      <c r="G440" s="8">
        <v>54829</v>
      </c>
      <c r="H440" s="9">
        <v>0</v>
      </c>
      <c r="I440" s="1" t="s">
        <v>29</v>
      </c>
      <c r="J440" s="1" t="s">
        <v>43</v>
      </c>
      <c r="K440" s="10" t="s">
        <v>36</v>
      </c>
    </row>
    <row r="441" spans="1:11" x14ac:dyDescent="0.3">
      <c r="A441" s="6" t="s">
        <v>62</v>
      </c>
      <c r="B441" s="1" t="s">
        <v>54</v>
      </c>
      <c r="C441" s="1" t="s">
        <v>46</v>
      </c>
      <c r="D441" s="1" t="s">
        <v>33</v>
      </c>
      <c r="E441" s="1">
        <v>46</v>
      </c>
      <c r="F441" s="7">
        <v>38464</v>
      </c>
      <c r="G441" s="8">
        <v>96639</v>
      </c>
      <c r="H441" s="9">
        <v>0</v>
      </c>
      <c r="I441" s="1" t="s">
        <v>59</v>
      </c>
      <c r="J441" s="1" t="s">
        <v>61</v>
      </c>
      <c r="K441" s="10" t="s">
        <v>36</v>
      </c>
    </row>
    <row r="442" spans="1:11" x14ac:dyDescent="0.3">
      <c r="A442" s="6" t="s">
        <v>47</v>
      </c>
      <c r="B442" s="1" t="s">
        <v>57</v>
      </c>
      <c r="C442" s="1" t="s">
        <v>39</v>
      </c>
      <c r="D442" s="1" t="s">
        <v>28</v>
      </c>
      <c r="E442" s="1">
        <v>43</v>
      </c>
      <c r="F442" s="7">
        <v>38879</v>
      </c>
      <c r="G442" s="8">
        <v>117278</v>
      </c>
      <c r="H442" s="9">
        <v>0.09</v>
      </c>
      <c r="I442" s="1" t="s">
        <v>29</v>
      </c>
      <c r="J442" s="1" t="s">
        <v>49</v>
      </c>
      <c r="K442" s="10" t="s">
        <v>36</v>
      </c>
    </row>
    <row r="443" spans="1:11" x14ac:dyDescent="0.3">
      <c r="A443" s="6" t="s">
        <v>41</v>
      </c>
      <c r="B443" s="1" t="s">
        <v>26</v>
      </c>
      <c r="C443" s="1" t="s">
        <v>39</v>
      </c>
      <c r="D443" s="1" t="s">
        <v>33</v>
      </c>
      <c r="E443" s="1">
        <v>53</v>
      </c>
      <c r="F443" s="7">
        <v>39487</v>
      </c>
      <c r="G443" s="8">
        <v>84193</v>
      </c>
      <c r="H443" s="9">
        <v>0.09</v>
      </c>
      <c r="I443" s="1" t="s">
        <v>34</v>
      </c>
      <c r="J443" s="1" t="s">
        <v>55</v>
      </c>
      <c r="K443" s="10" t="s">
        <v>36</v>
      </c>
    </row>
    <row r="444" spans="1:11" x14ac:dyDescent="0.3">
      <c r="A444" s="6" t="s">
        <v>87</v>
      </c>
      <c r="B444" s="1" t="s">
        <v>26</v>
      </c>
      <c r="C444" s="1" t="s">
        <v>32</v>
      </c>
      <c r="D444" s="1" t="s">
        <v>28</v>
      </c>
      <c r="E444" s="1">
        <v>47</v>
      </c>
      <c r="F444" s="7">
        <v>43309</v>
      </c>
      <c r="G444" s="8">
        <v>87806</v>
      </c>
      <c r="H444" s="9">
        <v>0</v>
      </c>
      <c r="I444" s="1" t="s">
        <v>29</v>
      </c>
      <c r="J444" s="1" t="s">
        <v>30</v>
      </c>
      <c r="K444" s="10" t="s">
        <v>36</v>
      </c>
    </row>
    <row r="445" spans="1:11" x14ac:dyDescent="0.3">
      <c r="A445" s="6" t="s">
        <v>77</v>
      </c>
      <c r="B445" s="1" t="s">
        <v>54</v>
      </c>
      <c r="C445" s="1" t="s">
        <v>27</v>
      </c>
      <c r="D445" s="1" t="s">
        <v>33</v>
      </c>
      <c r="E445" s="1">
        <v>62</v>
      </c>
      <c r="F445" s="7">
        <v>40820</v>
      </c>
      <c r="G445" s="8">
        <v>63959</v>
      </c>
      <c r="H445" s="9">
        <v>0</v>
      </c>
      <c r="I445" s="1" t="s">
        <v>29</v>
      </c>
      <c r="J445" s="1" t="s">
        <v>30</v>
      </c>
      <c r="K445" s="10" t="s">
        <v>36</v>
      </c>
    </row>
    <row r="446" spans="1:11" x14ac:dyDescent="0.3">
      <c r="A446" s="6" t="s">
        <v>56</v>
      </c>
      <c r="B446" s="1" t="s">
        <v>26</v>
      </c>
      <c r="C446" s="1" t="s">
        <v>27</v>
      </c>
      <c r="D446" s="1" t="s">
        <v>33</v>
      </c>
      <c r="E446" s="1">
        <v>35</v>
      </c>
      <c r="F446" s="7">
        <v>42166</v>
      </c>
      <c r="G446" s="8">
        <v>234723</v>
      </c>
      <c r="H446" s="9">
        <v>0.36</v>
      </c>
      <c r="I446" s="1" t="s">
        <v>34</v>
      </c>
      <c r="J446" s="1" t="s">
        <v>55</v>
      </c>
      <c r="K446" s="10" t="s">
        <v>36</v>
      </c>
    </row>
    <row r="447" spans="1:11" x14ac:dyDescent="0.3">
      <c r="A447" s="6" t="s">
        <v>48</v>
      </c>
      <c r="B447" s="1" t="s">
        <v>50</v>
      </c>
      <c r="C447" s="1" t="s">
        <v>46</v>
      </c>
      <c r="D447" s="1" t="s">
        <v>28</v>
      </c>
      <c r="E447" s="1">
        <v>27</v>
      </c>
      <c r="F447" s="7">
        <v>43701</v>
      </c>
      <c r="G447" s="8">
        <v>50809</v>
      </c>
      <c r="H447" s="9">
        <v>0</v>
      </c>
      <c r="I447" s="1" t="s">
        <v>34</v>
      </c>
      <c r="J447" s="1" t="s">
        <v>35</v>
      </c>
      <c r="K447" s="10" t="s">
        <v>36</v>
      </c>
    </row>
    <row r="448" spans="1:11" x14ac:dyDescent="0.3">
      <c r="A448" s="6" t="s">
        <v>42</v>
      </c>
      <c r="B448" s="1" t="s">
        <v>38</v>
      </c>
      <c r="C448" s="1" t="s">
        <v>32</v>
      </c>
      <c r="D448" s="1" t="s">
        <v>33</v>
      </c>
      <c r="E448" s="1">
        <v>55</v>
      </c>
      <c r="F448" s="7">
        <v>37456</v>
      </c>
      <c r="G448" s="8">
        <v>77396</v>
      </c>
      <c r="H448" s="9">
        <v>0</v>
      </c>
      <c r="I448" s="1" t="s">
        <v>29</v>
      </c>
      <c r="J448" s="1" t="s">
        <v>49</v>
      </c>
      <c r="K448" s="10" t="s">
        <v>36</v>
      </c>
    </row>
    <row r="449" spans="1:11" x14ac:dyDescent="0.3">
      <c r="A449" s="6" t="s">
        <v>42</v>
      </c>
      <c r="B449" s="1" t="s">
        <v>38</v>
      </c>
      <c r="C449" s="1" t="s">
        <v>39</v>
      </c>
      <c r="D449" s="1" t="s">
        <v>28</v>
      </c>
      <c r="E449" s="1">
        <v>63</v>
      </c>
      <c r="F449" s="7">
        <v>36525</v>
      </c>
      <c r="G449" s="8">
        <v>89523</v>
      </c>
      <c r="H449" s="9">
        <v>0</v>
      </c>
      <c r="I449" s="1" t="s">
        <v>29</v>
      </c>
      <c r="J449" s="1" t="s">
        <v>43</v>
      </c>
      <c r="K449" s="10" t="s">
        <v>36</v>
      </c>
    </row>
    <row r="450" spans="1:11" x14ac:dyDescent="0.3">
      <c r="A450" s="6" t="s">
        <v>75</v>
      </c>
      <c r="B450" s="1" t="s">
        <v>26</v>
      </c>
      <c r="C450" s="1" t="s">
        <v>46</v>
      </c>
      <c r="D450" s="1" t="s">
        <v>28</v>
      </c>
      <c r="E450" s="1">
        <v>53</v>
      </c>
      <c r="F450" s="7">
        <v>40744</v>
      </c>
      <c r="G450" s="8">
        <v>86173</v>
      </c>
      <c r="H450" s="9">
        <v>0</v>
      </c>
      <c r="I450" s="1" t="s">
        <v>34</v>
      </c>
      <c r="J450" s="1" t="s">
        <v>35</v>
      </c>
      <c r="K450" s="10" t="s">
        <v>36</v>
      </c>
    </row>
    <row r="451" spans="1:11" x14ac:dyDescent="0.3">
      <c r="A451" s="6" t="s">
        <v>56</v>
      </c>
      <c r="B451" s="1" t="s">
        <v>45</v>
      </c>
      <c r="C451" s="1" t="s">
        <v>32</v>
      </c>
      <c r="D451" s="1" t="s">
        <v>28</v>
      </c>
      <c r="E451" s="1">
        <v>54</v>
      </c>
      <c r="F451" s="7">
        <v>36757</v>
      </c>
      <c r="G451" s="8">
        <v>222224</v>
      </c>
      <c r="H451" s="9">
        <v>0.38</v>
      </c>
      <c r="I451" s="1" t="s">
        <v>29</v>
      </c>
      <c r="J451" s="1" t="s">
        <v>58</v>
      </c>
      <c r="K451" s="10" t="s">
        <v>36</v>
      </c>
    </row>
    <row r="452" spans="1:11" x14ac:dyDescent="0.3">
      <c r="A452" s="6" t="s">
        <v>25</v>
      </c>
      <c r="B452" s="1" t="s">
        <v>38</v>
      </c>
      <c r="C452" s="1" t="s">
        <v>27</v>
      </c>
      <c r="D452" s="1" t="s">
        <v>33</v>
      </c>
      <c r="E452" s="1">
        <v>43</v>
      </c>
      <c r="F452" s="7">
        <v>44303</v>
      </c>
      <c r="G452" s="8">
        <v>146140</v>
      </c>
      <c r="H452" s="9">
        <v>0.15</v>
      </c>
      <c r="I452" s="1" t="s">
        <v>29</v>
      </c>
      <c r="J452" s="1" t="s">
        <v>30</v>
      </c>
      <c r="K452" s="10" t="s">
        <v>36</v>
      </c>
    </row>
    <row r="453" spans="1:11" x14ac:dyDescent="0.3">
      <c r="A453" s="6" t="s">
        <v>63</v>
      </c>
      <c r="B453" s="1" t="s">
        <v>54</v>
      </c>
      <c r="C453" s="1" t="s">
        <v>39</v>
      </c>
      <c r="D453" s="1" t="s">
        <v>28</v>
      </c>
      <c r="E453" s="1">
        <v>64</v>
      </c>
      <c r="F453" s="7">
        <v>34505</v>
      </c>
      <c r="G453" s="8">
        <v>109456</v>
      </c>
      <c r="H453" s="9">
        <v>0.1</v>
      </c>
      <c r="I453" s="1" t="s">
        <v>29</v>
      </c>
      <c r="J453" s="1" t="s">
        <v>40</v>
      </c>
      <c r="K453" s="10" t="s">
        <v>36</v>
      </c>
    </row>
    <row r="454" spans="1:11" x14ac:dyDescent="0.3">
      <c r="A454" s="6" t="s">
        <v>37</v>
      </c>
      <c r="B454" s="1" t="s">
        <v>38</v>
      </c>
      <c r="C454" s="1" t="s">
        <v>27</v>
      </c>
      <c r="D454" s="1" t="s">
        <v>28</v>
      </c>
      <c r="E454" s="1">
        <v>65</v>
      </c>
      <c r="F454" s="7">
        <v>39728</v>
      </c>
      <c r="G454" s="8">
        <v>170221</v>
      </c>
      <c r="H454" s="9">
        <v>0.15</v>
      </c>
      <c r="I454" s="1" t="s">
        <v>59</v>
      </c>
      <c r="J454" s="1" t="s">
        <v>60</v>
      </c>
      <c r="K454" s="10" t="s">
        <v>36</v>
      </c>
    </row>
    <row r="455" spans="1:11" x14ac:dyDescent="0.3">
      <c r="A455" s="6" t="s">
        <v>41</v>
      </c>
      <c r="B455" s="1" t="s">
        <v>26</v>
      </c>
      <c r="C455" s="1" t="s">
        <v>27</v>
      </c>
      <c r="D455" s="1" t="s">
        <v>28</v>
      </c>
      <c r="E455" s="1">
        <v>42</v>
      </c>
      <c r="F455" s="7">
        <v>38777</v>
      </c>
      <c r="G455" s="8">
        <v>97433</v>
      </c>
      <c r="H455" s="9">
        <v>0.05</v>
      </c>
      <c r="I455" s="1" t="s">
        <v>29</v>
      </c>
      <c r="J455" s="1" t="s">
        <v>30</v>
      </c>
      <c r="K455" s="10">
        <v>42224</v>
      </c>
    </row>
    <row r="456" spans="1:11" x14ac:dyDescent="0.3">
      <c r="A456" s="6" t="s">
        <v>44</v>
      </c>
      <c r="B456" s="1" t="s">
        <v>45</v>
      </c>
      <c r="C456" s="1" t="s">
        <v>32</v>
      </c>
      <c r="D456" s="1" t="s">
        <v>33</v>
      </c>
      <c r="E456" s="1">
        <v>35</v>
      </c>
      <c r="F456" s="7">
        <v>41516</v>
      </c>
      <c r="G456" s="8">
        <v>59646</v>
      </c>
      <c r="H456" s="9">
        <v>0</v>
      </c>
      <c r="I456" s="1" t="s">
        <v>34</v>
      </c>
      <c r="J456" s="1" t="s">
        <v>55</v>
      </c>
      <c r="K456" s="10" t="s">
        <v>36</v>
      </c>
    </row>
    <row r="457" spans="1:11" x14ac:dyDescent="0.3">
      <c r="A457" s="6" t="s">
        <v>37</v>
      </c>
      <c r="B457" s="1" t="s">
        <v>54</v>
      </c>
      <c r="C457" s="1" t="s">
        <v>39</v>
      </c>
      <c r="D457" s="1" t="s">
        <v>33</v>
      </c>
      <c r="E457" s="1">
        <v>64</v>
      </c>
      <c r="F457" s="7">
        <v>34940</v>
      </c>
      <c r="G457" s="8">
        <v>158787</v>
      </c>
      <c r="H457" s="9">
        <v>0.18</v>
      </c>
      <c r="I457" s="1" t="s">
        <v>34</v>
      </c>
      <c r="J457" s="1" t="s">
        <v>68</v>
      </c>
      <c r="K457" s="10" t="s">
        <v>36</v>
      </c>
    </row>
    <row r="458" spans="1:11" x14ac:dyDescent="0.3">
      <c r="A458" s="6" t="s">
        <v>53</v>
      </c>
      <c r="B458" s="1" t="s">
        <v>54</v>
      </c>
      <c r="C458" s="1" t="s">
        <v>27</v>
      </c>
      <c r="D458" s="1" t="s">
        <v>33</v>
      </c>
      <c r="E458" s="1">
        <v>55</v>
      </c>
      <c r="F458" s="7">
        <v>43219</v>
      </c>
      <c r="G458" s="8">
        <v>83378</v>
      </c>
      <c r="H458" s="9">
        <v>0</v>
      </c>
      <c r="I458" s="1" t="s">
        <v>34</v>
      </c>
      <c r="J458" s="1" t="s">
        <v>64</v>
      </c>
      <c r="K458" s="10" t="s">
        <v>36</v>
      </c>
    </row>
    <row r="459" spans="1:11" x14ac:dyDescent="0.3">
      <c r="A459" s="6" t="s">
        <v>42</v>
      </c>
      <c r="B459" s="1" t="s">
        <v>57</v>
      </c>
      <c r="C459" s="1" t="s">
        <v>46</v>
      </c>
      <c r="D459" s="1" t="s">
        <v>28</v>
      </c>
      <c r="E459" s="1">
        <v>32</v>
      </c>
      <c r="F459" s="7">
        <v>41590</v>
      </c>
      <c r="G459" s="8">
        <v>88895</v>
      </c>
      <c r="H459" s="9">
        <v>0</v>
      </c>
      <c r="I459" s="1" t="s">
        <v>29</v>
      </c>
      <c r="J459" s="1" t="s">
        <v>40</v>
      </c>
      <c r="K459" s="10" t="s">
        <v>36</v>
      </c>
    </row>
    <row r="460" spans="1:11" x14ac:dyDescent="0.3">
      <c r="A460" s="6" t="s">
        <v>37</v>
      </c>
      <c r="B460" s="1" t="s">
        <v>57</v>
      </c>
      <c r="C460" s="1" t="s">
        <v>46</v>
      </c>
      <c r="D460" s="1" t="s">
        <v>33</v>
      </c>
      <c r="E460" s="1">
        <v>45</v>
      </c>
      <c r="F460" s="7">
        <v>38332</v>
      </c>
      <c r="G460" s="8">
        <v>168846</v>
      </c>
      <c r="H460" s="9">
        <v>0.24</v>
      </c>
      <c r="I460" s="1" t="s">
        <v>34</v>
      </c>
      <c r="J460" s="1" t="s">
        <v>35</v>
      </c>
      <c r="K460" s="10" t="s">
        <v>36</v>
      </c>
    </row>
    <row r="461" spans="1:11" x14ac:dyDescent="0.3">
      <c r="A461" s="6" t="s">
        <v>74</v>
      </c>
      <c r="B461" s="1" t="s">
        <v>52</v>
      </c>
      <c r="C461" s="1" t="s">
        <v>27</v>
      </c>
      <c r="D461" s="1" t="s">
        <v>33</v>
      </c>
      <c r="E461" s="1">
        <v>35</v>
      </c>
      <c r="F461" s="7">
        <v>40596</v>
      </c>
      <c r="G461" s="8">
        <v>43336</v>
      </c>
      <c r="H461" s="9">
        <v>0</v>
      </c>
      <c r="I461" s="1" t="s">
        <v>29</v>
      </c>
      <c r="J461" s="1" t="s">
        <v>51</v>
      </c>
      <c r="K461" s="10">
        <v>44024</v>
      </c>
    </row>
    <row r="462" spans="1:11" x14ac:dyDescent="0.3">
      <c r="A462" s="6" t="s">
        <v>25</v>
      </c>
      <c r="B462" s="1" t="s">
        <v>52</v>
      </c>
      <c r="C462" s="1" t="s">
        <v>46</v>
      </c>
      <c r="D462" s="1" t="s">
        <v>33</v>
      </c>
      <c r="E462" s="1">
        <v>38</v>
      </c>
      <c r="F462" s="7">
        <v>40083</v>
      </c>
      <c r="G462" s="8">
        <v>127801</v>
      </c>
      <c r="H462" s="9">
        <v>0.15</v>
      </c>
      <c r="I462" s="1" t="s">
        <v>29</v>
      </c>
      <c r="J462" s="1" t="s">
        <v>43</v>
      </c>
      <c r="K462" s="10" t="s">
        <v>36</v>
      </c>
    </row>
    <row r="463" spans="1:11" x14ac:dyDescent="0.3">
      <c r="A463" s="6" t="s">
        <v>87</v>
      </c>
      <c r="B463" s="1" t="s">
        <v>26</v>
      </c>
      <c r="C463" s="1" t="s">
        <v>46</v>
      </c>
      <c r="D463" s="1" t="s">
        <v>33</v>
      </c>
      <c r="E463" s="1">
        <v>54</v>
      </c>
      <c r="F463" s="7">
        <v>36617</v>
      </c>
      <c r="G463" s="8">
        <v>76352</v>
      </c>
      <c r="H463" s="9">
        <v>0</v>
      </c>
      <c r="I463" s="1" t="s">
        <v>29</v>
      </c>
      <c r="J463" s="1" t="s">
        <v>51</v>
      </c>
      <c r="K463" s="10" t="s">
        <v>36</v>
      </c>
    </row>
    <row r="464" spans="1:11" x14ac:dyDescent="0.3">
      <c r="A464" s="6" t="s">
        <v>56</v>
      </c>
      <c r="B464" s="1" t="s">
        <v>38</v>
      </c>
      <c r="C464" s="1" t="s">
        <v>46</v>
      </c>
      <c r="D464" s="1" t="s">
        <v>33</v>
      </c>
      <c r="E464" s="1">
        <v>28</v>
      </c>
      <c r="F464" s="7">
        <v>43638</v>
      </c>
      <c r="G464" s="8">
        <v>250767</v>
      </c>
      <c r="H464" s="9">
        <v>0.38</v>
      </c>
      <c r="I464" s="1" t="s">
        <v>29</v>
      </c>
      <c r="J464" s="1" t="s">
        <v>30</v>
      </c>
      <c r="K464" s="10" t="s">
        <v>36</v>
      </c>
    </row>
    <row r="465" spans="1:11" x14ac:dyDescent="0.3">
      <c r="A465" s="6" t="s">
        <v>56</v>
      </c>
      <c r="B465" s="1" t="s">
        <v>57</v>
      </c>
      <c r="C465" s="1" t="s">
        <v>46</v>
      </c>
      <c r="D465" s="1" t="s">
        <v>33</v>
      </c>
      <c r="E465" s="1">
        <v>26</v>
      </c>
      <c r="F465" s="7">
        <v>44101</v>
      </c>
      <c r="G465" s="8">
        <v>223055</v>
      </c>
      <c r="H465" s="9">
        <v>0.3</v>
      </c>
      <c r="I465" s="1" t="s">
        <v>29</v>
      </c>
      <c r="J465" s="1" t="s">
        <v>58</v>
      </c>
      <c r="K465" s="10" t="s">
        <v>36</v>
      </c>
    </row>
    <row r="466" spans="1:11" x14ac:dyDescent="0.3">
      <c r="A466" s="6" t="s">
        <v>37</v>
      </c>
      <c r="B466" s="1" t="s">
        <v>54</v>
      </c>
      <c r="C466" s="1" t="s">
        <v>46</v>
      </c>
      <c r="D466" s="1" t="s">
        <v>33</v>
      </c>
      <c r="E466" s="1">
        <v>45</v>
      </c>
      <c r="F466" s="7">
        <v>39185</v>
      </c>
      <c r="G466" s="8">
        <v>189680</v>
      </c>
      <c r="H466" s="9">
        <v>0.23</v>
      </c>
      <c r="I466" s="1" t="s">
        <v>59</v>
      </c>
      <c r="J466" s="1" t="s">
        <v>76</v>
      </c>
      <c r="K466" s="10" t="s">
        <v>36</v>
      </c>
    </row>
    <row r="467" spans="1:11" x14ac:dyDescent="0.3">
      <c r="A467" s="6" t="s">
        <v>77</v>
      </c>
      <c r="B467" s="1" t="s">
        <v>54</v>
      </c>
      <c r="C467" s="1" t="s">
        <v>32</v>
      </c>
      <c r="D467" s="1" t="s">
        <v>33</v>
      </c>
      <c r="E467" s="1">
        <v>57</v>
      </c>
      <c r="F467" s="7">
        <v>43299</v>
      </c>
      <c r="G467" s="8">
        <v>71167</v>
      </c>
      <c r="H467" s="9">
        <v>0</v>
      </c>
      <c r="I467" s="1" t="s">
        <v>29</v>
      </c>
      <c r="J467" s="1" t="s">
        <v>58</v>
      </c>
      <c r="K467" s="10" t="s">
        <v>36</v>
      </c>
    </row>
    <row r="468" spans="1:11" x14ac:dyDescent="0.3">
      <c r="A468" s="6" t="s">
        <v>31</v>
      </c>
      <c r="B468" s="1" t="s">
        <v>26</v>
      </c>
      <c r="C468" s="1" t="s">
        <v>39</v>
      </c>
      <c r="D468" s="1" t="s">
        <v>28</v>
      </c>
      <c r="E468" s="1">
        <v>59</v>
      </c>
      <c r="F468" s="7">
        <v>40272</v>
      </c>
      <c r="G468" s="8">
        <v>76027</v>
      </c>
      <c r="H468" s="9">
        <v>0</v>
      </c>
      <c r="I468" s="1" t="s">
        <v>29</v>
      </c>
      <c r="J468" s="1" t="s">
        <v>30</v>
      </c>
      <c r="K468" s="10" t="s">
        <v>36</v>
      </c>
    </row>
    <row r="469" spans="1:11" x14ac:dyDescent="0.3">
      <c r="A469" s="6" t="s">
        <v>37</v>
      </c>
      <c r="B469" s="1" t="s">
        <v>54</v>
      </c>
      <c r="C469" s="1" t="s">
        <v>46</v>
      </c>
      <c r="D469" s="1" t="s">
        <v>33</v>
      </c>
      <c r="E469" s="1">
        <v>48</v>
      </c>
      <c r="F469" s="7">
        <v>43809</v>
      </c>
      <c r="G469" s="8">
        <v>183113</v>
      </c>
      <c r="H469" s="9">
        <v>0.24</v>
      </c>
      <c r="I469" s="1" t="s">
        <v>59</v>
      </c>
      <c r="J469" s="1" t="s">
        <v>61</v>
      </c>
      <c r="K469" s="10" t="s">
        <v>36</v>
      </c>
    </row>
    <row r="470" spans="1:11" x14ac:dyDescent="0.3">
      <c r="A470" s="6" t="s">
        <v>66</v>
      </c>
      <c r="B470" s="1" t="s">
        <v>50</v>
      </c>
      <c r="C470" s="1" t="s">
        <v>32</v>
      </c>
      <c r="D470" s="1" t="s">
        <v>33</v>
      </c>
      <c r="E470" s="1">
        <v>30</v>
      </c>
      <c r="F470" s="7">
        <v>44124</v>
      </c>
      <c r="G470" s="8">
        <v>67753</v>
      </c>
      <c r="H470" s="9">
        <v>0</v>
      </c>
      <c r="I470" s="1" t="s">
        <v>29</v>
      </c>
      <c r="J470" s="1" t="s">
        <v>43</v>
      </c>
      <c r="K470" s="10" t="s">
        <v>36</v>
      </c>
    </row>
    <row r="471" spans="1:11" x14ac:dyDescent="0.3">
      <c r="A471" s="6" t="s">
        <v>41</v>
      </c>
      <c r="B471" s="1" t="s">
        <v>26</v>
      </c>
      <c r="C471" s="1" t="s">
        <v>46</v>
      </c>
      <c r="D471" s="1" t="s">
        <v>33</v>
      </c>
      <c r="E471" s="1">
        <v>31</v>
      </c>
      <c r="F471" s="7">
        <v>42656</v>
      </c>
      <c r="G471" s="8">
        <v>63744</v>
      </c>
      <c r="H471" s="9">
        <v>0.08</v>
      </c>
      <c r="I471" s="1" t="s">
        <v>29</v>
      </c>
      <c r="J471" s="1" t="s">
        <v>51</v>
      </c>
      <c r="K471" s="10" t="s">
        <v>36</v>
      </c>
    </row>
    <row r="472" spans="1:11" x14ac:dyDescent="0.3">
      <c r="A472" s="6" t="s">
        <v>62</v>
      </c>
      <c r="B472" s="1" t="s">
        <v>54</v>
      </c>
      <c r="C472" s="1" t="s">
        <v>32</v>
      </c>
      <c r="D472" s="1" t="s">
        <v>28</v>
      </c>
      <c r="E472" s="1">
        <v>50</v>
      </c>
      <c r="F472" s="7">
        <v>37446</v>
      </c>
      <c r="G472" s="8">
        <v>92209</v>
      </c>
      <c r="H472" s="9">
        <v>0</v>
      </c>
      <c r="I472" s="1" t="s">
        <v>34</v>
      </c>
      <c r="J472" s="1" t="s">
        <v>55</v>
      </c>
      <c r="K472" s="10" t="s">
        <v>36</v>
      </c>
    </row>
    <row r="473" spans="1:11" x14ac:dyDescent="0.3">
      <c r="A473" s="6" t="s">
        <v>25</v>
      </c>
      <c r="B473" s="1" t="s">
        <v>45</v>
      </c>
      <c r="C473" s="1" t="s">
        <v>46</v>
      </c>
      <c r="D473" s="1" t="s">
        <v>33</v>
      </c>
      <c r="E473" s="1">
        <v>51</v>
      </c>
      <c r="F473" s="7">
        <v>36770</v>
      </c>
      <c r="G473" s="8">
        <v>157487</v>
      </c>
      <c r="H473" s="9">
        <v>0.12</v>
      </c>
      <c r="I473" s="1" t="s">
        <v>29</v>
      </c>
      <c r="J473" s="1" t="s">
        <v>43</v>
      </c>
      <c r="K473" s="10" t="s">
        <v>36</v>
      </c>
    </row>
    <row r="474" spans="1:11" x14ac:dyDescent="0.3">
      <c r="A474" s="6" t="s">
        <v>42</v>
      </c>
      <c r="B474" s="1" t="s">
        <v>57</v>
      </c>
      <c r="C474" s="1" t="s">
        <v>27</v>
      </c>
      <c r="D474" s="1" t="s">
        <v>33</v>
      </c>
      <c r="E474" s="1">
        <v>42</v>
      </c>
      <c r="F474" s="7">
        <v>42101</v>
      </c>
      <c r="G474" s="8">
        <v>99697</v>
      </c>
      <c r="H474" s="9">
        <v>0</v>
      </c>
      <c r="I474" s="1" t="s">
        <v>59</v>
      </c>
      <c r="J474" s="1" t="s">
        <v>61</v>
      </c>
      <c r="K474" s="10" t="s">
        <v>36</v>
      </c>
    </row>
    <row r="475" spans="1:11" x14ac:dyDescent="0.3">
      <c r="A475" s="6" t="s">
        <v>87</v>
      </c>
      <c r="B475" s="1" t="s">
        <v>26</v>
      </c>
      <c r="C475" s="1" t="s">
        <v>27</v>
      </c>
      <c r="D475" s="1" t="s">
        <v>33</v>
      </c>
      <c r="E475" s="1">
        <v>45</v>
      </c>
      <c r="F475" s="7">
        <v>40235</v>
      </c>
      <c r="G475" s="8">
        <v>90770</v>
      </c>
      <c r="H475" s="9">
        <v>0</v>
      </c>
      <c r="I475" s="1" t="s">
        <v>29</v>
      </c>
      <c r="J475" s="1" t="s">
        <v>58</v>
      </c>
      <c r="K475" s="10" t="s">
        <v>36</v>
      </c>
    </row>
    <row r="476" spans="1:11" x14ac:dyDescent="0.3">
      <c r="A476" s="6" t="s">
        <v>48</v>
      </c>
      <c r="B476" s="1" t="s">
        <v>45</v>
      </c>
      <c r="C476" s="1" t="s">
        <v>39</v>
      </c>
      <c r="D476" s="1" t="s">
        <v>28</v>
      </c>
      <c r="E476" s="1">
        <v>64</v>
      </c>
      <c r="F476" s="7">
        <v>38380</v>
      </c>
      <c r="G476" s="8">
        <v>55369</v>
      </c>
      <c r="H476" s="9">
        <v>0</v>
      </c>
      <c r="I476" s="1" t="s">
        <v>29</v>
      </c>
      <c r="J476" s="1" t="s">
        <v>43</v>
      </c>
      <c r="K476" s="10" t="s">
        <v>36</v>
      </c>
    </row>
    <row r="477" spans="1:11" x14ac:dyDescent="0.3">
      <c r="A477" s="6" t="s">
        <v>71</v>
      </c>
      <c r="B477" s="1" t="s">
        <v>54</v>
      </c>
      <c r="C477" s="1" t="s">
        <v>39</v>
      </c>
      <c r="D477" s="1" t="s">
        <v>28</v>
      </c>
      <c r="E477" s="1">
        <v>59</v>
      </c>
      <c r="F477" s="7">
        <v>41898</v>
      </c>
      <c r="G477" s="8">
        <v>69578</v>
      </c>
      <c r="H477" s="9">
        <v>0</v>
      </c>
      <c r="I477" s="1" t="s">
        <v>59</v>
      </c>
      <c r="J477" s="1" t="s">
        <v>61</v>
      </c>
      <c r="K477" s="10" t="s">
        <v>36</v>
      </c>
    </row>
    <row r="478" spans="1:11" x14ac:dyDescent="0.3">
      <c r="A478" s="6" t="s">
        <v>37</v>
      </c>
      <c r="B478" s="1" t="s">
        <v>50</v>
      </c>
      <c r="C478" s="1" t="s">
        <v>39</v>
      </c>
      <c r="D478" s="1" t="s">
        <v>33</v>
      </c>
      <c r="E478" s="1">
        <v>41</v>
      </c>
      <c r="F478" s="7">
        <v>41429</v>
      </c>
      <c r="G478" s="8">
        <v>167526</v>
      </c>
      <c r="H478" s="9">
        <v>0.26</v>
      </c>
      <c r="I478" s="1" t="s">
        <v>29</v>
      </c>
      <c r="J478" s="1" t="s">
        <v>49</v>
      </c>
      <c r="K478" s="10" t="s">
        <v>36</v>
      </c>
    </row>
    <row r="479" spans="1:11" x14ac:dyDescent="0.3">
      <c r="A479" s="6" t="s">
        <v>71</v>
      </c>
      <c r="B479" s="1" t="s">
        <v>54</v>
      </c>
      <c r="C479" s="1" t="s">
        <v>39</v>
      </c>
      <c r="D479" s="1" t="s">
        <v>28</v>
      </c>
      <c r="E479" s="1">
        <v>42</v>
      </c>
      <c r="F479" s="7">
        <v>44232</v>
      </c>
      <c r="G479" s="8">
        <v>65507</v>
      </c>
      <c r="H479" s="9">
        <v>0</v>
      </c>
      <c r="I479" s="1" t="s">
        <v>59</v>
      </c>
      <c r="J479" s="1" t="s">
        <v>60</v>
      </c>
      <c r="K479" s="10" t="s">
        <v>36</v>
      </c>
    </row>
    <row r="480" spans="1:11" x14ac:dyDescent="0.3">
      <c r="A480" s="6" t="s">
        <v>47</v>
      </c>
      <c r="B480" s="1" t="s">
        <v>38</v>
      </c>
      <c r="C480" s="1" t="s">
        <v>27</v>
      </c>
      <c r="D480" s="1" t="s">
        <v>33</v>
      </c>
      <c r="E480" s="1">
        <v>54</v>
      </c>
      <c r="F480" s="7">
        <v>35913</v>
      </c>
      <c r="G480" s="8">
        <v>108268</v>
      </c>
      <c r="H480" s="9">
        <v>0.09</v>
      </c>
      <c r="I480" s="1" t="s">
        <v>59</v>
      </c>
      <c r="J480" s="1" t="s">
        <v>76</v>
      </c>
      <c r="K480" s="10">
        <v>38122</v>
      </c>
    </row>
    <row r="481" spans="1:11" x14ac:dyDescent="0.3">
      <c r="A481" s="6" t="s">
        <v>31</v>
      </c>
      <c r="B481" s="1" t="s">
        <v>26</v>
      </c>
      <c r="C481" s="1" t="s">
        <v>27</v>
      </c>
      <c r="D481" s="1" t="s">
        <v>33</v>
      </c>
      <c r="E481" s="1">
        <v>37</v>
      </c>
      <c r="F481" s="7">
        <v>42405</v>
      </c>
      <c r="G481" s="8">
        <v>80055</v>
      </c>
      <c r="H481" s="9">
        <v>0</v>
      </c>
      <c r="I481" s="1" t="s">
        <v>34</v>
      </c>
      <c r="J481" s="1" t="s">
        <v>64</v>
      </c>
      <c r="K481" s="10" t="s">
        <v>36</v>
      </c>
    </row>
    <row r="482" spans="1:11" x14ac:dyDescent="0.3">
      <c r="A482" s="6" t="s">
        <v>42</v>
      </c>
      <c r="B482" s="1" t="s">
        <v>45</v>
      </c>
      <c r="C482" s="1" t="s">
        <v>27</v>
      </c>
      <c r="D482" s="1" t="s">
        <v>33</v>
      </c>
      <c r="E482" s="1">
        <v>58</v>
      </c>
      <c r="F482" s="7">
        <v>39930</v>
      </c>
      <c r="G482" s="8">
        <v>76802</v>
      </c>
      <c r="H482" s="9">
        <v>0</v>
      </c>
      <c r="I482" s="1" t="s">
        <v>59</v>
      </c>
      <c r="J482" s="1" t="s">
        <v>60</v>
      </c>
      <c r="K482" s="10" t="s">
        <v>36</v>
      </c>
    </row>
    <row r="483" spans="1:11" x14ac:dyDescent="0.3">
      <c r="A483" s="6" t="s">
        <v>56</v>
      </c>
      <c r="B483" s="1" t="s">
        <v>45</v>
      </c>
      <c r="C483" s="1" t="s">
        <v>39</v>
      </c>
      <c r="D483" s="1" t="s">
        <v>33</v>
      </c>
      <c r="E483" s="1">
        <v>47</v>
      </c>
      <c r="F483" s="7">
        <v>42696</v>
      </c>
      <c r="G483" s="8">
        <v>253249</v>
      </c>
      <c r="H483" s="9">
        <v>0.31</v>
      </c>
      <c r="I483" s="1" t="s">
        <v>29</v>
      </c>
      <c r="J483" s="1" t="s">
        <v>51</v>
      </c>
      <c r="K483" s="10" t="s">
        <v>36</v>
      </c>
    </row>
    <row r="484" spans="1:11" x14ac:dyDescent="0.3">
      <c r="A484" s="6" t="s">
        <v>69</v>
      </c>
      <c r="B484" s="1" t="s">
        <v>52</v>
      </c>
      <c r="C484" s="1" t="s">
        <v>27</v>
      </c>
      <c r="D484" s="1" t="s">
        <v>28</v>
      </c>
      <c r="E484" s="1">
        <v>60</v>
      </c>
      <c r="F484" s="7">
        <v>38667</v>
      </c>
      <c r="G484" s="8">
        <v>78388</v>
      </c>
      <c r="H484" s="9">
        <v>0</v>
      </c>
      <c r="I484" s="1" t="s">
        <v>34</v>
      </c>
      <c r="J484" s="1" t="s">
        <v>35</v>
      </c>
      <c r="K484" s="10" t="s">
        <v>36</v>
      </c>
    </row>
    <row r="485" spans="1:11" x14ac:dyDescent="0.3">
      <c r="A485" s="6" t="s">
        <v>56</v>
      </c>
      <c r="B485" s="1" t="s">
        <v>26</v>
      </c>
      <c r="C485" s="1" t="s">
        <v>46</v>
      </c>
      <c r="D485" s="1" t="s">
        <v>33</v>
      </c>
      <c r="E485" s="1">
        <v>38</v>
      </c>
      <c r="F485" s="7">
        <v>42543</v>
      </c>
      <c r="G485" s="8">
        <v>249870</v>
      </c>
      <c r="H485" s="9">
        <v>0.34</v>
      </c>
      <c r="I485" s="1" t="s">
        <v>29</v>
      </c>
      <c r="J485" s="1" t="s">
        <v>40</v>
      </c>
      <c r="K485" s="10" t="s">
        <v>36</v>
      </c>
    </row>
    <row r="486" spans="1:11" x14ac:dyDescent="0.3">
      <c r="A486" s="6" t="s">
        <v>25</v>
      </c>
      <c r="B486" s="1" t="s">
        <v>57</v>
      </c>
      <c r="C486" s="1" t="s">
        <v>32</v>
      </c>
      <c r="D486" s="1" t="s">
        <v>33</v>
      </c>
      <c r="E486" s="1">
        <v>63</v>
      </c>
      <c r="F486" s="7">
        <v>42064</v>
      </c>
      <c r="G486" s="8">
        <v>148321</v>
      </c>
      <c r="H486" s="9">
        <v>0.15</v>
      </c>
      <c r="I486" s="1" t="s">
        <v>34</v>
      </c>
      <c r="J486" s="1" t="s">
        <v>64</v>
      </c>
      <c r="K486" s="10" t="s">
        <v>36</v>
      </c>
    </row>
    <row r="487" spans="1:11" x14ac:dyDescent="0.3">
      <c r="A487" s="6" t="s">
        <v>86</v>
      </c>
      <c r="B487" s="1" t="s">
        <v>26</v>
      </c>
      <c r="C487" s="1" t="s">
        <v>46</v>
      </c>
      <c r="D487" s="1" t="s">
        <v>28</v>
      </c>
      <c r="E487" s="1">
        <v>60</v>
      </c>
      <c r="F487" s="7">
        <v>38027</v>
      </c>
      <c r="G487" s="8">
        <v>90258</v>
      </c>
      <c r="H487" s="9">
        <v>0</v>
      </c>
      <c r="I487" s="1" t="s">
        <v>34</v>
      </c>
      <c r="J487" s="1" t="s">
        <v>35</v>
      </c>
      <c r="K487" s="10" t="s">
        <v>36</v>
      </c>
    </row>
    <row r="488" spans="1:11" x14ac:dyDescent="0.3">
      <c r="A488" s="6" t="s">
        <v>82</v>
      </c>
      <c r="B488" s="1" t="s">
        <v>26</v>
      </c>
      <c r="C488" s="1" t="s">
        <v>32</v>
      </c>
      <c r="D488" s="1" t="s">
        <v>28</v>
      </c>
      <c r="E488" s="1">
        <v>42</v>
      </c>
      <c r="F488" s="7">
        <v>40593</v>
      </c>
      <c r="G488" s="8">
        <v>72486</v>
      </c>
      <c r="H488" s="9">
        <v>0</v>
      </c>
      <c r="I488" s="1" t="s">
        <v>29</v>
      </c>
      <c r="J488" s="1" t="s">
        <v>30</v>
      </c>
      <c r="K488" s="10" t="s">
        <v>36</v>
      </c>
    </row>
    <row r="489" spans="1:11" x14ac:dyDescent="0.3">
      <c r="A489" s="6" t="s">
        <v>42</v>
      </c>
      <c r="B489" s="1" t="s">
        <v>38</v>
      </c>
      <c r="C489" s="1" t="s">
        <v>46</v>
      </c>
      <c r="D489" s="1" t="s">
        <v>33</v>
      </c>
      <c r="E489" s="1">
        <v>34</v>
      </c>
      <c r="F489" s="7">
        <v>41886</v>
      </c>
      <c r="G489" s="8">
        <v>95499</v>
      </c>
      <c r="H489" s="9">
        <v>0</v>
      </c>
      <c r="I489" s="1" t="s">
        <v>59</v>
      </c>
      <c r="J489" s="1" t="s">
        <v>76</v>
      </c>
      <c r="K489" s="10">
        <v>42958</v>
      </c>
    </row>
    <row r="490" spans="1:11" x14ac:dyDescent="0.3">
      <c r="A490" s="6" t="s">
        <v>42</v>
      </c>
      <c r="B490" s="1" t="s">
        <v>50</v>
      </c>
      <c r="C490" s="1" t="s">
        <v>27</v>
      </c>
      <c r="D490" s="1" t="s">
        <v>28</v>
      </c>
      <c r="E490" s="1">
        <v>53</v>
      </c>
      <c r="F490" s="7">
        <v>38344</v>
      </c>
      <c r="G490" s="8">
        <v>90212</v>
      </c>
      <c r="H490" s="9">
        <v>0</v>
      </c>
      <c r="I490" s="1" t="s">
        <v>59</v>
      </c>
      <c r="J490" s="1" t="s">
        <v>76</v>
      </c>
      <c r="K490" s="10" t="s">
        <v>36</v>
      </c>
    </row>
    <row r="491" spans="1:11" x14ac:dyDescent="0.3">
      <c r="A491" s="6" t="s">
        <v>56</v>
      </c>
      <c r="B491" s="1" t="s">
        <v>57</v>
      </c>
      <c r="C491" s="1" t="s">
        <v>27</v>
      </c>
      <c r="D491" s="1" t="s">
        <v>33</v>
      </c>
      <c r="E491" s="1">
        <v>39</v>
      </c>
      <c r="F491" s="7">
        <v>43804</v>
      </c>
      <c r="G491" s="8">
        <v>254057</v>
      </c>
      <c r="H491" s="9">
        <v>0.39</v>
      </c>
      <c r="I491" s="1" t="s">
        <v>34</v>
      </c>
      <c r="J491" s="1" t="s">
        <v>55</v>
      </c>
      <c r="K491" s="10" t="s">
        <v>36</v>
      </c>
    </row>
    <row r="492" spans="1:11" x14ac:dyDescent="0.3">
      <c r="A492" s="6" t="s">
        <v>74</v>
      </c>
      <c r="B492" s="1" t="s">
        <v>52</v>
      </c>
      <c r="C492" s="1" t="s">
        <v>32</v>
      </c>
      <c r="D492" s="1" t="s">
        <v>28</v>
      </c>
      <c r="E492" s="1">
        <v>58</v>
      </c>
      <c r="F492" s="7">
        <v>40463</v>
      </c>
      <c r="G492" s="8">
        <v>43001</v>
      </c>
      <c r="H492" s="9">
        <v>0</v>
      </c>
      <c r="I492" s="1" t="s">
        <v>29</v>
      </c>
      <c r="J492" s="1" t="s">
        <v>51</v>
      </c>
      <c r="K492" s="10" t="s">
        <v>36</v>
      </c>
    </row>
    <row r="493" spans="1:11" x14ac:dyDescent="0.3">
      <c r="A493" s="6" t="s">
        <v>41</v>
      </c>
      <c r="B493" s="1" t="s">
        <v>26</v>
      </c>
      <c r="C493" s="1" t="s">
        <v>32</v>
      </c>
      <c r="D493" s="1" t="s">
        <v>33</v>
      </c>
      <c r="E493" s="1">
        <v>60</v>
      </c>
      <c r="F493" s="7">
        <v>36010</v>
      </c>
      <c r="G493" s="8">
        <v>85120</v>
      </c>
      <c r="H493" s="9">
        <v>0.09</v>
      </c>
      <c r="I493" s="1" t="s">
        <v>29</v>
      </c>
      <c r="J493" s="1" t="s">
        <v>30</v>
      </c>
      <c r="K493" s="10" t="s">
        <v>36</v>
      </c>
    </row>
    <row r="494" spans="1:11" x14ac:dyDescent="0.3">
      <c r="A494" s="6" t="s">
        <v>74</v>
      </c>
      <c r="B494" s="1" t="s">
        <v>52</v>
      </c>
      <c r="C494" s="1" t="s">
        <v>32</v>
      </c>
      <c r="D494" s="1" t="s">
        <v>33</v>
      </c>
      <c r="E494" s="1">
        <v>34</v>
      </c>
      <c r="F494" s="7">
        <v>42219</v>
      </c>
      <c r="G494" s="8">
        <v>52200</v>
      </c>
      <c r="H494" s="9">
        <v>0</v>
      </c>
      <c r="I494" s="1" t="s">
        <v>29</v>
      </c>
      <c r="J494" s="1" t="s">
        <v>58</v>
      </c>
      <c r="K494" s="10" t="s">
        <v>36</v>
      </c>
    </row>
    <row r="495" spans="1:11" x14ac:dyDescent="0.3">
      <c r="A495" s="6" t="s">
        <v>25</v>
      </c>
      <c r="B495" s="1" t="s">
        <v>52</v>
      </c>
      <c r="C495" s="1" t="s">
        <v>46</v>
      </c>
      <c r="D495" s="1" t="s">
        <v>28</v>
      </c>
      <c r="E495" s="1">
        <v>60</v>
      </c>
      <c r="F495" s="7">
        <v>39739</v>
      </c>
      <c r="G495" s="8">
        <v>150855</v>
      </c>
      <c r="H495" s="9">
        <v>0.11</v>
      </c>
      <c r="I495" s="1" t="s">
        <v>29</v>
      </c>
      <c r="J495" s="1" t="s">
        <v>43</v>
      </c>
      <c r="K495" s="10" t="s">
        <v>36</v>
      </c>
    </row>
    <row r="496" spans="1:11" x14ac:dyDescent="0.3">
      <c r="A496" s="6" t="s">
        <v>67</v>
      </c>
      <c r="B496" s="1" t="s">
        <v>26</v>
      </c>
      <c r="C496" s="1" t="s">
        <v>32</v>
      </c>
      <c r="D496" s="1" t="s">
        <v>28</v>
      </c>
      <c r="E496" s="1">
        <v>53</v>
      </c>
      <c r="F496" s="7">
        <v>38188</v>
      </c>
      <c r="G496" s="8">
        <v>65702</v>
      </c>
      <c r="H496" s="9">
        <v>0</v>
      </c>
      <c r="I496" s="1" t="s">
        <v>29</v>
      </c>
      <c r="J496" s="1" t="s">
        <v>58</v>
      </c>
      <c r="K496" s="10" t="s">
        <v>36</v>
      </c>
    </row>
    <row r="497" spans="1:11" x14ac:dyDescent="0.3">
      <c r="A497" s="6" t="s">
        <v>37</v>
      </c>
      <c r="B497" s="1" t="s">
        <v>38</v>
      </c>
      <c r="C497" s="1" t="s">
        <v>46</v>
      </c>
      <c r="D497" s="1" t="s">
        <v>33</v>
      </c>
      <c r="E497" s="1">
        <v>58</v>
      </c>
      <c r="F497" s="7">
        <v>39367</v>
      </c>
      <c r="G497" s="8">
        <v>162038</v>
      </c>
      <c r="H497" s="9">
        <v>0.24</v>
      </c>
      <c r="I497" s="1" t="s">
        <v>34</v>
      </c>
      <c r="J497" s="1" t="s">
        <v>35</v>
      </c>
      <c r="K497" s="10" t="s">
        <v>36</v>
      </c>
    </row>
    <row r="498" spans="1:11" x14ac:dyDescent="0.3">
      <c r="A498" s="6" t="s">
        <v>25</v>
      </c>
      <c r="B498" s="1" t="s">
        <v>57</v>
      </c>
      <c r="C498" s="1" t="s">
        <v>27</v>
      </c>
      <c r="D498" s="1" t="s">
        <v>28</v>
      </c>
      <c r="E498" s="1">
        <v>25</v>
      </c>
      <c r="F498" s="7">
        <v>43930</v>
      </c>
      <c r="G498" s="8">
        <v>157057</v>
      </c>
      <c r="H498" s="9">
        <v>0.1</v>
      </c>
      <c r="I498" s="1" t="s">
        <v>29</v>
      </c>
      <c r="J498" s="1" t="s">
        <v>58</v>
      </c>
      <c r="K498" s="10" t="s">
        <v>36</v>
      </c>
    </row>
    <row r="499" spans="1:11" x14ac:dyDescent="0.3">
      <c r="A499" s="6" t="s">
        <v>47</v>
      </c>
      <c r="B499" s="1" t="s">
        <v>26</v>
      </c>
      <c r="C499" s="1" t="s">
        <v>27</v>
      </c>
      <c r="D499" s="1" t="s">
        <v>33</v>
      </c>
      <c r="E499" s="1">
        <v>46</v>
      </c>
      <c r="F499" s="7">
        <v>44419</v>
      </c>
      <c r="G499" s="8">
        <v>127559</v>
      </c>
      <c r="H499" s="9">
        <v>0.1</v>
      </c>
      <c r="I499" s="1" t="s">
        <v>29</v>
      </c>
      <c r="J499" s="1" t="s">
        <v>51</v>
      </c>
      <c r="K499" s="10" t="s">
        <v>36</v>
      </c>
    </row>
    <row r="500" spans="1:11" x14ac:dyDescent="0.3">
      <c r="A500" s="6" t="s">
        <v>71</v>
      </c>
      <c r="B500" s="1" t="s">
        <v>54</v>
      </c>
      <c r="C500" s="1" t="s">
        <v>46</v>
      </c>
      <c r="D500" s="1" t="s">
        <v>28</v>
      </c>
      <c r="E500" s="1">
        <v>39</v>
      </c>
      <c r="F500" s="7">
        <v>43536</v>
      </c>
      <c r="G500" s="8">
        <v>62644</v>
      </c>
      <c r="H500" s="9">
        <v>0</v>
      </c>
      <c r="I500" s="1" t="s">
        <v>29</v>
      </c>
      <c r="J500" s="1" t="s">
        <v>30</v>
      </c>
      <c r="K500" s="10" t="s">
        <v>36</v>
      </c>
    </row>
    <row r="501" spans="1:11" x14ac:dyDescent="0.3">
      <c r="A501" s="6" t="s">
        <v>78</v>
      </c>
      <c r="B501" s="1" t="s">
        <v>26</v>
      </c>
      <c r="C501" s="1" t="s">
        <v>32</v>
      </c>
      <c r="D501" s="1" t="s">
        <v>33</v>
      </c>
      <c r="E501" s="1">
        <v>50</v>
      </c>
      <c r="F501" s="7">
        <v>36956</v>
      </c>
      <c r="G501" s="8">
        <v>73907</v>
      </c>
      <c r="H501" s="9">
        <v>0</v>
      </c>
      <c r="I501" s="1" t="s">
        <v>34</v>
      </c>
      <c r="J501" s="1" t="s">
        <v>55</v>
      </c>
      <c r="K501" s="10" t="s">
        <v>36</v>
      </c>
    </row>
    <row r="502" spans="1:11" x14ac:dyDescent="0.3">
      <c r="A502" s="6" t="s">
        <v>42</v>
      </c>
      <c r="B502" s="1" t="s">
        <v>50</v>
      </c>
      <c r="C502" s="1" t="s">
        <v>32</v>
      </c>
      <c r="D502" s="1" t="s">
        <v>28</v>
      </c>
      <c r="E502" s="1">
        <v>56</v>
      </c>
      <c r="F502" s="7">
        <v>43169</v>
      </c>
      <c r="G502" s="8">
        <v>90040</v>
      </c>
      <c r="H502" s="9">
        <v>0</v>
      </c>
      <c r="I502" s="1" t="s">
        <v>29</v>
      </c>
      <c r="J502" s="1" t="s">
        <v>40</v>
      </c>
      <c r="K502" s="10" t="s">
        <v>36</v>
      </c>
    </row>
    <row r="503" spans="1:11" x14ac:dyDescent="0.3">
      <c r="A503" s="6" t="s">
        <v>80</v>
      </c>
      <c r="B503" s="1" t="s">
        <v>54</v>
      </c>
      <c r="C503" s="1" t="s">
        <v>32</v>
      </c>
      <c r="D503" s="1" t="s">
        <v>28</v>
      </c>
      <c r="E503" s="1">
        <v>30</v>
      </c>
      <c r="F503" s="7">
        <v>42516</v>
      </c>
      <c r="G503" s="8">
        <v>91134</v>
      </c>
      <c r="H503" s="9">
        <v>0</v>
      </c>
      <c r="I503" s="1" t="s">
        <v>59</v>
      </c>
      <c r="J503" s="1" t="s">
        <v>76</v>
      </c>
      <c r="K503" s="10" t="s">
        <v>36</v>
      </c>
    </row>
    <row r="504" spans="1:11" x14ac:dyDescent="0.3">
      <c r="A504" s="6" t="s">
        <v>56</v>
      </c>
      <c r="B504" s="1" t="s">
        <v>52</v>
      </c>
      <c r="C504" s="1" t="s">
        <v>39</v>
      </c>
      <c r="D504" s="1" t="s">
        <v>28</v>
      </c>
      <c r="E504" s="1">
        <v>45</v>
      </c>
      <c r="F504" s="7">
        <v>44461</v>
      </c>
      <c r="G504" s="8">
        <v>201396</v>
      </c>
      <c r="H504" s="9">
        <v>0.32</v>
      </c>
      <c r="I504" s="1" t="s">
        <v>29</v>
      </c>
      <c r="J504" s="1" t="s">
        <v>49</v>
      </c>
      <c r="K504" s="10" t="s">
        <v>36</v>
      </c>
    </row>
    <row r="505" spans="1:11" x14ac:dyDescent="0.3">
      <c r="A505" s="6" t="s">
        <v>48</v>
      </c>
      <c r="B505" s="1" t="s">
        <v>50</v>
      </c>
      <c r="C505" s="1" t="s">
        <v>46</v>
      </c>
      <c r="D505" s="1" t="s">
        <v>28</v>
      </c>
      <c r="E505" s="1">
        <v>55</v>
      </c>
      <c r="F505" s="7">
        <v>40899</v>
      </c>
      <c r="G505" s="8">
        <v>54733</v>
      </c>
      <c r="H505" s="9">
        <v>0</v>
      </c>
      <c r="I505" s="1" t="s">
        <v>34</v>
      </c>
      <c r="J505" s="1" t="s">
        <v>35</v>
      </c>
      <c r="K505" s="10" t="s">
        <v>36</v>
      </c>
    </row>
    <row r="506" spans="1:11" x14ac:dyDescent="0.3">
      <c r="A506" s="6" t="s">
        <v>82</v>
      </c>
      <c r="B506" s="1" t="s">
        <v>26</v>
      </c>
      <c r="C506" s="1" t="s">
        <v>46</v>
      </c>
      <c r="D506" s="1" t="s">
        <v>33</v>
      </c>
      <c r="E506" s="1">
        <v>28</v>
      </c>
      <c r="F506" s="7">
        <v>43633</v>
      </c>
      <c r="G506" s="8">
        <v>65341</v>
      </c>
      <c r="H506" s="9">
        <v>0</v>
      </c>
      <c r="I506" s="1" t="s">
        <v>29</v>
      </c>
      <c r="J506" s="1" t="s">
        <v>49</v>
      </c>
      <c r="K506" s="10">
        <v>44662</v>
      </c>
    </row>
    <row r="507" spans="1:11" x14ac:dyDescent="0.3">
      <c r="A507" s="6" t="s">
        <v>25</v>
      </c>
      <c r="B507" s="1" t="s">
        <v>38</v>
      </c>
      <c r="C507" s="1" t="s">
        <v>46</v>
      </c>
      <c r="D507" s="1" t="s">
        <v>28</v>
      </c>
      <c r="E507" s="1">
        <v>59</v>
      </c>
      <c r="F507" s="7">
        <v>43400</v>
      </c>
      <c r="G507" s="8">
        <v>139208</v>
      </c>
      <c r="H507" s="9">
        <v>0.11</v>
      </c>
      <c r="I507" s="1" t="s">
        <v>29</v>
      </c>
      <c r="J507" s="1" t="s">
        <v>51</v>
      </c>
      <c r="K507" s="10" t="s">
        <v>36</v>
      </c>
    </row>
    <row r="508" spans="1:11" x14ac:dyDescent="0.3">
      <c r="A508" s="6" t="s">
        <v>42</v>
      </c>
      <c r="B508" s="1" t="s">
        <v>45</v>
      </c>
      <c r="C508" s="1" t="s">
        <v>39</v>
      </c>
      <c r="D508" s="1" t="s">
        <v>33</v>
      </c>
      <c r="E508" s="1">
        <v>63</v>
      </c>
      <c r="F508" s="7">
        <v>43171</v>
      </c>
      <c r="G508" s="8">
        <v>73200</v>
      </c>
      <c r="H508" s="9">
        <v>0</v>
      </c>
      <c r="I508" s="1" t="s">
        <v>34</v>
      </c>
      <c r="J508" s="1" t="s">
        <v>55</v>
      </c>
      <c r="K508" s="10" t="s">
        <v>36</v>
      </c>
    </row>
    <row r="509" spans="1:11" x14ac:dyDescent="0.3">
      <c r="A509" s="6" t="s">
        <v>47</v>
      </c>
      <c r="B509" s="1" t="s">
        <v>50</v>
      </c>
      <c r="C509" s="1" t="s">
        <v>39</v>
      </c>
      <c r="D509" s="1" t="s">
        <v>28</v>
      </c>
      <c r="E509" s="1">
        <v>46</v>
      </c>
      <c r="F509" s="7">
        <v>40292</v>
      </c>
      <c r="G509" s="8">
        <v>102636</v>
      </c>
      <c r="H509" s="9">
        <v>0.06</v>
      </c>
      <c r="I509" s="1" t="s">
        <v>29</v>
      </c>
      <c r="J509" s="1" t="s">
        <v>30</v>
      </c>
      <c r="K509" s="10" t="s">
        <v>36</v>
      </c>
    </row>
    <row r="510" spans="1:11" x14ac:dyDescent="0.3">
      <c r="A510" s="6" t="s">
        <v>81</v>
      </c>
      <c r="B510" s="1" t="s">
        <v>45</v>
      </c>
      <c r="C510" s="1" t="s">
        <v>39</v>
      </c>
      <c r="D510" s="1" t="s">
        <v>28</v>
      </c>
      <c r="E510" s="1">
        <v>26</v>
      </c>
      <c r="F510" s="7">
        <v>44236</v>
      </c>
      <c r="G510" s="8">
        <v>87427</v>
      </c>
      <c r="H510" s="9">
        <v>0</v>
      </c>
      <c r="I510" s="1" t="s">
        <v>59</v>
      </c>
      <c r="J510" s="1" t="s">
        <v>76</v>
      </c>
      <c r="K510" s="10" t="s">
        <v>36</v>
      </c>
    </row>
    <row r="511" spans="1:11" x14ac:dyDescent="0.3">
      <c r="A511" s="6" t="s">
        <v>65</v>
      </c>
      <c r="B511" s="1" t="s">
        <v>26</v>
      </c>
      <c r="C511" s="1" t="s">
        <v>27</v>
      </c>
      <c r="D511" s="1" t="s">
        <v>33</v>
      </c>
      <c r="E511" s="1">
        <v>45</v>
      </c>
      <c r="F511" s="7">
        <v>43248</v>
      </c>
      <c r="G511" s="8">
        <v>49219</v>
      </c>
      <c r="H511" s="9">
        <v>0</v>
      </c>
      <c r="I511" s="1" t="s">
        <v>29</v>
      </c>
      <c r="J511" s="1" t="s">
        <v>58</v>
      </c>
      <c r="K511" s="10" t="s">
        <v>36</v>
      </c>
    </row>
    <row r="512" spans="1:11" x14ac:dyDescent="0.3">
      <c r="A512" s="6" t="s">
        <v>47</v>
      </c>
      <c r="B512" s="1" t="s">
        <v>38</v>
      </c>
      <c r="C512" s="1" t="s">
        <v>32</v>
      </c>
      <c r="D512" s="1" t="s">
        <v>33</v>
      </c>
      <c r="E512" s="1">
        <v>50</v>
      </c>
      <c r="F512" s="7">
        <v>43239</v>
      </c>
      <c r="G512" s="8">
        <v>106437</v>
      </c>
      <c r="H512" s="9">
        <v>7.0000000000000007E-2</v>
      </c>
      <c r="I512" s="1" t="s">
        <v>34</v>
      </c>
      <c r="J512" s="1" t="s">
        <v>35</v>
      </c>
      <c r="K512" s="10" t="s">
        <v>36</v>
      </c>
    </row>
    <row r="513" spans="1:11" x14ac:dyDescent="0.3">
      <c r="A513" s="6" t="s">
        <v>66</v>
      </c>
      <c r="B513" s="1" t="s">
        <v>38</v>
      </c>
      <c r="C513" s="1" t="s">
        <v>32</v>
      </c>
      <c r="D513" s="1" t="s">
        <v>33</v>
      </c>
      <c r="E513" s="1">
        <v>46</v>
      </c>
      <c r="F513" s="7">
        <v>42129</v>
      </c>
      <c r="G513" s="8">
        <v>64364</v>
      </c>
      <c r="H513" s="9">
        <v>0</v>
      </c>
      <c r="I513" s="1" t="s">
        <v>59</v>
      </c>
      <c r="J513" s="1" t="s">
        <v>76</v>
      </c>
      <c r="K513" s="10" t="s">
        <v>36</v>
      </c>
    </row>
    <row r="514" spans="1:11" x14ac:dyDescent="0.3">
      <c r="A514" s="6" t="s">
        <v>37</v>
      </c>
      <c r="B514" s="1" t="s">
        <v>52</v>
      </c>
      <c r="C514" s="1" t="s">
        <v>32</v>
      </c>
      <c r="D514" s="1" t="s">
        <v>33</v>
      </c>
      <c r="E514" s="1">
        <v>50</v>
      </c>
      <c r="F514" s="7">
        <v>44486</v>
      </c>
      <c r="G514" s="8">
        <v>172180</v>
      </c>
      <c r="H514" s="9">
        <v>0.3</v>
      </c>
      <c r="I514" s="1" t="s">
        <v>29</v>
      </c>
      <c r="J514" s="1" t="s">
        <v>58</v>
      </c>
      <c r="K514" s="10" t="s">
        <v>36</v>
      </c>
    </row>
    <row r="515" spans="1:11" x14ac:dyDescent="0.3">
      <c r="A515" s="6" t="s">
        <v>42</v>
      </c>
      <c r="B515" s="1" t="s">
        <v>45</v>
      </c>
      <c r="C515" s="1" t="s">
        <v>32</v>
      </c>
      <c r="D515" s="1" t="s">
        <v>28</v>
      </c>
      <c r="E515" s="1">
        <v>33</v>
      </c>
      <c r="F515" s="7">
        <v>41043</v>
      </c>
      <c r="G515" s="8">
        <v>88343</v>
      </c>
      <c r="H515" s="9">
        <v>0</v>
      </c>
      <c r="I515" s="1" t="s">
        <v>59</v>
      </c>
      <c r="J515" s="1" t="s">
        <v>61</v>
      </c>
      <c r="K515" s="10" t="s">
        <v>36</v>
      </c>
    </row>
    <row r="516" spans="1:11" x14ac:dyDescent="0.3">
      <c r="A516" s="6" t="s">
        <v>84</v>
      </c>
      <c r="B516" s="1" t="s">
        <v>26</v>
      </c>
      <c r="C516" s="1" t="s">
        <v>39</v>
      </c>
      <c r="D516" s="1" t="s">
        <v>33</v>
      </c>
      <c r="E516" s="1">
        <v>57</v>
      </c>
      <c r="F516" s="7">
        <v>41830</v>
      </c>
      <c r="G516" s="8">
        <v>66649</v>
      </c>
      <c r="H516" s="9">
        <v>0</v>
      </c>
      <c r="I516" s="1" t="s">
        <v>59</v>
      </c>
      <c r="J516" s="1" t="s">
        <v>61</v>
      </c>
      <c r="K516" s="10" t="s">
        <v>36</v>
      </c>
    </row>
    <row r="517" spans="1:11" x14ac:dyDescent="0.3">
      <c r="A517" s="6" t="s">
        <v>47</v>
      </c>
      <c r="B517" s="1" t="s">
        <v>38</v>
      </c>
      <c r="C517" s="1" t="s">
        <v>46</v>
      </c>
      <c r="D517" s="1" t="s">
        <v>28</v>
      </c>
      <c r="E517" s="1">
        <v>48</v>
      </c>
      <c r="F517" s="7">
        <v>36272</v>
      </c>
      <c r="G517" s="8">
        <v>102847</v>
      </c>
      <c r="H517" s="9">
        <v>0.05</v>
      </c>
      <c r="I517" s="1" t="s">
        <v>29</v>
      </c>
      <c r="J517" s="1" t="s">
        <v>40</v>
      </c>
      <c r="K517" s="10" t="s">
        <v>36</v>
      </c>
    </row>
    <row r="518" spans="1:11" x14ac:dyDescent="0.3">
      <c r="A518" s="6" t="s">
        <v>25</v>
      </c>
      <c r="B518" s="1" t="s">
        <v>38</v>
      </c>
      <c r="C518" s="1" t="s">
        <v>32</v>
      </c>
      <c r="D518" s="1" t="s">
        <v>33</v>
      </c>
      <c r="E518" s="1">
        <v>46</v>
      </c>
      <c r="F518" s="7">
        <v>40378</v>
      </c>
      <c r="G518" s="8">
        <v>134881</v>
      </c>
      <c r="H518" s="9">
        <v>0.15</v>
      </c>
      <c r="I518" s="1" t="s">
        <v>59</v>
      </c>
      <c r="J518" s="1" t="s">
        <v>60</v>
      </c>
      <c r="K518" s="10" t="s">
        <v>36</v>
      </c>
    </row>
    <row r="519" spans="1:11" x14ac:dyDescent="0.3">
      <c r="A519" s="6" t="s">
        <v>66</v>
      </c>
      <c r="B519" s="1" t="s">
        <v>57</v>
      </c>
      <c r="C519" s="1" t="s">
        <v>32</v>
      </c>
      <c r="D519" s="1" t="s">
        <v>33</v>
      </c>
      <c r="E519" s="1">
        <v>52</v>
      </c>
      <c r="F519" s="7">
        <v>36303</v>
      </c>
      <c r="G519" s="8">
        <v>68807</v>
      </c>
      <c r="H519" s="9">
        <v>0</v>
      </c>
      <c r="I519" s="1" t="s">
        <v>34</v>
      </c>
      <c r="J519" s="1" t="s">
        <v>68</v>
      </c>
      <c r="K519" s="10">
        <v>42338</v>
      </c>
    </row>
    <row r="520" spans="1:11" x14ac:dyDescent="0.3">
      <c r="A520" s="6" t="s">
        <v>56</v>
      </c>
      <c r="B520" s="1" t="s">
        <v>26</v>
      </c>
      <c r="C520" s="1" t="s">
        <v>32</v>
      </c>
      <c r="D520" s="1" t="s">
        <v>33</v>
      </c>
      <c r="E520" s="1">
        <v>56</v>
      </c>
      <c r="F520" s="7">
        <v>38866</v>
      </c>
      <c r="G520" s="8">
        <v>228822</v>
      </c>
      <c r="H520" s="9">
        <v>0.36</v>
      </c>
      <c r="I520" s="1" t="s">
        <v>29</v>
      </c>
      <c r="J520" s="1" t="s">
        <v>49</v>
      </c>
      <c r="K520" s="10" t="s">
        <v>36</v>
      </c>
    </row>
    <row r="521" spans="1:11" x14ac:dyDescent="0.3">
      <c r="A521" s="6" t="s">
        <v>48</v>
      </c>
      <c r="B521" s="1" t="s">
        <v>57</v>
      </c>
      <c r="C521" s="1" t="s">
        <v>32</v>
      </c>
      <c r="D521" s="1" t="s">
        <v>33</v>
      </c>
      <c r="E521" s="1">
        <v>28</v>
      </c>
      <c r="F521" s="7">
        <v>44395</v>
      </c>
      <c r="G521" s="8">
        <v>43391</v>
      </c>
      <c r="H521" s="9">
        <v>0</v>
      </c>
      <c r="I521" s="1" t="s">
        <v>29</v>
      </c>
      <c r="J521" s="1" t="s">
        <v>58</v>
      </c>
      <c r="K521" s="10" t="s">
        <v>36</v>
      </c>
    </row>
    <row r="522" spans="1:11" x14ac:dyDescent="0.3">
      <c r="A522" s="6" t="s">
        <v>62</v>
      </c>
      <c r="B522" s="1" t="s">
        <v>54</v>
      </c>
      <c r="C522" s="1" t="s">
        <v>39</v>
      </c>
      <c r="D522" s="1" t="s">
        <v>33</v>
      </c>
      <c r="E522" s="1">
        <v>29</v>
      </c>
      <c r="F522" s="7">
        <v>44515</v>
      </c>
      <c r="G522" s="8">
        <v>91782</v>
      </c>
      <c r="H522" s="9">
        <v>0</v>
      </c>
      <c r="I522" s="1" t="s">
        <v>34</v>
      </c>
      <c r="J522" s="1" t="s">
        <v>35</v>
      </c>
      <c r="K522" s="10" t="s">
        <v>36</v>
      </c>
    </row>
    <row r="523" spans="1:11" x14ac:dyDescent="0.3">
      <c r="A523" s="6" t="s">
        <v>56</v>
      </c>
      <c r="B523" s="1" t="s">
        <v>57</v>
      </c>
      <c r="C523" s="1" t="s">
        <v>46</v>
      </c>
      <c r="D523" s="1" t="s">
        <v>28</v>
      </c>
      <c r="E523" s="1">
        <v>45</v>
      </c>
      <c r="F523" s="7">
        <v>42428</v>
      </c>
      <c r="G523" s="8">
        <v>211637</v>
      </c>
      <c r="H523" s="9">
        <v>0.31</v>
      </c>
      <c r="I523" s="1" t="s">
        <v>29</v>
      </c>
      <c r="J523" s="1" t="s">
        <v>40</v>
      </c>
      <c r="K523" s="10" t="s">
        <v>36</v>
      </c>
    </row>
    <row r="524" spans="1:11" x14ac:dyDescent="0.3">
      <c r="A524" s="6" t="s">
        <v>41</v>
      </c>
      <c r="B524" s="1" t="s">
        <v>26</v>
      </c>
      <c r="C524" s="1" t="s">
        <v>32</v>
      </c>
      <c r="D524" s="1" t="s">
        <v>33</v>
      </c>
      <c r="E524" s="1">
        <v>28</v>
      </c>
      <c r="F524" s="7">
        <v>44051</v>
      </c>
      <c r="G524" s="8">
        <v>73255</v>
      </c>
      <c r="H524" s="9">
        <v>0.09</v>
      </c>
      <c r="I524" s="1" t="s">
        <v>29</v>
      </c>
      <c r="J524" s="1" t="s">
        <v>43</v>
      </c>
      <c r="K524" s="10" t="s">
        <v>36</v>
      </c>
    </row>
    <row r="525" spans="1:11" x14ac:dyDescent="0.3">
      <c r="A525" s="6" t="s">
        <v>47</v>
      </c>
      <c r="B525" s="1" t="s">
        <v>45</v>
      </c>
      <c r="C525" s="1" t="s">
        <v>46</v>
      </c>
      <c r="D525" s="1" t="s">
        <v>33</v>
      </c>
      <c r="E525" s="1">
        <v>28</v>
      </c>
      <c r="F525" s="7">
        <v>44204</v>
      </c>
      <c r="G525" s="8">
        <v>108826</v>
      </c>
      <c r="H525" s="9">
        <v>0.1</v>
      </c>
      <c r="I525" s="1" t="s">
        <v>29</v>
      </c>
      <c r="J525" s="1" t="s">
        <v>49</v>
      </c>
      <c r="K525" s="10" t="s">
        <v>36</v>
      </c>
    </row>
    <row r="526" spans="1:11" x14ac:dyDescent="0.3">
      <c r="A526" s="6" t="s">
        <v>84</v>
      </c>
      <c r="B526" s="1" t="s">
        <v>26</v>
      </c>
      <c r="C526" s="1" t="s">
        <v>39</v>
      </c>
      <c r="D526" s="1" t="s">
        <v>33</v>
      </c>
      <c r="E526" s="1">
        <v>34</v>
      </c>
      <c r="F526" s="7">
        <v>42514</v>
      </c>
      <c r="G526" s="8">
        <v>94352</v>
      </c>
      <c r="H526" s="9">
        <v>0</v>
      </c>
      <c r="I526" s="1" t="s">
        <v>29</v>
      </c>
      <c r="J526" s="1" t="s">
        <v>49</v>
      </c>
      <c r="K526" s="10" t="s">
        <v>36</v>
      </c>
    </row>
    <row r="527" spans="1:11" x14ac:dyDescent="0.3">
      <c r="A527" s="6" t="s">
        <v>85</v>
      </c>
      <c r="B527" s="1" t="s">
        <v>26</v>
      </c>
      <c r="C527" s="1" t="s">
        <v>27</v>
      </c>
      <c r="D527" s="1" t="s">
        <v>28</v>
      </c>
      <c r="E527" s="1">
        <v>55</v>
      </c>
      <c r="F527" s="7">
        <v>34576</v>
      </c>
      <c r="G527" s="8">
        <v>73955</v>
      </c>
      <c r="H527" s="9">
        <v>0</v>
      </c>
      <c r="I527" s="1" t="s">
        <v>29</v>
      </c>
      <c r="J527" s="1" t="s">
        <v>43</v>
      </c>
      <c r="K527" s="10" t="s">
        <v>36</v>
      </c>
    </row>
    <row r="528" spans="1:11" x14ac:dyDescent="0.3">
      <c r="A528" s="6" t="s">
        <v>47</v>
      </c>
      <c r="B528" s="1" t="s">
        <v>52</v>
      </c>
      <c r="C528" s="1" t="s">
        <v>32</v>
      </c>
      <c r="D528" s="1" t="s">
        <v>33</v>
      </c>
      <c r="E528" s="1">
        <v>34</v>
      </c>
      <c r="F528" s="7">
        <v>41499</v>
      </c>
      <c r="G528" s="8">
        <v>113909</v>
      </c>
      <c r="H528" s="9">
        <v>0.06</v>
      </c>
      <c r="I528" s="1" t="s">
        <v>59</v>
      </c>
      <c r="J528" s="1" t="s">
        <v>61</v>
      </c>
      <c r="K528" s="10" t="s">
        <v>36</v>
      </c>
    </row>
    <row r="529" spans="1:11" x14ac:dyDescent="0.3">
      <c r="A529" s="6" t="s">
        <v>87</v>
      </c>
      <c r="B529" s="1" t="s">
        <v>26</v>
      </c>
      <c r="C529" s="1" t="s">
        <v>32</v>
      </c>
      <c r="D529" s="1" t="s">
        <v>33</v>
      </c>
      <c r="E529" s="1">
        <v>27</v>
      </c>
      <c r="F529" s="7">
        <v>44189</v>
      </c>
      <c r="G529" s="8">
        <v>92321</v>
      </c>
      <c r="H529" s="9">
        <v>0</v>
      </c>
      <c r="I529" s="1" t="s">
        <v>29</v>
      </c>
      <c r="J529" s="1" t="s">
        <v>40</v>
      </c>
      <c r="K529" s="10" t="s">
        <v>36</v>
      </c>
    </row>
    <row r="530" spans="1:11" x14ac:dyDescent="0.3">
      <c r="A530" s="6" t="s">
        <v>41</v>
      </c>
      <c r="B530" s="1" t="s">
        <v>26</v>
      </c>
      <c r="C530" s="1" t="s">
        <v>27</v>
      </c>
      <c r="D530" s="1" t="s">
        <v>33</v>
      </c>
      <c r="E530" s="1">
        <v>52</v>
      </c>
      <c r="F530" s="7">
        <v>41417</v>
      </c>
      <c r="G530" s="8">
        <v>99557</v>
      </c>
      <c r="H530" s="9">
        <v>0.09</v>
      </c>
      <c r="I530" s="1" t="s">
        <v>29</v>
      </c>
      <c r="J530" s="1" t="s">
        <v>30</v>
      </c>
      <c r="K530" s="10" t="s">
        <v>36</v>
      </c>
    </row>
    <row r="531" spans="1:11" x14ac:dyDescent="0.3">
      <c r="A531" s="6" t="s">
        <v>72</v>
      </c>
      <c r="B531" s="1" t="s">
        <v>54</v>
      </c>
      <c r="C531" s="1" t="s">
        <v>39</v>
      </c>
      <c r="D531" s="1" t="s">
        <v>28</v>
      </c>
      <c r="E531" s="1">
        <v>28</v>
      </c>
      <c r="F531" s="7">
        <v>43418</v>
      </c>
      <c r="G531" s="8">
        <v>115854</v>
      </c>
      <c r="H531" s="9">
        <v>0</v>
      </c>
      <c r="I531" s="1" t="s">
        <v>29</v>
      </c>
      <c r="J531" s="1" t="s">
        <v>43</v>
      </c>
      <c r="K531" s="10" t="s">
        <v>36</v>
      </c>
    </row>
    <row r="532" spans="1:11" x14ac:dyDescent="0.3">
      <c r="A532" s="6" t="s">
        <v>85</v>
      </c>
      <c r="B532" s="1" t="s">
        <v>26</v>
      </c>
      <c r="C532" s="1" t="s">
        <v>32</v>
      </c>
      <c r="D532" s="1" t="s">
        <v>28</v>
      </c>
      <c r="E532" s="1">
        <v>44</v>
      </c>
      <c r="F532" s="7">
        <v>40603</v>
      </c>
      <c r="G532" s="8">
        <v>82462</v>
      </c>
      <c r="H532" s="9">
        <v>0</v>
      </c>
      <c r="I532" s="1" t="s">
        <v>29</v>
      </c>
      <c r="J532" s="1" t="s">
        <v>51</v>
      </c>
      <c r="K532" s="10" t="s">
        <v>36</v>
      </c>
    </row>
    <row r="533" spans="1:11" x14ac:dyDescent="0.3">
      <c r="A533" s="6" t="s">
        <v>56</v>
      </c>
      <c r="B533" s="1" t="s">
        <v>26</v>
      </c>
      <c r="C533" s="1" t="s">
        <v>27</v>
      </c>
      <c r="D533" s="1" t="s">
        <v>28</v>
      </c>
      <c r="E533" s="1">
        <v>53</v>
      </c>
      <c r="F533" s="7">
        <v>40856</v>
      </c>
      <c r="G533" s="8">
        <v>198473</v>
      </c>
      <c r="H533" s="9">
        <v>0.32</v>
      </c>
      <c r="I533" s="1" t="s">
        <v>29</v>
      </c>
      <c r="J533" s="1" t="s">
        <v>49</v>
      </c>
      <c r="K533" s="10" t="s">
        <v>36</v>
      </c>
    </row>
    <row r="534" spans="1:11" x14ac:dyDescent="0.3">
      <c r="A534" s="6" t="s">
        <v>25</v>
      </c>
      <c r="B534" s="1" t="s">
        <v>38</v>
      </c>
      <c r="C534" s="1" t="s">
        <v>46</v>
      </c>
      <c r="D534" s="1" t="s">
        <v>28</v>
      </c>
      <c r="E534" s="1">
        <v>43</v>
      </c>
      <c r="F534" s="7">
        <v>39005</v>
      </c>
      <c r="G534" s="8">
        <v>153492</v>
      </c>
      <c r="H534" s="9">
        <v>0.11</v>
      </c>
      <c r="I534" s="1" t="s">
        <v>29</v>
      </c>
      <c r="J534" s="1" t="s">
        <v>40</v>
      </c>
      <c r="K534" s="10" t="s">
        <v>36</v>
      </c>
    </row>
    <row r="535" spans="1:11" x14ac:dyDescent="0.3">
      <c r="A535" s="6" t="s">
        <v>56</v>
      </c>
      <c r="B535" s="1" t="s">
        <v>52</v>
      </c>
      <c r="C535" s="1" t="s">
        <v>46</v>
      </c>
      <c r="D535" s="1" t="s">
        <v>28</v>
      </c>
      <c r="E535" s="1">
        <v>28</v>
      </c>
      <c r="F535" s="7">
        <v>43121</v>
      </c>
      <c r="G535" s="8">
        <v>208210</v>
      </c>
      <c r="H535" s="9">
        <v>0.3</v>
      </c>
      <c r="I535" s="1" t="s">
        <v>29</v>
      </c>
      <c r="J535" s="1" t="s">
        <v>30</v>
      </c>
      <c r="K535" s="10" t="s">
        <v>36</v>
      </c>
    </row>
    <row r="536" spans="1:11" x14ac:dyDescent="0.3">
      <c r="A536" s="6" t="s">
        <v>42</v>
      </c>
      <c r="B536" s="1" t="s">
        <v>57</v>
      </c>
      <c r="C536" s="1" t="s">
        <v>46</v>
      </c>
      <c r="D536" s="1" t="s">
        <v>33</v>
      </c>
      <c r="E536" s="1">
        <v>33</v>
      </c>
      <c r="F536" s="7">
        <v>42325</v>
      </c>
      <c r="G536" s="8">
        <v>91632</v>
      </c>
      <c r="H536" s="9">
        <v>0</v>
      </c>
      <c r="I536" s="1" t="s">
        <v>29</v>
      </c>
      <c r="J536" s="1" t="s">
        <v>43</v>
      </c>
      <c r="K536" s="10" t="s">
        <v>36</v>
      </c>
    </row>
    <row r="537" spans="1:11" x14ac:dyDescent="0.3">
      <c r="A537" s="6" t="s">
        <v>70</v>
      </c>
      <c r="B537" s="1" t="s">
        <v>52</v>
      </c>
      <c r="C537" s="1" t="s">
        <v>46</v>
      </c>
      <c r="D537" s="1" t="s">
        <v>33</v>
      </c>
      <c r="E537" s="1">
        <v>31</v>
      </c>
      <c r="F537" s="7">
        <v>43002</v>
      </c>
      <c r="G537" s="8">
        <v>71755</v>
      </c>
      <c r="H537" s="9">
        <v>0</v>
      </c>
      <c r="I537" s="1" t="s">
        <v>34</v>
      </c>
      <c r="J537" s="1" t="s">
        <v>35</v>
      </c>
      <c r="K537" s="10" t="s">
        <v>36</v>
      </c>
    </row>
    <row r="538" spans="1:11" x14ac:dyDescent="0.3">
      <c r="A538" s="6" t="s">
        <v>47</v>
      </c>
      <c r="B538" s="1" t="s">
        <v>50</v>
      </c>
      <c r="C538" s="1" t="s">
        <v>46</v>
      </c>
      <c r="D538" s="1" t="s">
        <v>28</v>
      </c>
      <c r="E538" s="1">
        <v>52</v>
      </c>
      <c r="F538" s="7">
        <v>44519</v>
      </c>
      <c r="G538" s="8">
        <v>111006</v>
      </c>
      <c r="H538" s="9">
        <v>0.08</v>
      </c>
      <c r="I538" s="1" t="s">
        <v>34</v>
      </c>
      <c r="J538" s="1" t="s">
        <v>35</v>
      </c>
      <c r="K538" s="10" t="s">
        <v>36</v>
      </c>
    </row>
    <row r="539" spans="1:11" x14ac:dyDescent="0.3">
      <c r="A539" s="6" t="s">
        <v>75</v>
      </c>
      <c r="B539" s="1" t="s">
        <v>26</v>
      </c>
      <c r="C539" s="1" t="s">
        <v>46</v>
      </c>
      <c r="D539" s="1" t="s">
        <v>33</v>
      </c>
      <c r="E539" s="1">
        <v>55</v>
      </c>
      <c r="F539" s="7">
        <v>34692</v>
      </c>
      <c r="G539" s="8">
        <v>99774</v>
      </c>
      <c r="H539" s="9">
        <v>0</v>
      </c>
      <c r="I539" s="1" t="s">
        <v>29</v>
      </c>
      <c r="J539" s="1" t="s">
        <v>51</v>
      </c>
      <c r="K539" s="10" t="s">
        <v>36</v>
      </c>
    </row>
    <row r="540" spans="1:11" x14ac:dyDescent="0.3">
      <c r="A540" s="6" t="s">
        <v>37</v>
      </c>
      <c r="B540" s="1" t="s">
        <v>26</v>
      </c>
      <c r="C540" s="1" t="s">
        <v>27</v>
      </c>
      <c r="D540" s="1" t="s">
        <v>33</v>
      </c>
      <c r="E540" s="1">
        <v>55</v>
      </c>
      <c r="F540" s="7">
        <v>39154</v>
      </c>
      <c r="G540" s="8">
        <v>184648</v>
      </c>
      <c r="H540" s="9">
        <v>0.24</v>
      </c>
      <c r="I540" s="1" t="s">
        <v>34</v>
      </c>
      <c r="J540" s="1" t="s">
        <v>55</v>
      </c>
      <c r="K540" s="10" t="s">
        <v>36</v>
      </c>
    </row>
    <row r="541" spans="1:11" x14ac:dyDescent="0.3">
      <c r="A541" s="6" t="s">
        <v>56</v>
      </c>
      <c r="B541" s="1" t="s">
        <v>26</v>
      </c>
      <c r="C541" s="1" t="s">
        <v>32</v>
      </c>
      <c r="D541" s="1" t="s">
        <v>33</v>
      </c>
      <c r="E541" s="1">
        <v>51</v>
      </c>
      <c r="F541" s="7">
        <v>37091</v>
      </c>
      <c r="G541" s="8">
        <v>247874</v>
      </c>
      <c r="H541" s="9">
        <v>0.33</v>
      </c>
      <c r="I541" s="1" t="s">
        <v>59</v>
      </c>
      <c r="J541" s="1" t="s">
        <v>60</v>
      </c>
      <c r="K541" s="10" t="s">
        <v>36</v>
      </c>
    </row>
    <row r="542" spans="1:11" x14ac:dyDescent="0.3">
      <c r="A542" s="6" t="s">
        <v>80</v>
      </c>
      <c r="B542" s="1" t="s">
        <v>54</v>
      </c>
      <c r="C542" s="1" t="s">
        <v>32</v>
      </c>
      <c r="D542" s="1" t="s">
        <v>33</v>
      </c>
      <c r="E542" s="1">
        <v>60</v>
      </c>
      <c r="F542" s="7">
        <v>39944</v>
      </c>
      <c r="G542" s="8">
        <v>62239</v>
      </c>
      <c r="H542" s="9">
        <v>0</v>
      </c>
      <c r="I542" s="1" t="s">
        <v>34</v>
      </c>
      <c r="J542" s="1" t="s">
        <v>64</v>
      </c>
      <c r="K542" s="10" t="s">
        <v>36</v>
      </c>
    </row>
    <row r="543" spans="1:11" x14ac:dyDescent="0.3">
      <c r="A543" s="6" t="s">
        <v>47</v>
      </c>
      <c r="B543" s="1" t="s">
        <v>50</v>
      </c>
      <c r="C543" s="1" t="s">
        <v>39</v>
      </c>
      <c r="D543" s="1" t="s">
        <v>28</v>
      </c>
      <c r="E543" s="1">
        <v>31</v>
      </c>
      <c r="F543" s="7">
        <v>41919</v>
      </c>
      <c r="G543" s="8">
        <v>114911</v>
      </c>
      <c r="H543" s="9">
        <v>7.0000000000000007E-2</v>
      </c>
      <c r="I543" s="1" t="s">
        <v>29</v>
      </c>
      <c r="J543" s="1" t="s">
        <v>40</v>
      </c>
      <c r="K543" s="10" t="s">
        <v>36</v>
      </c>
    </row>
    <row r="544" spans="1:11" x14ac:dyDescent="0.3">
      <c r="A544" s="6" t="s">
        <v>63</v>
      </c>
      <c r="B544" s="1" t="s">
        <v>54</v>
      </c>
      <c r="C544" s="1" t="s">
        <v>46</v>
      </c>
      <c r="D544" s="1" t="s">
        <v>33</v>
      </c>
      <c r="E544" s="1">
        <v>45</v>
      </c>
      <c r="F544" s="7">
        <v>43217</v>
      </c>
      <c r="G544" s="8">
        <v>115490</v>
      </c>
      <c r="H544" s="9">
        <v>0.12</v>
      </c>
      <c r="I544" s="1" t="s">
        <v>29</v>
      </c>
      <c r="J544" s="1" t="s">
        <v>40</v>
      </c>
      <c r="K544" s="10" t="s">
        <v>36</v>
      </c>
    </row>
    <row r="545" spans="1:11" x14ac:dyDescent="0.3">
      <c r="A545" s="6" t="s">
        <v>47</v>
      </c>
      <c r="B545" s="1" t="s">
        <v>50</v>
      </c>
      <c r="C545" s="1" t="s">
        <v>39</v>
      </c>
      <c r="D545" s="1" t="s">
        <v>33</v>
      </c>
      <c r="E545" s="1">
        <v>34</v>
      </c>
      <c r="F545" s="7">
        <v>40952</v>
      </c>
      <c r="G545" s="8">
        <v>118708</v>
      </c>
      <c r="H545" s="9">
        <v>7.0000000000000007E-2</v>
      </c>
      <c r="I545" s="1" t="s">
        <v>34</v>
      </c>
      <c r="J545" s="1" t="s">
        <v>55</v>
      </c>
      <c r="K545" s="10" t="s">
        <v>36</v>
      </c>
    </row>
    <row r="546" spans="1:11" x14ac:dyDescent="0.3">
      <c r="A546" s="6" t="s">
        <v>37</v>
      </c>
      <c r="B546" s="1" t="s">
        <v>50</v>
      </c>
      <c r="C546" s="1" t="s">
        <v>39</v>
      </c>
      <c r="D546" s="1" t="s">
        <v>28</v>
      </c>
      <c r="E546" s="1">
        <v>29</v>
      </c>
      <c r="F546" s="7">
        <v>42914</v>
      </c>
      <c r="G546" s="8">
        <v>197649</v>
      </c>
      <c r="H546" s="9">
        <v>0.2</v>
      </c>
      <c r="I546" s="1" t="s">
        <v>29</v>
      </c>
      <c r="J546" s="1" t="s">
        <v>58</v>
      </c>
      <c r="K546" s="10" t="s">
        <v>36</v>
      </c>
    </row>
    <row r="547" spans="1:11" x14ac:dyDescent="0.3">
      <c r="A547" s="6" t="s">
        <v>42</v>
      </c>
      <c r="B547" s="1" t="s">
        <v>50</v>
      </c>
      <c r="C547" s="1" t="s">
        <v>39</v>
      </c>
      <c r="D547" s="1" t="s">
        <v>28</v>
      </c>
      <c r="E547" s="1">
        <v>45</v>
      </c>
      <c r="F547" s="7">
        <v>43999</v>
      </c>
      <c r="G547" s="8">
        <v>89841</v>
      </c>
      <c r="H547" s="9">
        <v>0</v>
      </c>
      <c r="I547" s="1" t="s">
        <v>34</v>
      </c>
      <c r="J547" s="1" t="s">
        <v>64</v>
      </c>
      <c r="K547" s="10" t="s">
        <v>36</v>
      </c>
    </row>
    <row r="548" spans="1:11" x14ac:dyDescent="0.3">
      <c r="A548" s="6" t="s">
        <v>66</v>
      </c>
      <c r="B548" s="1" t="s">
        <v>38</v>
      </c>
      <c r="C548" s="1" t="s">
        <v>39</v>
      </c>
      <c r="D548" s="1" t="s">
        <v>28</v>
      </c>
      <c r="E548" s="1">
        <v>52</v>
      </c>
      <c r="F548" s="7">
        <v>43819</v>
      </c>
      <c r="G548" s="8">
        <v>61026</v>
      </c>
      <c r="H548" s="9">
        <v>0</v>
      </c>
      <c r="I548" s="1" t="s">
        <v>29</v>
      </c>
      <c r="J548" s="1" t="s">
        <v>43</v>
      </c>
      <c r="K548" s="10" t="s">
        <v>36</v>
      </c>
    </row>
    <row r="549" spans="1:11" x14ac:dyDescent="0.3">
      <c r="A549" s="6" t="s">
        <v>53</v>
      </c>
      <c r="B549" s="1" t="s">
        <v>54</v>
      </c>
      <c r="C549" s="1" t="s">
        <v>39</v>
      </c>
      <c r="D549" s="1" t="s">
        <v>28</v>
      </c>
      <c r="E549" s="1">
        <v>48</v>
      </c>
      <c r="F549" s="7">
        <v>41907</v>
      </c>
      <c r="G549" s="8">
        <v>96693</v>
      </c>
      <c r="H549" s="9">
        <v>0</v>
      </c>
      <c r="I549" s="1" t="s">
        <v>29</v>
      </c>
      <c r="J549" s="1" t="s">
        <v>40</v>
      </c>
      <c r="K549" s="10" t="s">
        <v>36</v>
      </c>
    </row>
    <row r="550" spans="1:11" x14ac:dyDescent="0.3">
      <c r="A550" s="6" t="s">
        <v>77</v>
      </c>
      <c r="B550" s="1" t="s">
        <v>54</v>
      </c>
      <c r="C550" s="1" t="s">
        <v>39</v>
      </c>
      <c r="D550" s="1" t="s">
        <v>28</v>
      </c>
      <c r="E550" s="1">
        <v>48</v>
      </c>
      <c r="F550" s="7">
        <v>39991</v>
      </c>
      <c r="G550" s="8">
        <v>82907</v>
      </c>
      <c r="H550" s="9">
        <v>0</v>
      </c>
      <c r="I550" s="1" t="s">
        <v>29</v>
      </c>
      <c r="J550" s="1" t="s">
        <v>30</v>
      </c>
      <c r="K550" s="10" t="s">
        <v>36</v>
      </c>
    </row>
    <row r="551" spans="1:11" x14ac:dyDescent="0.3">
      <c r="A551" s="6" t="s">
        <v>56</v>
      </c>
      <c r="B551" s="1" t="s">
        <v>57</v>
      </c>
      <c r="C551" s="1" t="s">
        <v>46</v>
      </c>
      <c r="D551" s="1" t="s">
        <v>33</v>
      </c>
      <c r="E551" s="1">
        <v>41</v>
      </c>
      <c r="F551" s="7">
        <v>41916</v>
      </c>
      <c r="G551" s="8">
        <v>257194</v>
      </c>
      <c r="H551" s="9">
        <v>0.35</v>
      </c>
      <c r="I551" s="1" t="s">
        <v>34</v>
      </c>
      <c r="J551" s="1" t="s">
        <v>35</v>
      </c>
      <c r="K551" s="10" t="s">
        <v>36</v>
      </c>
    </row>
    <row r="552" spans="1:11" x14ac:dyDescent="0.3">
      <c r="A552" s="6" t="s">
        <v>62</v>
      </c>
      <c r="B552" s="1" t="s">
        <v>54</v>
      </c>
      <c r="C552" s="1" t="s">
        <v>27</v>
      </c>
      <c r="D552" s="1" t="s">
        <v>33</v>
      </c>
      <c r="E552" s="1">
        <v>41</v>
      </c>
      <c r="F552" s="7">
        <v>40929</v>
      </c>
      <c r="G552" s="8">
        <v>94658</v>
      </c>
      <c r="H552" s="9">
        <v>0</v>
      </c>
      <c r="I552" s="1" t="s">
        <v>29</v>
      </c>
      <c r="J552" s="1" t="s">
        <v>49</v>
      </c>
      <c r="K552" s="10" t="s">
        <v>36</v>
      </c>
    </row>
    <row r="553" spans="1:11" x14ac:dyDescent="0.3">
      <c r="A553" s="6" t="s">
        <v>62</v>
      </c>
      <c r="B553" s="1" t="s">
        <v>54</v>
      </c>
      <c r="C553" s="1" t="s">
        <v>27</v>
      </c>
      <c r="D553" s="1" t="s">
        <v>33</v>
      </c>
      <c r="E553" s="1">
        <v>55</v>
      </c>
      <c r="F553" s="7">
        <v>40663</v>
      </c>
      <c r="G553" s="8">
        <v>89419</v>
      </c>
      <c r="H553" s="9">
        <v>0</v>
      </c>
      <c r="I553" s="1" t="s">
        <v>34</v>
      </c>
      <c r="J553" s="1" t="s">
        <v>55</v>
      </c>
      <c r="K553" s="10" t="s">
        <v>36</v>
      </c>
    </row>
    <row r="554" spans="1:11" x14ac:dyDescent="0.3">
      <c r="A554" s="6" t="s">
        <v>70</v>
      </c>
      <c r="B554" s="1" t="s">
        <v>52</v>
      </c>
      <c r="C554" s="1" t="s">
        <v>32</v>
      </c>
      <c r="D554" s="1" t="s">
        <v>33</v>
      </c>
      <c r="E554" s="1">
        <v>45</v>
      </c>
      <c r="F554" s="7">
        <v>42357</v>
      </c>
      <c r="G554" s="8">
        <v>51983</v>
      </c>
      <c r="H554" s="9">
        <v>0</v>
      </c>
      <c r="I554" s="1" t="s">
        <v>29</v>
      </c>
      <c r="J554" s="1" t="s">
        <v>58</v>
      </c>
      <c r="K554" s="10" t="s">
        <v>36</v>
      </c>
    </row>
    <row r="555" spans="1:11" x14ac:dyDescent="0.3">
      <c r="A555" s="6" t="s">
        <v>37</v>
      </c>
      <c r="B555" s="1" t="s">
        <v>38</v>
      </c>
      <c r="C555" s="1" t="s">
        <v>46</v>
      </c>
      <c r="D555" s="1" t="s">
        <v>28</v>
      </c>
      <c r="E555" s="1">
        <v>53</v>
      </c>
      <c r="F555" s="7">
        <v>37304</v>
      </c>
      <c r="G555" s="8">
        <v>179494</v>
      </c>
      <c r="H555" s="9">
        <v>0.2</v>
      </c>
      <c r="I555" s="1" t="s">
        <v>34</v>
      </c>
      <c r="J555" s="1" t="s">
        <v>35</v>
      </c>
      <c r="K555" s="10" t="s">
        <v>36</v>
      </c>
    </row>
    <row r="556" spans="1:11" x14ac:dyDescent="0.3">
      <c r="A556" s="6" t="s">
        <v>85</v>
      </c>
      <c r="B556" s="1" t="s">
        <v>26</v>
      </c>
      <c r="C556" s="1" t="s">
        <v>46</v>
      </c>
      <c r="D556" s="1" t="s">
        <v>33</v>
      </c>
      <c r="E556" s="1">
        <v>49</v>
      </c>
      <c r="F556" s="7">
        <v>42545</v>
      </c>
      <c r="G556" s="8">
        <v>68426</v>
      </c>
      <c r="H556" s="9">
        <v>0</v>
      </c>
      <c r="I556" s="1" t="s">
        <v>59</v>
      </c>
      <c r="J556" s="1" t="s">
        <v>61</v>
      </c>
      <c r="K556" s="10" t="s">
        <v>36</v>
      </c>
    </row>
    <row r="557" spans="1:11" x14ac:dyDescent="0.3">
      <c r="A557" s="6" t="s">
        <v>25</v>
      </c>
      <c r="B557" s="1" t="s">
        <v>38</v>
      </c>
      <c r="C557" s="1" t="s">
        <v>46</v>
      </c>
      <c r="D557" s="1" t="s">
        <v>28</v>
      </c>
      <c r="E557" s="1">
        <v>55</v>
      </c>
      <c r="F557" s="7">
        <v>42772</v>
      </c>
      <c r="G557" s="8">
        <v>144986</v>
      </c>
      <c r="H557" s="9">
        <v>0.12</v>
      </c>
      <c r="I557" s="1" t="s">
        <v>29</v>
      </c>
      <c r="J557" s="1" t="s">
        <v>43</v>
      </c>
      <c r="K557" s="10" t="s">
        <v>36</v>
      </c>
    </row>
    <row r="558" spans="1:11" x14ac:dyDescent="0.3">
      <c r="A558" s="6" t="s">
        <v>44</v>
      </c>
      <c r="B558" s="1" t="s">
        <v>45</v>
      </c>
      <c r="C558" s="1" t="s">
        <v>39</v>
      </c>
      <c r="D558" s="1" t="s">
        <v>28</v>
      </c>
      <c r="E558" s="1">
        <v>45</v>
      </c>
      <c r="F558" s="7">
        <v>36754</v>
      </c>
      <c r="G558" s="8">
        <v>60113</v>
      </c>
      <c r="H558" s="9">
        <v>0</v>
      </c>
      <c r="I558" s="1" t="s">
        <v>29</v>
      </c>
      <c r="J558" s="1" t="s">
        <v>40</v>
      </c>
      <c r="K558" s="10" t="s">
        <v>36</v>
      </c>
    </row>
    <row r="559" spans="1:11" x14ac:dyDescent="0.3">
      <c r="A559" s="6" t="s">
        <v>70</v>
      </c>
      <c r="B559" s="1" t="s">
        <v>52</v>
      </c>
      <c r="C559" s="1" t="s">
        <v>27</v>
      </c>
      <c r="D559" s="1" t="s">
        <v>28</v>
      </c>
      <c r="E559" s="1">
        <v>52</v>
      </c>
      <c r="F559" s="7">
        <v>44304</v>
      </c>
      <c r="G559" s="8">
        <v>50548</v>
      </c>
      <c r="H559" s="9">
        <v>0</v>
      </c>
      <c r="I559" s="1" t="s">
        <v>59</v>
      </c>
      <c r="J559" s="1" t="s">
        <v>76</v>
      </c>
      <c r="K559" s="10" t="s">
        <v>36</v>
      </c>
    </row>
    <row r="560" spans="1:11" x14ac:dyDescent="0.3">
      <c r="A560" s="6" t="s">
        <v>66</v>
      </c>
      <c r="B560" s="1" t="s">
        <v>57</v>
      </c>
      <c r="C560" s="1" t="s">
        <v>32</v>
      </c>
      <c r="D560" s="1" t="s">
        <v>28</v>
      </c>
      <c r="E560" s="1">
        <v>33</v>
      </c>
      <c r="F560" s="7">
        <v>43904</v>
      </c>
      <c r="G560" s="8">
        <v>68846</v>
      </c>
      <c r="H560" s="9">
        <v>0</v>
      </c>
      <c r="I560" s="1" t="s">
        <v>29</v>
      </c>
      <c r="J560" s="1" t="s">
        <v>40</v>
      </c>
      <c r="K560" s="10" t="s">
        <v>36</v>
      </c>
    </row>
    <row r="561" spans="1:11" x14ac:dyDescent="0.3">
      <c r="A561" s="6" t="s">
        <v>84</v>
      </c>
      <c r="B561" s="1" t="s">
        <v>26</v>
      </c>
      <c r="C561" s="1" t="s">
        <v>46</v>
      </c>
      <c r="D561" s="1" t="s">
        <v>28</v>
      </c>
      <c r="E561" s="1">
        <v>59</v>
      </c>
      <c r="F561" s="7">
        <v>41717</v>
      </c>
      <c r="G561" s="8">
        <v>90901</v>
      </c>
      <c r="H561" s="9">
        <v>0</v>
      </c>
      <c r="I561" s="1" t="s">
        <v>29</v>
      </c>
      <c r="J561" s="1" t="s">
        <v>30</v>
      </c>
      <c r="K561" s="10" t="s">
        <v>36</v>
      </c>
    </row>
    <row r="562" spans="1:11" x14ac:dyDescent="0.3">
      <c r="A562" s="6" t="s">
        <v>47</v>
      </c>
      <c r="B562" s="1" t="s">
        <v>50</v>
      </c>
      <c r="C562" s="1" t="s">
        <v>46</v>
      </c>
      <c r="D562" s="1" t="s">
        <v>28</v>
      </c>
      <c r="E562" s="1">
        <v>50</v>
      </c>
      <c r="F562" s="7">
        <v>41155</v>
      </c>
      <c r="G562" s="8">
        <v>102033</v>
      </c>
      <c r="H562" s="9">
        <v>0.08</v>
      </c>
      <c r="I562" s="1" t="s">
        <v>29</v>
      </c>
      <c r="J562" s="1" t="s">
        <v>51</v>
      </c>
      <c r="K562" s="10" t="s">
        <v>36</v>
      </c>
    </row>
    <row r="563" spans="1:11" x14ac:dyDescent="0.3">
      <c r="A563" s="6" t="s">
        <v>37</v>
      </c>
      <c r="B563" s="1" t="s">
        <v>45</v>
      </c>
      <c r="C563" s="1" t="s">
        <v>32</v>
      </c>
      <c r="D563" s="1" t="s">
        <v>28</v>
      </c>
      <c r="E563" s="1">
        <v>61</v>
      </c>
      <c r="F563" s="7">
        <v>44219</v>
      </c>
      <c r="G563" s="8">
        <v>151783</v>
      </c>
      <c r="H563" s="9">
        <v>0.26</v>
      </c>
      <c r="I563" s="1" t="s">
        <v>29</v>
      </c>
      <c r="J563" s="1" t="s">
        <v>30</v>
      </c>
      <c r="K563" s="10" t="s">
        <v>36</v>
      </c>
    </row>
    <row r="564" spans="1:11" x14ac:dyDescent="0.3">
      <c r="A564" s="6" t="s">
        <v>37</v>
      </c>
      <c r="B564" s="1" t="s">
        <v>54</v>
      </c>
      <c r="C564" s="1" t="s">
        <v>46</v>
      </c>
      <c r="D564" s="1" t="s">
        <v>28</v>
      </c>
      <c r="E564" s="1">
        <v>27</v>
      </c>
      <c r="F564" s="7">
        <v>43441</v>
      </c>
      <c r="G564" s="8">
        <v>170164</v>
      </c>
      <c r="H564" s="9">
        <v>0.17</v>
      </c>
      <c r="I564" s="1" t="s">
        <v>29</v>
      </c>
      <c r="J564" s="1" t="s">
        <v>51</v>
      </c>
      <c r="K564" s="10" t="s">
        <v>36</v>
      </c>
    </row>
    <row r="565" spans="1:11" x14ac:dyDescent="0.3">
      <c r="A565" s="6" t="s">
        <v>25</v>
      </c>
      <c r="B565" s="1" t="s">
        <v>57</v>
      </c>
      <c r="C565" s="1" t="s">
        <v>39</v>
      </c>
      <c r="D565" s="1" t="s">
        <v>28</v>
      </c>
      <c r="E565" s="1">
        <v>35</v>
      </c>
      <c r="F565" s="7">
        <v>41690</v>
      </c>
      <c r="G565" s="8">
        <v>155905</v>
      </c>
      <c r="H565" s="9">
        <v>0.14000000000000001</v>
      </c>
      <c r="I565" s="1" t="s">
        <v>29</v>
      </c>
      <c r="J565" s="1" t="s">
        <v>43</v>
      </c>
      <c r="K565" s="10" t="s">
        <v>36</v>
      </c>
    </row>
    <row r="566" spans="1:11" x14ac:dyDescent="0.3">
      <c r="A566" s="6" t="s">
        <v>48</v>
      </c>
      <c r="B566" s="1" t="s">
        <v>45</v>
      </c>
      <c r="C566" s="1" t="s">
        <v>46</v>
      </c>
      <c r="D566" s="1" t="s">
        <v>33</v>
      </c>
      <c r="E566" s="1">
        <v>40</v>
      </c>
      <c r="F566" s="7">
        <v>42721</v>
      </c>
      <c r="G566" s="8">
        <v>50733</v>
      </c>
      <c r="H566" s="9">
        <v>0</v>
      </c>
      <c r="I566" s="1" t="s">
        <v>29</v>
      </c>
      <c r="J566" s="1" t="s">
        <v>49</v>
      </c>
      <c r="K566" s="10" t="s">
        <v>36</v>
      </c>
    </row>
    <row r="567" spans="1:11" x14ac:dyDescent="0.3">
      <c r="A567" s="6" t="s">
        <v>69</v>
      </c>
      <c r="B567" s="1" t="s">
        <v>52</v>
      </c>
      <c r="C567" s="1" t="s">
        <v>46</v>
      </c>
      <c r="D567" s="1" t="s">
        <v>28</v>
      </c>
      <c r="E567" s="1">
        <v>30</v>
      </c>
      <c r="F567" s="7">
        <v>42761</v>
      </c>
      <c r="G567" s="8">
        <v>88663</v>
      </c>
      <c r="H567" s="9">
        <v>0</v>
      </c>
      <c r="I567" s="1" t="s">
        <v>29</v>
      </c>
      <c r="J567" s="1" t="s">
        <v>43</v>
      </c>
      <c r="K567" s="10" t="s">
        <v>36</v>
      </c>
    </row>
    <row r="568" spans="1:11" x14ac:dyDescent="0.3">
      <c r="A568" s="6" t="s">
        <v>71</v>
      </c>
      <c r="B568" s="1" t="s">
        <v>54</v>
      </c>
      <c r="C568" s="1" t="s">
        <v>32</v>
      </c>
      <c r="D568" s="1" t="s">
        <v>33</v>
      </c>
      <c r="E568" s="1">
        <v>60</v>
      </c>
      <c r="F568" s="7">
        <v>33890</v>
      </c>
      <c r="G568" s="8">
        <v>88213</v>
      </c>
      <c r="H568" s="9">
        <v>0</v>
      </c>
      <c r="I568" s="1" t="s">
        <v>34</v>
      </c>
      <c r="J568" s="1" t="s">
        <v>35</v>
      </c>
      <c r="K568" s="10" t="s">
        <v>36</v>
      </c>
    </row>
    <row r="569" spans="1:11" x14ac:dyDescent="0.3">
      <c r="A569" s="6" t="s">
        <v>66</v>
      </c>
      <c r="B569" s="1" t="s">
        <v>45</v>
      </c>
      <c r="C569" s="1" t="s">
        <v>39</v>
      </c>
      <c r="D569" s="1" t="s">
        <v>33</v>
      </c>
      <c r="E569" s="1">
        <v>55</v>
      </c>
      <c r="F569" s="7">
        <v>44410</v>
      </c>
      <c r="G569" s="8">
        <v>67130</v>
      </c>
      <c r="H569" s="9">
        <v>0</v>
      </c>
      <c r="I569" s="1" t="s">
        <v>29</v>
      </c>
      <c r="J569" s="1" t="s">
        <v>49</v>
      </c>
      <c r="K569" s="10" t="s">
        <v>36</v>
      </c>
    </row>
    <row r="570" spans="1:11" x14ac:dyDescent="0.3">
      <c r="A570" s="6" t="s">
        <v>42</v>
      </c>
      <c r="B570" s="1" t="s">
        <v>38</v>
      </c>
      <c r="C570" s="1" t="s">
        <v>39</v>
      </c>
      <c r="D570" s="1" t="s">
        <v>28</v>
      </c>
      <c r="E570" s="1">
        <v>33</v>
      </c>
      <c r="F570" s="7">
        <v>42285</v>
      </c>
      <c r="G570" s="8">
        <v>94876</v>
      </c>
      <c r="H570" s="9">
        <v>0</v>
      </c>
      <c r="I570" s="1" t="s">
        <v>29</v>
      </c>
      <c r="J570" s="1" t="s">
        <v>49</v>
      </c>
      <c r="K570" s="10" t="s">
        <v>36</v>
      </c>
    </row>
    <row r="571" spans="1:11" x14ac:dyDescent="0.3">
      <c r="A571" s="6" t="s">
        <v>80</v>
      </c>
      <c r="B571" s="1" t="s">
        <v>54</v>
      </c>
      <c r="C571" s="1" t="s">
        <v>39</v>
      </c>
      <c r="D571" s="1" t="s">
        <v>33</v>
      </c>
      <c r="E571" s="1">
        <v>62</v>
      </c>
      <c r="F571" s="7">
        <v>34616</v>
      </c>
      <c r="G571" s="8">
        <v>98230</v>
      </c>
      <c r="H571" s="9">
        <v>0</v>
      </c>
      <c r="I571" s="1" t="s">
        <v>29</v>
      </c>
      <c r="J571" s="1" t="s">
        <v>49</v>
      </c>
      <c r="K571" s="10" t="s">
        <v>36</v>
      </c>
    </row>
    <row r="572" spans="1:11" x14ac:dyDescent="0.3">
      <c r="A572" s="6" t="s">
        <v>77</v>
      </c>
      <c r="B572" s="1" t="s">
        <v>54</v>
      </c>
      <c r="C572" s="1" t="s">
        <v>27</v>
      </c>
      <c r="D572" s="1" t="s">
        <v>28</v>
      </c>
      <c r="E572" s="1">
        <v>36</v>
      </c>
      <c r="F572" s="7">
        <v>43448</v>
      </c>
      <c r="G572" s="8">
        <v>96757</v>
      </c>
      <c r="H572" s="9">
        <v>0</v>
      </c>
      <c r="I572" s="1" t="s">
        <v>29</v>
      </c>
      <c r="J572" s="1" t="s">
        <v>58</v>
      </c>
      <c r="K572" s="10" t="s">
        <v>36</v>
      </c>
    </row>
    <row r="573" spans="1:11" x14ac:dyDescent="0.3">
      <c r="A573" s="6" t="s">
        <v>66</v>
      </c>
      <c r="B573" s="1" t="s">
        <v>57</v>
      </c>
      <c r="C573" s="1" t="s">
        <v>32</v>
      </c>
      <c r="D573" s="1" t="s">
        <v>33</v>
      </c>
      <c r="E573" s="1">
        <v>35</v>
      </c>
      <c r="F573" s="7">
        <v>44015</v>
      </c>
      <c r="G573" s="8">
        <v>51513</v>
      </c>
      <c r="H573" s="9">
        <v>0</v>
      </c>
      <c r="I573" s="1" t="s">
        <v>29</v>
      </c>
      <c r="J573" s="1" t="s">
        <v>58</v>
      </c>
      <c r="K573" s="10" t="s">
        <v>36</v>
      </c>
    </row>
    <row r="574" spans="1:11" x14ac:dyDescent="0.3">
      <c r="A574" s="6" t="s">
        <v>56</v>
      </c>
      <c r="B574" s="1" t="s">
        <v>57</v>
      </c>
      <c r="C574" s="1" t="s">
        <v>46</v>
      </c>
      <c r="D574" s="1" t="s">
        <v>33</v>
      </c>
      <c r="E574" s="1">
        <v>60</v>
      </c>
      <c r="F574" s="7">
        <v>39109</v>
      </c>
      <c r="G574" s="8">
        <v>234311</v>
      </c>
      <c r="H574" s="9">
        <v>0.37</v>
      </c>
      <c r="I574" s="1" t="s">
        <v>29</v>
      </c>
      <c r="J574" s="1" t="s">
        <v>49</v>
      </c>
      <c r="K574" s="10" t="s">
        <v>36</v>
      </c>
    </row>
    <row r="575" spans="1:11" x14ac:dyDescent="0.3">
      <c r="A575" s="6" t="s">
        <v>25</v>
      </c>
      <c r="B575" s="1" t="s">
        <v>52</v>
      </c>
      <c r="C575" s="1" t="s">
        <v>39</v>
      </c>
      <c r="D575" s="1" t="s">
        <v>28</v>
      </c>
      <c r="E575" s="1">
        <v>45</v>
      </c>
      <c r="F575" s="7">
        <v>40685</v>
      </c>
      <c r="G575" s="8">
        <v>152353</v>
      </c>
      <c r="H575" s="9">
        <v>0.14000000000000001</v>
      </c>
      <c r="I575" s="1" t="s">
        <v>29</v>
      </c>
      <c r="J575" s="1" t="s">
        <v>30</v>
      </c>
      <c r="K575" s="10" t="s">
        <v>36</v>
      </c>
    </row>
    <row r="576" spans="1:11" x14ac:dyDescent="0.3">
      <c r="A576" s="6" t="s">
        <v>25</v>
      </c>
      <c r="B576" s="1" t="s">
        <v>50</v>
      </c>
      <c r="C576" s="1" t="s">
        <v>39</v>
      </c>
      <c r="D576" s="1" t="s">
        <v>28</v>
      </c>
      <c r="E576" s="1">
        <v>48</v>
      </c>
      <c r="F576" s="7">
        <v>40389</v>
      </c>
      <c r="G576" s="8">
        <v>124774</v>
      </c>
      <c r="H576" s="9">
        <v>0.12</v>
      </c>
      <c r="I576" s="1" t="s">
        <v>29</v>
      </c>
      <c r="J576" s="1" t="s">
        <v>43</v>
      </c>
      <c r="K576" s="10" t="s">
        <v>36</v>
      </c>
    </row>
    <row r="577" spans="1:11" x14ac:dyDescent="0.3">
      <c r="A577" s="6" t="s">
        <v>37</v>
      </c>
      <c r="B577" s="1" t="s">
        <v>57</v>
      </c>
      <c r="C577" s="1" t="s">
        <v>46</v>
      </c>
      <c r="D577" s="1" t="s">
        <v>28</v>
      </c>
      <c r="E577" s="1">
        <v>36</v>
      </c>
      <c r="F577" s="7">
        <v>40434</v>
      </c>
      <c r="G577" s="8">
        <v>157070</v>
      </c>
      <c r="H577" s="9">
        <v>0.28000000000000003</v>
      </c>
      <c r="I577" s="1" t="s">
        <v>34</v>
      </c>
      <c r="J577" s="1" t="s">
        <v>35</v>
      </c>
      <c r="K577" s="10" t="s">
        <v>36</v>
      </c>
    </row>
    <row r="578" spans="1:11" x14ac:dyDescent="0.3">
      <c r="A578" s="6" t="s">
        <v>25</v>
      </c>
      <c r="B578" s="1" t="s">
        <v>38</v>
      </c>
      <c r="C578" s="1" t="s">
        <v>39</v>
      </c>
      <c r="D578" s="1" t="s">
        <v>33</v>
      </c>
      <c r="E578" s="1">
        <v>44</v>
      </c>
      <c r="F578" s="7">
        <v>43685</v>
      </c>
      <c r="G578" s="8">
        <v>130133</v>
      </c>
      <c r="H578" s="9">
        <v>0.15</v>
      </c>
      <c r="I578" s="1" t="s">
        <v>29</v>
      </c>
      <c r="J578" s="1" t="s">
        <v>51</v>
      </c>
      <c r="K578" s="10">
        <v>44699</v>
      </c>
    </row>
    <row r="579" spans="1:11" x14ac:dyDescent="0.3">
      <c r="A579" s="6" t="s">
        <v>47</v>
      </c>
      <c r="B579" s="1" t="s">
        <v>57</v>
      </c>
      <c r="C579" s="1" t="s">
        <v>32</v>
      </c>
      <c r="D579" s="1" t="s">
        <v>28</v>
      </c>
      <c r="E579" s="1">
        <v>64</v>
      </c>
      <c r="F579" s="7">
        <v>43729</v>
      </c>
      <c r="G579" s="8">
        <v>108780</v>
      </c>
      <c r="H579" s="9">
        <v>0.06</v>
      </c>
      <c r="I579" s="1" t="s">
        <v>34</v>
      </c>
      <c r="J579" s="1" t="s">
        <v>55</v>
      </c>
      <c r="K579" s="10" t="s">
        <v>36</v>
      </c>
    </row>
    <row r="580" spans="1:11" x14ac:dyDescent="0.3">
      <c r="A580" s="6" t="s">
        <v>37</v>
      </c>
      <c r="B580" s="1" t="s">
        <v>54</v>
      </c>
      <c r="C580" s="1" t="s">
        <v>39</v>
      </c>
      <c r="D580" s="1" t="s">
        <v>28</v>
      </c>
      <c r="E580" s="1">
        <v>46</v>
      </c>
      <c r="F580" s="7">
        <v>44125</v>
      </c>
      <c r="G580" s="8">
        <v>151853</v>
      </c>
      <c r="H580" s="9">
        <v>0.16</v>
      </c>
      <c r="I580" s="1" t="s">
        <v>34</v>
      </c>
      <c r="J580" s="1" t="s">
        <v>68</v>
      </c>
      <c r="K580" s="10" t="s">
        <v>36</v>
      </c>
    </row>
    <row r="581" spans="1:11" x14ac:dyDescent="0.3">
      <c r="A581" s="6" t="s">
        <v>44</v>
      </c>
      <c r="B581" s="1" t="s">
        <v>45</v>
      </c>
      <c r="C581" s="1" t="s">
        <v>32</v>
      </c>
      <c r="D581" s="1" t="s">
        <v>28</v>
      </c>
      <c r="E581" s="1">
        <v>62</v>
      </c>
      <c r="F581" s="7">
        <v>38977</v>
      </c>
      <c r="G581" s="8">
        <v>64669</v>
      </c>
      <c r="H581" s="9">
        <v>0</v>
      </c>
      <c r="I581" s="1" t="s">
        <v>34</v>
      </c>
      <c r="J581" s="1" t="s">
        <v>35</v>
      </c>
      <c r="K581" s="10" t="s">
        <v>36</v>
      </c>
    </row>
    <row r="582" spans="1:11" x14ac:dyDescent="0.3">
      <c r="A582" s="6" t="s">
        <v>66</v>
      </c>
      <c r="B582" s="1" t="s">
        <v>57</v>
      </c>
      <c r="C582" s="1" t="s">
        <v>27</v>
      </c>
      <c r="D582" s="1" t="s">
        <v>33</v>
      </c>
      <c r="E582" s="1">
        <v>61</v>
      </c>
      <c r="F582" s="7">
        <v>39568</v>
      </c>
      <c r="G582" s="8">
        <v>69352</v>
      </c>
      <c r="H582" s="9">
        <v>0</v>
      </c>
      <c r="I582" s="1" t="s">
        <v>59</v>
      </c>
      <c r="J582" s="1" t="s">
        <v>61</v>
      </c>
      <c r="K582" s="10" t="s">
        <v>36</v>
      </c>
    </row>
    <row r="583" spans="1:11" x14ac:dyDescent="0.3">
      <c r="A583" s="6" t="s">
        <v>66</v>
      </c>
      <c r="B583" s="1" t="s">
        <v>57</v>
      </c>
      <c r="C583" s="1" t="s">
        <v>27</v>
      </c>
      <c r="D583" s="1" t="s">
        <v>33</v>
      </c>
      <c r="E583" s="1">
        <v>65</v>
      </c>
      <c r="F583" s="7">
        <v>37181</v>
      </c>
      <c r="G583" s="8">
        <v>74631</v>
      </c>
      <c r="H583" s="9">
        <v>0</v>
      </c>
      <c r="I583" s="1" t="s">
        <v>34</v>
      </c>
      <c r="J583" s="1" t="s">
        <v>35</v>
      </c>
      <c r="K583" s="10" t="s">
        <v>36</v>
      </c>
    </row>
    <row r="584" spans="1:11" x14ac:dyDescent="0.3">
      <c r="A584" s="6" t="s">
        <v>62</v>
      </c>
      <c r="B584" s="1" t="s">
        <v>54</v>
      </c>
      <c r="C584" s="1" t="s">
        <v>39</v>
      </c>
      <c r="D584" s="1" t="s">
        <v>33</v>
      </c>
      <c r="E584" s="1">
        <v>54</v>
      </c>
      <c r="F584" s="7">
        <v>41028</v>
      </c>
      <c r="G584" s="8">
        <v>96441</v>
      </c>
      <c r="H584" s="9">
        <v>0</v>
      </c>
      <c r="I584" s="1" t="s">
        <v>59</v>
      </c>
      <c r="J584" s="1" t="s">
        <v>76</v>
      </c>
      <c r="K584" s="10" t="s">
        <v>36</v>
      </c>
    </row>
    <row r="585" spans="1:11" x14ac:dyDescent="0.3">
      <c r="A585" s="6" t="s">
        <v>63</v>
      </c>
      <c r="B585" s="1" t="s">
        <v>54</v>
      </c>
      <c r="C585" s="1" t="s">
        <v>39</v>
      </c>
      <c r="D585" s="1" t="s">
        <v>33</v>
      </c>
      <c r="E585" s="1">
        <v>46</v>
      </c>
      <c r="F585" s="7">
        <v>40836</v>
      </c>
      <c r="G585" s="8">
        <v>114250</v>
      </c>
      <c r="H585" s="9">
        <v>0.14000000000000001</v>
      </c>
      <c r="I585" s="1" t="s">
        <v>34</v>
      </c>
      <c r="J585" s="1" t="s">
        <v>68</v>
      </c>
      <c r="K585" s="10" t="s">
        <v>36</v>
      </c>
    </row>
    <row r="586" spans="1:11" x14ac:dyDescent="0.3">
      <c r="A586" s="6" t="s">
        <v>41</v>
      </c>
      <c r="B586" s="1" t="s">
        <v>26</v>
      </c>
      <c r="C586" s="1" t="s">
        <v>46</v>
      </c>
      <c r="D586" s="1" t="s">
        <v>33</v>
      </c>
      <c r="E586" s="1">
        <v>36</v>
      </c>
      <c r="F586" s="7">
        <v>44192</v>
      </c>
      <c r="G586" s="8">
        <v>70165</v>
      </c>
      <c r="H586" s="9">
        <v>7.0000000000000007E-2</v>
      </c>
      <c r="I586" s="1" t="s">
        <v>59</v>
      </c>
      <c r="J586" s="1" t="s">
        <v>60</v>
      </c>
      <c r="K586" s="10" t="s">
        <v>36</v>
      </c>
    </row>
    <row r="587" spans="1:11" x14ac:dyDescent="0.3">
      <c r="A587" s="6" t="s">
        <v>47</v>
      </c>
      <c r="B587" s="1" t="s">
        <v>26</v>
      </c>
      <c r="C587" s="1" t="s">
        <v>46</v>
      </c>
      <c r="D587" s="1" t="s">
        <v>33</v>
      </c>
      <c r="E587" s="1">
        <v>60</v>
      </c>
      <c r="F587" s="7">
        <v>36554</v>
      </c>
      <c r="G587" s="8">
        <v>109059</v>
      </c>
      <c r="H587" s="9">
        <v>7.0000000000000007E-2</v>
      </c>
      <c r="I587" s="1" t="s">
        <v>34</v>
      </c>
      <c r="J587" s="1" t="s">
        <v>68</v>
      </c>
      <c r="K587" s="10" t="s">
        <v>36</v>
      </c>
    </row>
    <row r="588" spans="1:11" x14ac:dyDescent="0.3">
      <c r="A588" s="6" t="s">
        <v>73</v>
      </c>
      <c r="B588" s="1" t="s">
        <v>54</v>
      </c>
      <c r="C588" s="1" t="s">
        <v>27</v>
      </c>
      <c r="D588" s="1" t="s">
        <v>28</v>
      </c>
      <c r="E588" s="1">
        <v>30</v>
      </c>
      <c r="F588" s="7">
        <v>42322</v>
      </c>
      <c r="G588" s="8">
        <v>77442</v>
      </c>
      <c r="H588" s="9">
        <v>0</v>
      </c>
      <c r="I588" s="1" t="s">
        <v>29</v>
      </c>
      <c r="J588" s="1" t="s">
        <v>58</v>
      </c>
      <c r="K588" s="10" t="s">
        <v>36</v>
      </c>
    </row>
    <row r="589" spans="1:11" x14ac:dyDescent="0.3">
      <c r="A589" s="6" t="s">
        <v>66</v>
      </c>
      <c r="B589" s="1" t="s">
        <v>45</v>
      </c>
      <c r="C589" s="1" t="s">
        <v>46</v>
      </c>
      <c r="D589" s="1" t="s">
        <v>28</v>
      </c>
      <c r="E589" s="1">
        <v>34</v>
      </c>
      <c r="F589" s="7">
        <v>41066</v>
      </c>
      <c r="G589" s="8">
        <v>72126</v>
      </c>
      <c r="H589" s="9">
        <v>0</v>
      </c>
      <c r="I589" s="1" t="s">
        <v>59</v>
      </c>
      <c r="J589" s="1" t="s">
        <v>60</v>
      </c>
      <c r="K589" s="10" t="s">
        <v>36</v>
      </c>
    </row>
    <row r="590" spans="1:11" x14ac:dyDescent="0.3">
      <c r="A590" s="6" t="s">
        <v>86</v>
      </c>
      <c r="B590" s="1" t="s">
        <v>26</v>
      </c>
      <c r="C590" s="1" t="s">
        <v>32</v>
      </c>
      <c r="D590" s="1" t="s">
        <v>33</v>
      </c>
      <c r="E590" s="1">
        <v>55</v>
      </c>
      <c r="F590" s="7">
        <v>41565</v>
      </c>
      <c r="G590" s="8">
        <v>70334</v>
      </c>
      <c r="H590" s="9">
        <v>0</v>
      </c>
      <c r="I590" s="1" t="s">
        <v>29</v>
      </c>
      <c r="J590" s="1" t="s">
        <v>49</v>
      </c>
      <c r="K590" s="10" t="s">
        <v>36</v>
      </c>
    </row>
    <row r="591" spans="1:11" x14ac:dyDescent="0.3">
      <c r="A591" s="6" t="s">
        <v>62</v>
      </c>
      <c r="B591" s="1" t="s">
        <v>54</v>
      </c>
      <c r="C591" s="1" t="s">
        <v>27</v>
      </c>
      <c r="D591" s="1" t="s">
        <v>33</v>
      </c>
      <c r="E591" s="1">
        <v>59</v>
      </c>
      <c r="F591" s="7">
        <v>40170</v>
      </c>
      <c r="G591" s="8">
        <v>78006</v>
      </c>
      <c r="H591" s="9">
        <v>0</v>
      </c>
      <c r="I591" s="1" t="s">
        <v>29</v>
      </c>
      <c r="J591" s="1" t="s">
        <v>49</v>
      </c>
      <c r="K591" s="10" t="s">
        <v>36</v>
      </c>
    </row>
    <row r="592" spans="1:11" x14ac:dyDescent="0.3">
      <c r="A592" s="6" t="s">
        <v>37</v>
      </c>
      <c r="B592" s="1" t="s">
        <v>26</v>
      </c>
      <c r="C592" s="1" t="s">
        <v>32</v>
      </c>
      <c r="D592" s="1" t="s">
        <v>28</v>
      </c>
      <c r="E592" s="1">
        <v>28</v>
      </c>
      <c r="F592" s="7">
        <v>44221</v>
      </c>
      <c r="G592" s="8">
        <v>160385</v>
      </c>
      <c r="H592" s="9">
        <v>0.23</v>
      </c>
      <c r="I592" s="1" t="s">
        <v>29</v>
      </c>
      <c r="J592" s="1" t="s">
        <v>49</v>
      </c>
      <c r="K592" s="10">
        <v>44334</v>
      </c>
    </row>
    <row r="593" spans="1:11" x14ac:dyDescent="0.3">
      <c r="A593" s="6" t="s">
        <v>56</v>
      </c>
      <c r="B593" s="1" t="s">
        <v>38</v>
      </c>
      <c r="C593" s="1" t="s">
        <v>46</v>
      </c>
      <c r="D593" s="1" t="s">
        <v>28</v>
      </c>
      <c r="E593" s="1">
        <v>36</v>
      </c>
      <c r="F593" s="7">
        <v>41650</v>
      </c>
      <c r="G593" s="8">
        <v>202323</v>
      </c>
      <c r="H593" s="9">
        <v>0.39</v>
      </c>
      <c r="I593" s="1" t="s">
        <v>29</v>
      </c>
      <c r="J593" s="1" t="s">
        <v>40</v>
      </c>
      <c r="K593" s="10" t="s">
        <v>36</v>
      </c>
    </row>
    <row r="594" spans="1:11" x14ac:dyDescent="0.3">
      <c r="A594" s="6" t="s">
        <v>25</v>
      </c>
      <c r="B594" s="1" t="s">
        <v>52</v>
      </c>
      <c r="C594" s="1" t="s">
        <v>46</v>
      </c>
      <c r="D594" s="1" t="s">
        <v>28</v>
      </c>
      <c r="E594" s="1">
        <v>29</v>
      </c>
      <c r="F594" s="7">
        <v>44025</v>
      </c>
      <c r="G594" s="8">
        <v>141555</v>
      </c>
      <c r="H594" s="9">
        <v>0.11</v>
      </c>
      <c r="I594" s="1" t="s">
        <v>59</v>
      </c>
      <c r="J594" s="1" t="s">
        <v>60</v>
      </c>
      <c r="K594" s="10" t="s">
        <v>36</v>
      </c>
    </row>
    <row r="595" spans="1:11" x14ac:dyDescent="0.3">
      <c r="A595" s="6" t="s">
        <v>37</v>
      </c>
      <c r="B595" s="1" t="s">
        <v>38</v>
      </c>
      <c r="C595" s="1" t="s">
        <v>39</v>
      </c>
      <c r="D595" s="1" t="s">
        <v>28</v>
      </c>
      <c r="E595" s="1">
        <v>34</v>
      </c>
      <c r="F595" s="7">
        <v>44032</v>
      </c>
      <c r="G595" s="8">
        <v>184960</v>
      </c>
      <c r="H595" s="9">
        <v>0.18</v>
      </c>
      <c r="I595" s="1" t="s">
        <v>29</v>
      </c>
      <c r="J595" s="1" t="s">
        <v>30</v>
      </c>
      <c r="K595" s="10" t="s">
        <v>36</v>
      </c>
    </row>
    <row r="596" spans="1:11" x14ac:dyDescent="0.3">
      <c r="A596" s="6" t="s">
        <v>56</v>
      </c>
      <c r="B596" s="1" t="s">
        <v>26</v>
      </c>
      <c r="C596" s="1" t="s">
        <v>32</v>
      </c>
      <c r="D596" s="1" t="s">
        <v>33</v>
      </c>
      <c r="E596" s="1">
        <v>37</v>
      </c>
      <c r="F596" s="7">
        <v>40719</v>
      </c>
      <c r="G596" s="8">
        <v>221592</v>
      </c>
      <c r="H596" s="9">
        <v>0.31</v>
      </c>
      <c r="I596" s="1" t="s">
        <v>29</v>
      </c>
      <c r="J596" s="1" t="s">
        <v>58</v>
      </c>
      <c r="K596" s="10" t="s">
        <v>36</v>
      </c>
    </row>
    <row r="597" spans="1:11" x14ac:dyDescent="0.3">
      <c r="A597" s="6" t="s">
        <v>70</v>
      </c>
      <c r="B597" s="1" t="s">
        <v>52</v>
      </c>
      <c r="C597" s="1" t="s">
        <v>32</v>
      </c>
      <c r="D597" s="1" t="s">
        <v>28</v>
      </c>
      <c r="E597" s="1">
        <v>44</v>
      </c>
      <c r="F597" s="7">
        <v>39841</v>
      </c>
      <c r="G597" s="8">
        <v>53301</v>
      </c>
      <c r="H597" s="9">
        <v>0</v>
      </c>
      <c r="I597" s="1" t="s">
        <v>29</v>
      </c>
      <c r="J597" s="1" t="s">
        <v>30</v>
      </c>
      <c r="K597" s="10" t="s">
        <v>36</v>
      </c>
    </row>
    <row r="598" spans="1:11" x14ac:dyDescent="0.3">
      <c r="A598" s="6" t="s">
        <v>75</v>
      </c>
      <c r="B598" s="1" t="s">
        <v>26</v>
      </c>
      <c r="C598" s="1" t="s">
        <v>46</v>
      </c>
      <c r="D598" s="1" t="s">
        <v>33</v>
      </c>
      <c r="E598" s="1">
        <v>45</v>
      </c>
      <c r="F598" s="7">
        <v>36587</v>
      </c>
      <c r="G598" s="8">
        <v>91276</v>
      </c>
      <c r="H598" s="9">
        <v>0</v>
      </c>
      <c r="I598" s="1" t="s">
        <v>29</v>
      </c>
      <c r="J598" s="1" t="s">
        <v>30</v>
      </c>
      <c r="K598" s="10" t="s">
        <v>36</v>
      </c>
    </row>
    <row r="599" spans="1:11" x14ac:dyDescent="0.3">
      <c r="A599" s="6" t="s">
        <v>25</v>
      </c>
      <c r="B599" s="1" t="s">
        <v>52</v>
      </c>
      <c r="C599" s="1" t="s">
        <v>27</v>
      </c>
      <c r="D599" s="1" t="s">
        <v>28</v>
      </c>
      <c r="E599" s="1">
        <v>52</v>
      </c>
      <c r="F599" s="7">
        <v>42983</v>
      </c>
      <c r="G599" s="8">
        <v>140042</v>
      </c>
      <c r="H599" s="9">
        <v>0.13</v>
      </c>
      <c r="I599" s="1" t="s">
        <v>29</v>
      </c>
      <c r="J599" s="1" t="s">
        <v>51</v>
      </c>
      <c r="K599" s="10" t="s">
        <v>36</v>
      </c>
    </row>
    <row r="600" spans="1:11" x14ac:dyDescent="0.3">
      <c r="A600" s="6" t="s">
        <v>48</v>
      </c>
      <c r="B600" s="1" t="s">
        <v>50</v>
      </c>
      <c r="C600" s="1" t="s">
        <v>32</v>
      </c>
      <c r="D600" s="1" t="s">
        <v>28</v>
      </c>
      <c r="E600" s="1">
        <v>40</v>
      </c>
      <c r="F600" s="7">
        <v>43440</v>
      </c>
      <c r="G600" s="8">
        <v>57225</v>
      </c>
      <c r="H600" s="9">
        <v>0</v>
      </c>
      <c r="I600" s="1" t="s">
        <v>29</v>
      </c>
      <c r="J600" s="1" t="s">
        <v>58</v>
      </c>
      <c r="K600" s="10" t="s">
        <v>36</v>
      </c>
    </row>
    <row r="601" spans="1:11" x14ac:dyDescent="0.3">
      <c r="A601" s="6" t="s">
        <v>47</v>
      </c>
      <c r="B601" s="1" t="s">
        <v>52</v>
      </c>
      <c r="C601" s="1" t="s">
        <v>39</v>
      </c>
      <c r="D601" s="1" t="s">
        <v>28</v>
      </c>
      <c r="E601" s="1">
        <v>55</v>
      </c>
      <c r="F601" s="7">
        <v>40233</v>
      </c>
      <c r="G601" s="8">
        <v>102839</v>
      </c>
      <c r="H601" s="9">
        <v>0.05</v>
      </c>
      <c r="I601" s="1" t="s">
        <v>29</v>
      </c>
      <c r="J601" s="1" t="s">
        <v>49</v>
      </c>
      <c r="K601" s="10" t="s">
        <v>36</v>
      </c>
    </row>
    <row r="602" spans="1:11" x14ac:dyDescent="0.3">
      <c r="A602" s="6" t="s">
        <v>37</v>
      </c>
      <c r="B602" s="1" t="s">
        <v>57</v>
      </c>
      <c r="C602" s="1" t="s">
        <v>27</v>
      </c>
      <c r="D602" s="1" t="s">
        <v>33</v>
      </c>
      <c r="E602" s="1">
        <v>29</v>
      </c>
      <c r="F602" s="7">
        <v>44454</v>
      </c>
      <c r="G602" s="8">
        <v>199783</v>
      </c>
      <c r="H602" s="9">
        <v>0.21</v>
      </c>
      <c r="I602" s="1" t="s">
        <v>29</v>
      </c>
      <c r="J602" s="1" t="s">
        <v>40</v>
      </c>
      <c r="K602" s="10">
        <v>44661</v>
      </c>
    </row>
    <row r="603" spans="1:11" x14ac:dyDescent="0.3">
      <c r="A603" s="6" t="s">
        <v>69</v>
      </c>
      <c r="B603" s="1" t="s">
        <v>52</v>
      </c>
      <c r="C603" s="1" t="s">
        <v>27</v>
      </c>
      <c r="D603" s="1" t="s">
        <v>33</v>
      </c>
      <c r="E603" s="1">
        <v>32</v>
      </c>
      <c r="F603" s="7">
        <v>44295</v>
      </c>
      <c r="G603" s="8">
        <v>70980</v>
      </c>
      <c r="H603" s="9">
        <v>0</v>
      </c>
      <c r="I603" s="1" t="s">
        <v>59</v>
      </c>
      <c r="J603" s="1" t="s">
        <v>61</v>
      </c>
      <c r="K603" s="10" t="s">
        <v>36</v>
      </c>
    </row>
    <row r="604" spans="1:11" x14ac:dyDescent="0.3">
      <c r="A604" s="6" t="s">
        <v>47</v>
      </c>
      <c r="B604" s="1" t="s">
        <v>57</v>
      </c>
      <c r="C604" s="1" t="s">
        <v>46</v>
      </c>
      <c r="D604" s="1" t="s">
        <v>33</v>
      </c>
      <c r="E604" s="1">
        <v>51</v>
      </c>
      <c r="F604" s="7">
        <v>35456</v>
      </c>
      <c r="G604" s="8">
        <v>104431</v>
      </c>
      <c r="H604" s="9">
        <v>7.0000000000000007E-2</v>
      </c>
      <c r="I604" s="1" t="s">
        <v>29</v>
      </c>
      <c r="J604" s="1" t="s">
        <v>43</v>
      </c>
      <c r="K604" s="10" t="s">
        <v>36</v>
      </c>
    </row>
    <row r="605" spans="1:11" x14ac:dyDescent="0.3">
      <c r="A605" s="6" t="s">
        <v>74</v>
      </c>
      <c r="B605" s="1" t="s">
        <v>52</v>
      </c>
      <c r="C605" s="1" t="s">
        <v>39</v>
      </c>
      <c r="D605" s="1" t="s">
        <v>33</v>
      </c>
      <c r="E605" s="1">
        <v>28</v>
      </c>
      <c r="F605" s="7">
        <v>44374</v>
      </c>
      <c r="G605" s="8">
        <v>48510</v>
      </c>
      <c r="H605" s="9">
        <v>0</v>
      </c>
      <c r="I605" s="1" t="s">
        <v>29</v>
      </c>
      <c r="J605" s="1" t="s">
        <v>40</v>
      </c>
      <c r="K605" s="10" t="s">
        <v>36</v>
      </c>
    </row>
    <row r="606" spans="1:11" x14ac:dyDescent="0.3">
      <c r="A606" s="6" t="s">
        <v>62</v>
      </c>
      <c r="B606" s="1" t="s">
        <v>54</v>
      </c>
      <c r="C606" s="1" t="s">
        <v>39</v>
      </c>
      <c r="D606" s="1" t="s">
        <v>33</v>
      </c>
      <c r="E606" s="1">
        <v>27</v>
      </c>
      <c r="F606" s="7">
        <v>43613</v>
      </c>
      <c r="G606" s="8">
        <v>70110</v>
      </c>
      <c r="H606" s="9">
        <v>0</v>
      </c>
      <c r="I606" s="1" t="s">
        <v>29</v>
      </c>
      <c r="J606" s="1" t="s">
        <v>49</v>
      </c>
      <c r="K606" s="10">
        <v>44203</v>
      </c>
    </row>
    <row r="607" spans="1:11" x14ac:dyDescent="0.3">
      <c r="A607" s="6" t="s">
        <v>37</v>
      </c>
      <c r="B607" s="1" t="s">
        <v>57</v>
      </c>
      <c r="C607" s="1" t="s">
        <v>46</v>
      </c>
      <c r="D607" s="1" t="s">
        <v>33</v>
      </c>
      <c r="E607" s="1">
        <v>45</v>
      </c>
      <c r="F607" s="7">
        <v>39519</v>
      </c>
      <c r="G607" s="8">
        <v>186138</v>
      </c>
      <c r="H607" s="9">
        <v>0.28000000000000003</v>
      </c>
      <c r="I607" s="1" t="s">
        <v>34</v>
      </c>
      <c r="J607" s="1" t="s">
        <v>35</v>
      </c>
      <c r="K607" s="10" t="s">
        <v>36</v>
      </c>
    </row>
    <row r="608" spans="1:11" x14ac:dyDescent="0.3">
      <c r="A608" s="6" t="s">
        <v>48</v>
      </c>
      <c r="B608" s="1" t="s">
        <v>50</v>
      </c>
      <c r="C608" s="1" t="s">
        <v>32</v>
      </c>
      <c r="D608" s="1" t="s">
        <v>33</v>
      </c>
      <c r="E608" s="1">
        <v>58</v>
      </c>
      <c r="F608" s="7">
        <v>40287</v>
      </c>
      <c r="G608" s="8">
        <v>56350</v>
      </c>
      <c r="H608" s="9">
        <v>0</v>
      </c>
      <c r="I608" s="1" t="s">
        <v>59</v>
      </c>
      <c r="J608" s="1" t="s">
        <v>61</v>
      </c>
      <c r="K608" s="10" t="s">
        <v>36</v>
      </c>
    </row>
    <row r="609" spans="1:11" x14ac:dyDescent="0.3">
      <c r="A609" s="6" t="s">
        <v>25</v>
      </c>
      <c r="B609" s="1" t="s">
        <v>38</v>
      </c>
      <c r="C609" s="1" t="s">
        <v>27</v>
      </c>
      <c r="D609" s="1" t="s">
        <v>28</v>
      </c>
      <c r="E609" s="1">
        <v>45</v>
      </c>
      <c r="F609" s="7">
        <v>42379</v>
      </c>
      <c r="G609" s="8">
        <v>149761</v>
      </c>
      <c r="H609" s="9">
        <v>0.12</v>
      </c>
      <c r="I609" s="1" t="s">
        <v>29</v>
      </c>
      <c r="J609" s="1" t="s">
        <v>58</v>
      </c>
      <c r="K609" s="10" t="s">
        <v>36</v>
      </c>
    </row>
    <row r="610" spans="1:11" x14ac:dyDescent="0.3">
      <c r="A610" s="6" t="s">
        <v>25</v>
      </c>
      <c r="B610" s="1" t="s">
        <v>38</v>
      </c>
      <c r="C610" s="1" t="s">
        <v>46</v>
      </c>
      <c r="D610" s="1" t="s">
        <v>33</v>
      </c>
      <c r="E610" s="1">
        <v>44</v>
      </c>
      <c r="F610" s="7">
        <v>39305</v>
      </c>
      <c r="G610" s="8">
        <v>126277</v>
      </c>
      <c r="H610" s="9">
        <v>0.13</v>
      </c>
      <c r="I610" s="1" t="s">
        <v>59</v>
      </c>
      <c r="J610" s="1" t="s">
        <v>60</v>
      </c>
      <c r="K610" s="10" t="s">
        <v>36</v>
      </c>
    </row>
    <row r="611" spans="1:11" x14ac:dyDescent="0.3">
      <c r="A611" s="6" t="s">
        <v>47</v>
      </c>
      <c r="B611" s="1" t="s">
        <v>45</v>
      </c>
      <c r="C611" s="1" t="s">
        <v>39</v>
      </c>
      <c r="D611" s="1" t="s">
        <v>33</v>
      </c>
      <c r="E611" s="1">
        <v>33</v>
      </c>
      <c r="F611" s="7">
        <v>41446</v>
      </c>
      <c r="G611" s="8">
        <v>119631</v>
      </c>
      <c r="H611" s="9">
        <v>0.06</v>
      </c>
      <c r="I611" s="1" t="s">
        <v>29</v>
      </c>
      <c r="J611" s="1" t="s">
        <v>43</v>
      </c>
      <c r="K611" s="10" t="s">
        <v>36</v>
      </c>
    </row>
    <row r="612" spans="1:11" x14ac:dyDescent="0.3">
      <c r="A612" s="6" t="s">
        <v>56</v>
      </c>
      <c r="B612" s="1" t="s">
        <v>26</v>
      </c>
      <c r="C612" s="1" t="s">
        <v>27</v>
      </c>
      <c r="D612" s="1" t="s">
        <v>33</v>
      </c>
      <c r="E612" s="1">
        <v>26</v>
      </c>
      <c r="F612" s="7">
        <v>43960</v>
      </c>
      <c r="G612" s="8">
        <v>256561</v>
      </c>
      <c r="H612" s="9">
        <v>0.39</v>
      </c>
      <c r="I612" s="1" t="s">
        <v>29</v>
      </c>
      <c r="J612" s="1" t="s">
        <v>51</v>
      </c>
      <c r="K612" s="10" t="s">
        <v>36</v>
      </c>
    </row>
    <row r="613" spans="1:11" x14ac:dyDescent="0.3">
      <c r="A613" s="6" t="s">
        <v>84</v>
      </c>
      <c r="B613" s="1" t="s">
        <v>26</v>
      </c>
      <c r="C613" s="1" t="s">
        <v>39</v>
      </c>
      <c r="D613" s="1" t="s">
        <v>28</v>
      </c>
      <c r="E613" s="1">
        <v>45</v>
      </c>
      <c r="F613" s="7">
        <v>43937</v>
      </c>
      <c r="G613" s="8">
        <v>66958</v>
      </c>
      <c r="H613" s="9">
        <v>0</v>
      </c>
      <c r="I613" s="1" t="s">
        <v>29</v>
      </c>
      <c r="J613" s="1" t="s">
        <v>49</v>
      </c>
      <c r="K613" s="10" t="s">
        <v>36</v>
      </c>
    </row>
    <row r="614" spans="1:11" x14ac:dyDescent="0.3">
      <c r="A614" s="6" t="s">
        <v>25</v>
      </c>
      <c r="B614" s="1" t="s">
        <v>45</v>
      </c>
      <c r="C614" s="1" t="s">
        <v>32</v>
      </c>
      <c r="D614" s="1" t="s">
        <v>28</v>
      </c>
      <c r="E614" s="1">
        <v>46</v>
      </c>
      <c r="F614" s="7">
        <v>38046</v>
      </c>
      <c r="G614" s="8">
        <v>158897</v>
      </c>
      <c r="H614" s="9">
        <v>0.1</v>
      </c>
      <c r="I614" s="1" t="s">
        <v>34</v>
      </c>
      <c r="J614" s="1" t="s">
        <v>35</v>
      </c>
      <c r="K614" s="10" t="s">
        <v>36</v>
      </c>
    </row>
    <row r="615" spans="1:11" x14ac:dyDescent="0.3">
      <c r="A615" s="6" t="s">
        <v>31</v>
      </c>
      <c r="B615" s="1" t="s">
        <v>26</v>
      </c>
      <c r="C615" s="1" t="s">
        <v>46</v>
      </c>
      <c r="D615" s="1" t="s">
        <v>33</v>
      </c>
      <c r="E615" s="1">
        <v>37</v>
      </c>
      <c r="F615" s="7">
        <v>39493</v>
      </c>
      <c r="G615" s="8">
        <v>71695</v>
      </c>
      <c r="H615" s="9">
        <v>0</v>
      </c>
      <c r="I615" s="1" t="s">
        <v>29</v>
      </c>
      <c r="J615" s="1" t="s">
        <v>43</v>
      </c>
      <c r="K615" s="10" t="s">
        <v>36</v>
      </c>
    </row>
    <row r="616" spans="1:11" x14ac:dyDescent="0.3">
      <c r="A616" s="6" t="s">
        <v>42</v>
      </c>
      <c r="B616" s="1" t="s">
        <v>57</v>
      </c>
      <c r="C616" s="1" t="s">
        <v>46</v>
      </c>
      <c r="D616" s="1" t="s">
        <v>33</v>
      </c>
      <c r="E616" s="1">
        <v>40</v>
      </c>
      <c r="F616" s="7">
        <v>41904</v>
      </c>
      <c r="G616" s="8">
        <v>73779</v>
      </c>
      <c r="H616" s="9">
        <v>0</v>
      </c>
      <c r="I616" s="1" t="s">
        <v>34</v>
      </c>
      <c r="J616" s="1" t="s">
        <v>35</v>
      </c>
      <c r="K616" s="10">
        <v>43594</v>
      </c>
    </row>
    <row r="617" spans="1:11" x14ac:dyDescent="0.3">
      <c r="A617" s="6" t="s">
        <v>47</v>
      </c>
      <c r="B617" s="1" t="s">
        <v>45</v>
      </c>
      <c r="C617" s="1" t="s">
        <v>39</v>
      </c>
      <c r="D617" s="1" t="s">
        <v>28</v>
      </c>
      <c r="E617" s="1">
        <v>45</v>
      </c>
      <c r="F617" s="7">
        <v>40836</v>
      </c>
      <c r="G617" s="8">
        <v>123640</v>
      </c>
      <c r="H617" s="9">
        <v>7.0000000000000007E-2</v>
      </c>
      <c r="I617" s="1" t="s">
        <v>34</v>
      </c>
      <c r="J617" s="1" t="s">
        <v>55</v>
      </c>
      <c r="K617" s="10" t="s">
        <v>36</v>
      </c>
    </row>
    <row r="618" spans="1:11" x14ac:dyDescent="0.3">
      <c r="A618" s="6" t="s">
        <v>48</v>
      </c>
      <c r="B618" s="1" t="s">
        <v>45</v>
      </c>
      <c r="C618" s="1" t="s">
        <v>39</v>
      </c>
      <c r="D618" s="1" t="s">
        <v>28</v>
      </c>
      <c r="E618" s="1">
        <v>33</v>
      </c>
      <c r="F618" s="7">
        <v>41742</v>
      </c>
      <c r="G618" s="8">
        <v>46878</v>
      </c>
      <c r="H618" s="9">
        <v>0</v>
      </c>
      <c r="I618" s="1" t="s">
        <v>29</v>
      </c>
      <c r="J618" s="1" t="s">
        <v>49</v>
      </c>
      <c r="K618" s="10" t="s">
        <v>36</v>
      </c>
    </row>
    <row r="619" spans="1:11" x14ac:dyDescent="0.3">
      <c r="A619" s="6" t="s">
        <v>48</v>
      </c>
      <c r="B619" s="1" t="s">
        <v>57</v>
      </c>
      <c r="C619" s="1" t="s">
        <v>39</v>
      </c>
      <c r="D619" s="1" t="s">
        <v>28</v>
      </c>
      <c r="E619" s="1">
        <v>64</v>
      </c>
      <c r="F619" s="7">
        <v>37662</v>
      </c>
      <c r="G619" s="8">
        <v>57032</v>
      </c>
      <c r="H619" s="9">
        <v>0</v>
      </c>
      <c r="I619" s="1" t="s">
        <v>29</v>
      </c>
      <c r="J619" s="1" t="s">
        <v>49</v>
      </c>
      <c r="K619" s="10" t="s">
        <v>36</v>
      </c>
    </row>
    <row r="620" spans="1:11" x14ac:dyDescent="0.3">
      <c r="A620" s="6" t="s">
        <v>42</v>
      </c>
      <c r="B620" s="1" t="s">
        <v>45</v>
      </c>
      <c r="C620" s="1" t="s">
        <v>32</v>
      </c>
      <c r="D620" s="1" t="s">
        <v>28</v>
      </c>
      <c r="E620" s="1">
        <v>57</v>
      </c>
      <c r="F620" s="7">
        <v>39357</v>
      </c>
      <c r="G620" s="8">
        <v>98150</v>
      </c>
      <c r="H620" s="9">
        <v>0</v>
      </c>
      <c r="I620" s="1" t="s">
        <v>59</v>
      </c>
      <c r="J620" s="1" t="s">
        <v>61</v>
      </c>
      <c r="K620" s="10" t="s">
        <v>36</v>
      </c>
    </row>
    <row r="621" spans="1:11" x14ac:dyDescent="0.3">
      <c r="A621" s="6" t="s">
        <v>37</v>
      </c>
      <c r="B621" s="1" t="s">
        <v>57</v>
      </c>
      <c r="C621" s="1" t="s">
        <v>32</v>
      </c>
      <c r="D621" s="1" t="s">
        <v>28</v>
      </c>
      <c r="E621" s="1">
        <v>35</v>
      </c>
      <c r="F621" s="7">
        <v>42800</v>
      </c>
      <c r="G621" s="8">
        <v>171426</v>
      </c>
      <c r="H621" s="9">
        <v>0.15</v>
      </c>
      <c r="I621" s="1" t="s">
        <v>34</v>
      </c>
      <c r="J621" s="1" t="s">
        <v>64</v>
      </c>
      <c r="K621" s="10">
        <v>43000</v>
      </c>
    </row>
    <row r="622" spans="1:11" x14ac:dyDescent="0.3">
      <c r="A622" s="6" t="s">
        <v>48</v>
      </c>
      <c r="B622" s="1" t="s">
        <v>38</v>
      </c>
      <c r="C622" s="1" t="s">
        <v>32</v>
      </c>
      <c r="D622" s="1" t="s">
        <v>28</v>
      </c>
      <c r="E622" s="1">
        <v>55</v>
      </c>
      <c r="F622" s="7">
        <v>44302</v>
      </c>
      <c r="G622" s="8">
        <v>48266</v>
      </c>
      <c r="H622" s="9">
        <v>0</v>
      </c>
      <c r="I622" s="1" t="s">
        <v>29</v>
      </c>
      <c r="J622" s="1" t="s">
        <v>40</v>
      </c>
      <c r="K622" s="10" t="s">
        <v>36</v>
      </c>
    </row>
    <row r="623" spans="1:11" x14ac:dyDescent="0.3">
      <c r="A623" s="6" t="s">
        <v>56</v>
      </c>
      <c r="B623" s="1" t="s">
        <v>38</v>
      </c>
      <c r="C623" s="1" t="s">
        <v>27</v>
      </c>
      <c r="D623" s="1" t="s">
        <v>33</v>
      </c>
      <c r="E623" s="1">
        <v>36</v>
      </c>
      <c r="F623" s="7">
        <v>43330</v>
      </c>
      <c r="G623" s="8">
        <v>223404</v>
      </c>
      <c r="H623" s="9">
        <v>0.32</v>
      </c>
      <c r="I623" s="1" t="s">
        <v>29</v>
      </c>
      <c r="J623" s="1" t="s">
        <v>58</v>
      </c>
      <c r="K623" s="10" t="s">
        <v>36</v>
      </c>
    </row>
    <row r="624" spans="1:11" x14ac:dyDescent="0.3">
      <c r="A624" s="6" t="s">
        <v>82</v>
      </c>
      <c r="B624" s="1" t="s">
        <v>26</v>
      </c>
      <c r="C624" s="1" t="s">
        <v>39</v>
      </c>
      <c r="D624" s="1" t="s">
        <v>28</v>
      </c>
      <c r="E624" s="1">
        <v>57</v>
      </c>
      <c r="F624" s="7">
        <v>41649</v>
      </c>
      <c r="G624" s="8">
        <v>74854</v>
      </c>
      <c r="H624" s="9">
        <v>0</v>
      </c>
      <c r="I624" s="1" t="s">
        <v>29</v>
      </c>
      <c r="J624" s="1" t="s">
        <v>30</v>
      </c>
      <c r="K624" s="10" t="s">
        <v>36</v>
      </c>
    </row>
    <row r="625" spans="1:11" x14ac:dyDescent="0.3">
      <c r="A625" s="6" t="s">
        <v>56</v>
      </c>
      <c r="B625" s="1" t="s">
        <v>50</v>
      </c>
      <c r="C625" s="1" t="s">
        <v>39</v>
      </c>
      <c r="D625" s="1" t="s">
        <v>28</v>
      </c>
      <c r="E625" s="1">
        <v>48</v>
      </c>
      <c r="F625" s="7">
        <v>39197</v>
      </c>
      <c r="G625" s="8">
        <v>217783</v>
      </c>
      <c r="H625" s="9">
        <v>0.36</v>
      </c>
      <c r="I625" s="1" t="s">
        <v>29</v>
      </c>
      <c r="J625" s="1" t="s">
        <v>30</v>
      </c>
      <c r="K625" s="10" t="s">
        <v>36</v>
      </c>
    </row>
    <row r="626" spans="1:11" x14ac:dyDescent="0.3">
      <c r="A626" s="6" t="s">
        <v>83</v>
      </c>
      <c r="B626" s="1" t="s">
        <v>26</v>
      </c>
      <c r="C626" s="1" t="s">
        <v>32</v>
      </c>
      <c r="D626" s="1" t="s">
        <v>28</v>
      </c>
      <c r="E626" s="1">
        <v>53</v>
      </c>
      <c r="F626" s="7">
        <v>38214</v>
      </c>
      <c r="G626" s="8">
        <v>44735</v>
      </c>
      <c r="H626" s="9">
        <v>0</v>
      </c>
      <c r="I626" s="1" t="s">
        <v>59</v>
      </c>
      <c r="J626" s="1" t="s">
        <v>60</v>
      </c>
      <c r="K626" s="10" t="s">
        <v>36</v>
      </c>
    </row>
    <row r="627" spans="1:11" x14ac:dyDescent="0.3">
      <c r="A627" s="6" t="s">
        <v>66</v>
      </c>
      <c r="B627" s="1" t="s">
        <v>38</v>
      </c>
      <c r="C627" s="1" t="s">
        <v>32</v>
      </c>
      <c r="D627" s="1" t="s">
        <v>28</v>
      </c>
      <c r="E627" s="1">
        <v>41</v>
      </c>
      <c r="F627" s="7">
        <v>39091</v>
      </c>
      <c r="G627" s="8">
        <v>50685</v>
      </c>
      <c r="H627" s="9">
        <v>0</v>
      </c>
      <c r="I627" s="1" t="s">
        <v>29</v>
      </c>
      <c r="J627" s="1" t="s">
        <v>58</v>
      </c>
      <c r="K627" s="10" t="s">
        <v>36</v>
      </c>
    </row>
    <row r="628" spans="1:11" x14ac:dyDescent="0.3">
      <c r="A628" s="6" t="s">
        <v>66</v>
      </c>
      <c r="B628" s="1" t="s">
        <v>45</v>
      </c>
      <c r="C628" s="1" t="s">
        <v>27</v>
      </c>
      <c r="D628" s="1" t="s">
        <v>33</v>
      </c>
      <c r="E628" s="1">
        <v>34</v>
      </c>
      <c r="F628" s="7">
        <v>43169</v>
      </c>
      <c r="G628" s="8">
        <v>58993</v>
      </c>
      <c r="H628" s="9">
        <v>0</v>
      </c>
      <c r="I628" s="1" t="s">
        <v>29</v>
      </c>
      <c r="J628" s="1" t="s">
        <v>51</v>
      </c>
      <c r="K628" s="10" t="s">
        <v>36</v>
      </c>
    </row>
    <row r="629" spans="1:11" x14ac:dyDescent="0.3">
      <c r="A629" s="6" t="s">
        <v>73</v>
      </c>
      <c r="B629" s="1" t="s">
        <v>54</v>
      </c>
      <c r="C629" s="1" t="s">
        <v>46</v>
      </c>
      <c r="D629" s="1" t="s">
        <v>33</v>
      </c>
      <c r="E629" s="1">
        <v>47</v>
      </c>
      <c r="F629" s="7">
        <v>43990</v>
      </c>
      <c r="G629" s="8">
        <v>115765</v>
      </c>
      <c r="H629" s="9">
        <v>0</v>
      </c>
      <c r="I629" s="1" t="s">
        <v>29</v>
      </c>
      <c r="J629" s="1" t="s">
        <v>49</v>
      </c>
      <c r="K629" s="10">
        <v>44229</v>
      </c>
    </row>
    <row r="630" spans="1:11" x14ac:dyDescent="0.3">
      <c r="A630" s="6" t="s">
        <v>37</v>
      </c>
      <c r="B630" s="1" t="s">
        <v>50</v>
      </c>
      <c r="C630" s="1" t="s">
        <v>32</v>
      </c>
      <c r="D630" s="1" t="s">
        <v>28</v>
      </c>
      <c r="E630" s="1">
        <v>63</v>
      </c>
      <c r="F630" s="7">
        <v>39147</v>
      </c>
      <c r="G630" s="8">
        <v>193044</v>
      </c>
      <c r="H630" s="9">
        <v>0.15</v>
      </c>
      <c r="I630" s="1" t="s">
        <v>29</v>
      </c>
      <c r="J630" s="1" t="s">
        <v>49</v>
      </c>
      <c r="K630" s="10" t="s">
        <v>36</v>
      </c>
    </row>
    <row r="631" spans="1:11" x14ac:dyDescent="0.3">
      <c r="A631" s="6" t="s">
        <v>48</v>
      </c>
      <c r="B631" s="1" t="s">
        <v>57</v>
      </c>
      <c r="C631" s="1" t="s">
        <v>27</v>
      </c>
      <c r="D631" s="1" t="s">
        <v>28</v>
      </c>
      <c r="E631" s="1">
        <v>65</v>
      </c>
      <c r="F631" s="7">
        <v>40711</v>
      </c>
      <c r="G631" s="8">
        <v>56686</v>
      </c>
      <c r="H631" s="9">
        <v>0</v>
      </c>
      <c r="I631" s="1" t="s">
        <v>29</v>
      </c>
      <c r="J631" s="1" t="s">
        <v>30</v>
      </c>
      <c r="K631" s="10">
        <v>42164</v>
      </c>
    </row>
    <row r="632" spans="1:11" x14ac:dyDescent="0.3">
      <c r="A632" s="6" t="s">
        <v>25</v>
      </c>
      <c r="B632" s="1" t="s">
        <v>38</v>
      </c>
      <c r="C632" s="1" t="s">
        <v>32</v>
      </c>
      <c r="D632" s="1" t="s">
        <v>28</v>
      </c>
      <c r="E632" s="1">
        <v>33</v>
      </c>
      <c r="F632" s="7">
        <v>43763</v>
      </c>
      <c r="G632" s="8">
        <v>131652</v>
      </c>
      <c r="H632" s="9">
        <v>0.11</v>
      </c>
      <c r="I632" s="1" t="s">
        <v>29</v>
      </c>
      <c r="J632" s="1" t="s">
        <v>30</v>
      </c>
      <c r="K632" s="10" t="s">
        <v>36</v>
      </c>
    </row>
    <row r="633" spans="1:11" x14ac:dyDescent="0.3">
      <c r="A633" s="6" t="s">
        <v>37</v>
      </c>
      <c r="B633" s="1" t="s">
        <v>57</v>
      </c>
      <c r="C633" s="1" t="s">
        <v>32</v>
      </c>
      <c r="D633" s="1" t="s">
        <v>28</v>
      </c>
      <c r="E633" s="1">
        <v>45</v>
      </c>
      <c r="F633" s="7">
        <v>39507</v>
      </c>
      <c r="G633" s="8">
        <v>150577</v>
      </c>
      <c r="H633" s="9">
        <v>0.25</v>
      </c>
      <c r="I633" s="1" t="s">
        <v>29</v>
      </c>
      <c r="J633" s="1" t="s">
        <v>49</v>
      </c>
      <c r="K633" s="10" t="s">
        <v>36</v>
      </c>
    </row>
    <row r="634" spans="1:11" x14ac:dyDescent="0.3">
      <c r="A634" s="6" t="s">
        <v>63</v>
      </c>
      <c r="B634" s="1" t="s">
        <v>54</v>
      </c>
      <c r="C634" s="1" t="s">
        <v>27</v>
      </c>
      <c r="D634" s="1" t="s">
        <v>28</v>
      </c>
      <c r="E634" s="1">
        <v>37</v>
      </c>
      <c r="F634" s="7">
        <v>43461</v>
      </c>
      <c r="G634" s="8">
        <v>87359</v>
      </c>
      <c r="H634" s="9">
        <v>0.11</v>
      </c>
      <c r="I634" s="1" t="s">
        <v>59</v>
      </c>
      <c r="J634" s="1" t="s">
        <v>61</v>
      </c>
      <c r="K634" s="10" t="s">
        <v>36</v>
      </c>
    </row>
    <row r="635" spans="1:11" x14ac:dyDescent="0.3">
      <c r="A635" s="6" t="s">
        <v>66</v>
      </c>
      <c r="B635" s="1" t="s">
        <v>45</v>
      </c>
      <c r="C635" s="1" t="s">
        <v>39</v>
      </c>
      <c r="D635" s="1" t="s">
        <v>28</v>
      </c>
      <c r="E635" s="1">
        <v>60</v>
      </c>
      <c r="F635" s="7">
        <v>41647</v>
      </c>
      <c r="G635" s="8">
        <v>51877</v>
      </c>
      <c r="H635" s="9">
        <v>0</v>
      </c>
      <c r="I635" s="1" t="s">
        <v>34</v>
      </c>
      <c r="J635" s="1" t="s">
        <v>64</v>
      </c>
      <c r="K635" s="10" t="s">
        <v>36</v>
      </c>
    </row>
    <row r="636" spans="1:11" x14ac:dyDescent="0.3">
      <c r="A636" s="6" t="s">
        <v>84</v>
      </c>
      <c r="B636" s="1" t="s">
        <v>26</v>
      </c>
      <c r="C636" s="1" t="s">
        <v>32</v>
      </c>
      <c r="D636" s="1" t="s">
        <v>33</v>
      </c>
      <c r="E636" s="1">
        <v>43</v>
      </c>
      <c r="F636" s="7">
        <v>42753</v>
      </c>
      <c r="G636" s="8">
        <v>86417</v>
      </c>
      <c r="H636" s="9">
        <v>0</v>
      </c>
      <c r="I636" s="1" t="s">
        <v>29</v>
      </c>
      <c r="J636" s="1" t="s">
        <v>40</v>
      </c>
      <c r="K636" s="10" t="s">
        <v>36</v>
      </c>
    </row>
    <row r="637" spans="1:11" x14ac:dyDescent="0.3">
      <c r="A637" s="6" t="s">
        <v>82</v>
      </c>
      <c r="B637" s="1" t="s">
        <v>26</v>
      </c>
      <c r="C637" s="1" t="s">
        <v>27</v>
      </c>
      <c r="D637" s="1" t="s">
        <v>28</v>
      </c>
      <c r="E637" s="1">
        <v>65</v>
      </c>
      <c r="F637" s="7">
        <v>37749</v>
      </c>
      <c r="G637" s="8">
        <v>96548</v>
      </c>
      <c r="H637" s="9">
        <v>0</v>
      </c>
      <c r="I637" s="1" t="s">
        <v>29</v>
      </c>
      <c r="J637" s="1" t="s">
        <v>51</v>
      </c>
      <c r="K637" s="10" t="s">
        <v>36</v>
      </c>
    </row>
    <row r="638" spans="1:11" x14ac:dyDescent="0.3">
      <c r="A638" s="6" t="s">
        <v>42</v>
      </c>
      <c r="B638" s="1" t="s">
        <v>50</v>
      </c>
      <c r="C638" s="1" t="s">
        <v>32</v>
      </c>
      <c r="D638" s="1" t="s">
        <v>28</v>
      </c>
      <c r="E638" s="1">
        <v>43</v>
      </c>
      <c r="F638" s="7">
        <v>41662</v>
      </c>
      <c r="G638" s="8">
        <v>92940</v>
      </c>
      <c r="H638" s="9">
        <v>0</v>
      </c>
      <c r="I638" s="1" t="s">
        <v>34</v>
      </c>
      <c r="J638" s="1" t="s">
        <v>68</v>
      </c>
      <c r="K638" s="10" t="s">
        <v>36</v>
      </c>
    </row>
    <row r="639" spans="1:11" x14ac:dyDescent="0.3">
      <c r="A639" s="6" t="s">
        <v>66</v>
      </c>
      <c r="B639" s="1" t="s">
        <v>50</v>
      </c>
      <c r="C639" s="1" t="s">
        <v>39</v>
      </c>
      <c r="D639" s="1" t="s">
        <v>33</v>
      </c>
      <c r="E639" s="1">
        <v>28</v>
      </c>
      <c r="F639" s="7">
        <v>43336</v>
      </c>
      <c r="G639" s="8">
        <v>61410</v>
      </c>
      <c r="H639" s="9">
        <v>0</v>
      </c>
      <c r="I639" s="1" t="s">
        <v>29</v>
      </c>
      <c r="J639" s="1" t="s">
        <v>43</v>
      </c>
      <c r="K639" s="10" t="s">
        <v>36</v>
      </c>
    </row>
    <row r="640" spans="1:11" x14ac:dyDescent="0.3">
      <c r="A640" s="6" t="s">
        <v>47</v>
      </c>
      <c r="B640" s="1" t="s">
        <v>38</v>
      </c>
      <c r="C640" s="1" t="s">
        <v>39</v>
      </c>
      <c r="D640" s="1" t="s">
        <v>28</v>
      </c>
      <c r="E640" s="1">
        <v>61</v>
      </c>
      <c r="F640" s="7">
        <v>40293</v>
      </c>
      <c r="G640" s="8">
        <v>110302</v>
      </c>
      <c r="H640" s="9">
        <v>0.06</v>
      </c>
      <c r="I640" s="1" t="s">
        <v>29</v>
      </c>
      <c r="J640" s="1" t="s">
        <v>49</v>
      </c>
      <c r="K640" s="10" t="s">
        <v>36</v>
      </c>
    </row>
    <row r="641" spans="1:11" x14ac:dyDescent="0.3">
      <c r="A641" s="6" t="s">
        <v>37</v>
      </c>
      <c r="B641" s="1" t="s">
        <v>54</v>
      </c>
      <c r="C641" s="1" t="s">
        <v>39</v>
      </c>
      <c r="D641" s="1" t="s">
        <v>28</v>
      </c>
      <c r="E641" s="1">
        <v>45</v>
      </c>
      <c r="F641" s="7">
        <v>43212</v>
      </c>
      <c r="G641" s="8">
        <v>187205</v>
      </c>
      <c r="H641" s="9">
        <v>0.24</v>
      </c>
      <c r="I641" s="1" t="s">
        <v>29</v>
      </c>
      <c r="J641" s="1" t="s">
        <v>58</v>
      </c>
      <c r="K641" s="10">
        <v>44732</v>
      </c>
    </row>
    <row r="642" spans="1:11" x14ac:dyDescent="0.3">
      <c r="A642" s="6" t="s">
        <v>42</v>
      </c>
      <c r="B642" s="1" t="s">
        <v>45</v>
      </c>
      <c r="C642" s="1" t="s">
        <v>46</v>
      </c>
      <c r="D642" s="1" t="s">
        <v>33</v>
      </c>
      <c r="E642" s="1">
        <v>45</v>
      </c>
      <c r="F642" s="7">
        <v>40618</v>
      </c>
      <c r="G642" s="8">
        <v>81687</v>
      </c>
      <c r="H642" s="9">
        <v>0</v>
      </c>
      <c r="I642" s="1" t="s">
        <v>29</v>
      </c>
      <c r="J642" s="1" t="s">
        <v>43</v>
      </c>
      <c r="K642" s="10" t="s">
        <v>36</v>
      </c>
    </row>
    <row r="643" spans="1:11" x14ac:dyDescent="0.3">
      <c r="A643" s="6" t="s">
        <v>56</v>
      </c>
      <c r="B643" s="1" t="s">
        <v>26</v>
      </c>
      <c r="C643" s="1" t="s">
        <v>39</v>
      </c>
      <c r="D643" s="1" t="s">
        <v>33</v>
      </c>
      <c r="E643" s="1">
        <v>54</v>
      </c>
      <c r="F643" s="7">
        <v>40040</v>
      </c>
      <c r="G643" s="8">
        <v>241083</v>
      </c>
      <c r="H643" s="9">
        <v>0.39</v>
      </c>
      <c r="I643" s="1" t="s">
        <v>29</v>
      </c>
      <c r="J643" s="1" t="s">
        <v>58</v>
      </c>
      <c r="K643" s="10" t="s">
        <v>36</v>
      </c>
    </row>
    <row r="644" spans="1:11" x14ac:dyDescent="0.3">
      <c r="A644" s="6" t="s">
        <v>56</v>
      </c>
      <c r="B644" s="1" t="s">
        <v>38</v>
      </c>
      <c r="C644" s="1" t="s">
        <v>39</v>
      </c>
      <c r="D644" s="1" t="s">
        <v>28</v>
      </c>
      <c r="E644" s="1">
        <v>38</v>
      </c>
      <c r="F644" s="7">
        <v>43413</v>
      </c>
      <c r="G644" s="8">
        <v>223805</v>
      </c>
      <c r="H644" s="9">
        <v>0.36</v>
      </c>
      <c r="I644" s="1" t="s">
        <v>29</v>
      </c>
      <c r="J644" s="1" t="s">
        <v>40</v>
      </c>
      <c r="K644" s="10" t="s">
        <v>36</v>
      </c>
    </row>
    <row r="645" spans="1:11" x14ac:dyDescent="0.3">
      <c r="A645" s="6" t="s">
        <v>37</v>
      </c>
      <c r="B645" s="1" t="s">
        <v>50</v>
      </c>
      <c r="C645" s="1" t="s">
        <v>46</v>
      </c>
      <c r="D645" s="1" t="s">
        <v>28</v>
      </c>
      <c r="E645" s="1">
        <v>27</v>
      </c>
      <c r="F645" s="7">
        <v>44393</v>
      </c>
      <c r="G645" s="8">
        <v>161759</v>
      </c>
      <c r="H645" s="9">
        <v>0.16</v>
      </c>
      <c r="I645" s="1" t="s">
        <v>29</v>
      </c>
      <c r="J645" s="1" t="s">
        <v>49</v>
      </c>
      <c r="K645" s="10" t="s">
        <v>36</v>
      </c>
    </row>
    <row r="646" spans="1:11" x14ac:dyDescent="0.3">
      <c r="A646" s="6" t="s">
        <v>41</v>
      </c>
      <c r="B646" s="1" t="s">
        <v>26</v>
      </c>
      <c r="C646" s="1" t="s">
        <v>27</v>
      </c>
      <c r="D646" s="1" t="s">
        <v>33</v>
      </c>
      <c r="E646" s="1">
        <v>40</v>
      </c>
      <c r="F646" s="7">
        <v>43520</v>
      </c>
      <c r="G646" s="8">
        <v>95899</v>
      </c>
      <c r="H646" s="9">
        <v>0.1</v>
      </c>
      <c r="I646" s="1" t="s">
        <v>29</v>
      </c>
      <c r="J646" s="1" t="s">
        <v>58</v>
      </c>
      <c r="K646" s="10">
        <v>44263</v>
      </c>
    </row>
    <row r="647" spans="1:11" x14ac:dyDescent="0.3">
      <c r="A647" s="6" t="s">
        <v>42</v>
      </c>
      <c r="B647" s="1" t="s">
        <v>38</v>
      </c>
      <c r="C647" s="1" t="s">
        <v>46</v>
      </c>
      <c r="D647" s="1" t="s">
        <v>33</v>
      </c>
      <c r="E647" s="1">
        <v>49</v>
      </c>
      <c r="F647" s="7">
        <v>43623</v>
      </c>
      <c r="G647" s="8">
        <v>80700</v>
      </c>
      <c r="H647" s="9">
        <v>0</v>
      </c>
      <c r="I647" s="1" t="s">
        <v>29</v>
      </c>
      <c r="J647" s="1" t="s">
        <v>58</v>
      </c>
      <c r="K647" s="10" t="s">
        <v>36</v>
      </c>
    </row>
    <row r="648" spans="1:11" x14ac:dyDescent="0.3">
      <c r="A648" s="6" t="s">
        <v>47</v>
      </c>
      <c r="B648" s="1" t="s">
        <v>52</v>
      </c>
      <c r="C648" s="1" t="s">
        <v>39</v>
      </c>
      <c r="D648" s="1" t="s">
        <v>33</v>
      </c>
      <c r="E648" s="1">
        <v>54</v>
      </c>
      <c r="F648" s="7">
        <v>35500</v>
      </c>
      <c r="G648" s="8">
        <v>128136</v>
      </c>
      <c r="H648" s="9">
        <v>0.05</v>
      </c>
      <c r="I648" s="1" t="s">
        <v>34</v>
      </c>
      <c r="J648" s="1" t="s">
        <v>64</v>
      </c>
      <c r="K648" s="10" t="s">
        <v>36</v>
      </c>
    </row>
    <row r="649" spans="1:11" x14ac:dyDescent="0.3">
      <c r="A649" s="6" t="s">
        <v>66</v>
      </c>
      <c r="B649" s="1" t="s">
        <v>57</v>
      </c>
      <c r="C649" s="1" t="s">
        <v>46</v>
      </c>
      <c r="D649" s="1" t="s">
        <v>28</v>
      </c>
      <c r="E649" s="1">
        <v>39</v>
      </c>
      <c r="F649" s="7">
        <v>42843</v>
      </c>
      <c r="G649" s="8">
        <v>58745</v>
      </c>
      <c r="H649" s="9">
        <v>0</v>
      </c>
      <c r="I649" s="1" t="s">
        <v>29</v>
      </c>
      <c r="J649" s="1" t="s">
        <v>51</v>
      </c>
      <c r="K649" s="10" t="s">
        <v>36</v>
      </c>
    </row>
    <row r="650" spans="1:11" x14ac:dyDescent="0.3">
      <c r="A650" s="6" t="s">
        <v>31</v>
      </c>
      <c r="B650" s="1" t="s">
        <v>26</v>
      </c>
      <c r="C650" s="1" t="s">
        <v>46</v>
      </c>
      <c r="D650" s="1" t="s">
        <v>28</v>
      </c>
      <c r="E650" s="1">
        <v>57</v>
      </c>
      <c r="F650" s="7">
        <v>33728</v>
      </c>
      <c r="G650" s="8">
        <v>76202</v>
      </c>
      <c r="H650" s="9">
        <v>0</v>
      </c>
      <c r="I650" s="1" t="s">
        <v>29</v>
      </c>
      <c r="J650" s="1" t="s">
        <v>51</v>
      </c>
      <c r="K650" s="10">
        <v>34686</v>
      </c>
    </row>
    <row r="651" spans="1:11" x14ac:dyDescent="0.3">
      <c r="A651" s="6" t="s">
        <v>56</v>
      </c>
      <c r="B651" s="1" t="s">
        <v>45</v>
      </c>
      <c r="C651" s="1" t="s">
        <v>39</v>
      </c>
      <c r="D651" s="1" t="s">
        <v>33</v>
      </c>
      <c r="E651" s="1">
        <v>36</v>
      </c>
      <c r="F651" s="7">
        <v>43178</v>
      </c>
      <c r="G651" s="8">
        <v>195200</v>
      </c>
      <c r="H651" s="9">
        <v>0.36</v>
      </c>
      <c r="I651" s="1" t="s">
        <v>29</v>
      </c>
      <c r="J651" s="1" t="s">
        <v>51</v>
      </c>
      <c r="K651" s="10" t="s">
        <v>36</v>
      </c>
    </row>
    <row r="652" spans="1:11" x14ac:dyDescent="0.3">
      <c r="A652" s="6" t="s">
        <v>66</v>
      </c>
      <c r="B652" s="1" t="s">
        <v>38</v>
      </c>
      <c r="C652" s="1" t="s">
        <v>32</v>
      </c>
      <c r="D652" s="1" t="s">
        <v>28</v>
      </c>
      <c r="E652" s="1">
        <v>45</v>
      </c>
      <c r="F652" s="7">
        <v>42711</v>
      </c>
      <c r="G652" s="8">
        <v>71454</v>
      </c>
      <c r="H652" s="9">
        <v>0</v>
      </c>
      <c r="I652" s="1" t="s">
        <v>34</v>
      </c>
      <c r="J652" s="1" t="s">
        <v>55</v>
      </c>
      <c r="K652" s="10" t="s">
        <v>36</v>
      </c>
    </row>
    <row r="653" spans="1:11" x14ac:dyDescent="0.3">
      <c r="A653" s="6" t="s">
        <v>75</v>
      </c>
      <c r="B653" s="1" t="s">
        <v>26</v>
      </c>
      <c r="C653" s="1" t="s">
        <v>32</v>
      </c>
      <c r="D653" s="1" t="s">
        <v>28</v>
      </c>
      <c r="E653" s="1">
        <v>30</v>
      </c>
      <c r="F653" s="7">
        <v>43864</v>
      </c>
      <c r="G653" s="8">
        <v>94652</v>
      </c>
      <c r="H653" s="9">
        <v>0</v>
      </c>
      <c r="I653" s="1" t="s">
        <v>29</v>
      </c>
      <c r="J653" s="1" t="s">
        <v>30</v>
      </c>
      <c r="K653" s="10" t="s">
        <v>36</v>
      </c>
    </row>
    <row r="654" spans="1:11" x14ac:dyDescent="0.3">
      <c r="A654" s="6" t="s">
        <v>31</v>
      </c>
      <c r="B654" s="1" t="s">
        <v>26</v>
      </c>
      <c r="C654" s="1" t="s">
        <v>32</v>
      </c>
      <c r="D654" s="1" t="s">
        <v>33</v>
      </c>
      <c r="E654" s="1">
        <v>34</v>
      </c>
      <c r="F654" s="7">
        <v>42416</v>
      </c>
      <c r="G654" s="8">
        <v>63411</v>
      </c>
      <c r="H654" s="9">
        <v>0</v>
      </c>
      <c r="I654" s="1" t="s">
        <v>29</v>
      </c>
      <c r="J654" s="1" t="s">
        <v>49</v>
      </c>
      <c r="K654" s="10" t="s">
        <v>36</v>
      </c>
    </row>
    <row r="655" spans="1:11" x14ac:dyDescent="0.3">
      <c r="A655" s="6" t="s">
        <v>66</v>
      </c>
      <c r="B655" s="1" t="s">
        <v>45</v>
      </c>
      <c r="C655" s="1" t="s">
        <v>39</v>
      </c>
      <c r="D655" s="1" t="s">
        <v>33</v>
      </c>
      <c r="E655" s="1">
        <v>31</v>
      </c>
      <c r="F655" s="7">
        <v>43878</v>
      </c>
      <c r="G655" s="8">
        <v>67171</v>
      </c>
      <c r="H655" s="9">
        <v>0</v>
      </c>
      <c r="I655" s="1" t="s">
        <v>34</v>
      </c>
      <c r="J655" s="1" t="s">
        <v>35</v>
      </c>
      <c r="K655" s="10">
        <v>44317</v>
      </c>
    </row>
    <row r="656" spans="1:11" x14ac:dyDescent="0.3">
      <c r="A656" s="6" t="s">
        <v>25</v>
      </c>
      <c r="B656" s="1" t="s">
        <v>50</v>
      </c>
      <c r="C656" s="1" t="s">
        <v>39</v>
      </c>
      <c r="D656" s="1" t="s">
        <v>28</v>
      </c>
      <c r="E656" s="1">
        <v>28</v>
      </c>
      <c r="F656" s="7">
        <v>43652</v>
      </c>
      <c r="G656" s="8">
        <v>152036</v>
      </c>
      <c r="H656" s="9">
        <v>0.15</v>
      </c>
      <c r="I656" s="1" t="s">
        <v>59</v>
      </c>
      <c r="J656" s="1" t="s">
        <v>61</v>
      </c>
      <c r="K656" s="10" t="s">
        <v>36</v>
      </c>
    </row>
    <row r="657" spans="1:11" x14ac:dyDescent="0.3">
      <c r="A657" s="6" t="s">
        <v>53</v>
      </c>
      <c r="B657" s="1" t="s">
        <v>54</v>
      </c>
      <c r="C657" s="1" t="s">
        <v>32</v>
      </c>
      <c r="D657" s="1" t="s">
        <v>28</v>
      </c>
      <c r="E657" s="1">
        <v>55</v>
      </c>
      <c r="F657" s="7">
        <v>44276</v>
      </c>
      <c r="G657" s="8">
        <v>95562</v>
      </c>
      <c r="H657" s="9">
        <v>0</v>
      </c>
      <c r="I657" s="1" t="s">
        <v>29</v>
      </c>
      <c r="J657" s="1" t="s">
        <v>40</v>
      </c>
      <c r="K657" s="10" t="s">
        <v>36</v>
      </c>
    </row>
    <row r="658" spans="1:11" x14ac:dyDescent="0.3">
      <c r="A658" s="6" t="s">
        <v>42</v>
      </c>
      <c r="B658" s="1" t="s">
        <v>45</v>
      </c>
      <c r="C658" s="1" t="s">
        <v>27</v>
      </c>
      <c r="D658" s="1" t="s">
        <v>33</v>
      </c>
      <c r="E658" s="1">
        <v>30</v>
      </c>
      <c r="F658" s="7">
        <v>43773</v>
      </c>
      <c r="G658" s="8">
        <v>96092</v>
      </c>
      <c r="H658" s="9">
        <v>0</v>
      </c>
      <c r="I658" s="1" t="s">
        <v>29</v>
      </c>
      <c r="J658" s="1" t="s">
        <v>51</v>
      </c>
      <c r="K658" s="10" t="s">
        <v>36</v>
      </c>
    </row>
    <row r="659" spans="1:11" x14ac:dyDescent="0.3">
      <c r="A659" s="6" t="s">
        <v>56</v>
      </c>
      <c r="B659" s="1" t="s">
        <v>54</v>
      </c>
      <c r="C659" s="1" t="s">
        <v>32</v>
      </c>
      <c r="D659" s="1" t="s">
        <v>33</v>
      </c>
      <c r="E659" s="1">
        <v>63</v>
      </c>
      <c r="F659" s="7">
        <v>41428</v>
      </c>
      <c r="G659" s="8">
        <v>254289</v>
      </c>
      <c r="H659" s="9">
        <v>0.39</v>
      </c>
      <c r="I659" s="1" t="s">
        <v>29</v>
      </c>
      <c r="J659" s="1" t="s">
        <v>40</v>
      </c>
      <c r="K659" s="10" t="s">
        <v>36</v>
      </c>
    </row>
    <row r="660" spans="1:11" x14ac:dyDescent="0.3">
      <c r="A660" s="6" t="s">
        <v>41</v>
      </c>
      <c r="B660" s="1" t="s">
        <v>26</v>
      </c>
      <c r="C660" s="1" t="s">
        <v>27</v>
      </c>
      <c r="D660" s="1" t="s">
        <v>33</v>
      </c>
      <c r="E660" s="1">
        <v>26</v>
      </c>
      <c r="F660" s="7">
        <v>43656</v>
      </c>
      <c r="G660" s="8">
        <v>69110</v>
      </c>
      <c r="H660" s="9">
        <v>0.05</v>
      </c>
      <c r="I660" s="1" t="s">
        <v>29</v>
      </c>
      <c r="J660" s="1" t="s">
        <v>40</v>
      </c>
      <c r="K660" s="10" t="s">
        <v>36</v>
      </c>
    </row>
    <row r="661" spans="1:11" x14ac:dyDescent="0.3">
      <c r="A661" s="6" t="s">
        <v>56</v>
      </c>
      <c r="B661" s="1" t="s">
        <v>57</v>
      </c>
      <c r="C661" s="1" t="s">
        <v>39</v>
      </c>
      <c r="D661" s="1" t="s">
        <v>33</v>
      </c>
      <c r="E661" s="1">
        <v>52</v>
      </c>
      <c r="F661" s="7">
        <v>37418</v>
      </c>
      <c r="G661" s="8">
        <v>236314</v>
      </c>
      <c r="H661" s="9">
        <v>0.34</v>
      </c>
      <c r="I661" s="1" t="s">
        <v>29</v>
      </c>
      <c r="J661" s="1" t="s">
        <v>49</v>
      </c>
      <c r="K661" s="10" t="s">
        <v>36</v>
      </c>
    </row>
    <row r="662" spans="1:11" x14ac:dyDescent="0.3">
      <c r="A662" s="6" t="s">
        <v>48</v>
      </c>
      <c r="B662" s="1" t="s">
        <v>57</v>
      </c>
      <c r="C662" s="1" t="s">
        <v>46</v>
      </c>
      <c r="D662" s="1" t="s">
        <v>33</v>
      </c>
      <c r="E662" s="1">
        <v>51</v>
      </c>
      <c r="F662" s="7">
        <v>39252</v>
      </c>
      <c r="G662" s="8">
        <v>45206</v>
      </c>
      <c r="H662" s="9">
        <v>0</v>
      </c>
      <c r="I662" s="1" t="s">
        <v>29</v>
      </c>
      <c r="J662" s="1" t="s">
        <v>58</v>
      </c>
      <c r="K662" s="10" t="s">
        <v>36</v>
      </c>
    </row>
    <row r="663" spans="1:11" x14ac:dyDescent="0.3">
      <c r="A663" s="6" t="s">
        <v>56</v>
      </c>
      <c r="B663" s="1" t="s">
        <v>38</v>
      </c>
      <c r="C663" s="1" t="s">
        <v>27</v>
      </c>
      <c r="D663" s="1" t="s">
        <v>28</v>
      </c>
      <c r="E663" s="1">
        <v>25</v>
      </c>
      <c r="F663" s="7">
        <v>44515</v>
      </c>
      <c r="G663" s="8">
        <v>210708</v>
      </c>
      <c r="H663" s="9">
        <v>0.33</v>
      </c>
      <c r="I663" s="1" t="s">
        <v>29</v>
      </c>
      <c r="J663" s="1" t="s">
        <v>40</v>
      </c>
      <c r="K663" s="10" t="s">
        <v>36</v>
      </c>
    </row>
    <row r="664" spans="1:11" x14ac:dyDescent="0.3">
      <c r="A664" s="6" t="s">
        <v>82</v>
      </c>
      <c r="B664" s="1" t="s">
        <v>26</v>
      </c>
      <c r="C664" s="1" t="s">
        <v>46</v>
      </c>
      <c r="D664" s="1" t="s">
        <v>33</v>
      </c>
      <c r="E664" s="1">
        <v>40</v>
      </c>
      <c r="F664" s="7">
        <v>44465</v>
      </c>
      <c r="G664" s="8">
        <v>87770</v>
      </c>
      <c r="H664" s="9">
        <v>0</v>
      </c>
      <c r="I664" s="1" t="s">
        <v>29</v>
      </c>
      <c r="J664" s="1" t="s">
        <v>51</v>
      </c>
      <c r="K664" s="10" t="s">
        <v>36</v>
      </c>
    </row>
    <row r="665" spans="1:11" x14ac:dyDescent="0.3">
      <c r="A665" s="6" t="s">
        <v>47</v>
      </c>
      <c r="B665" s="1" t="s">
        <v>50</v>
      </c>
      <c r="C665" s="1" t="s">
        <v>46</v>
      </c>
      <c r="D665" s="1" t="s">
        <v>28</v>
      </c>
      <c r="E665" s="1">
        <v>38</v>
      </c>
      <c r="F665" s="7">
        <v>42228</v>
      </c>
      <c r="G665" s="8">
        <v>106858</v>
      </c>
      <c r="H665" s="9">
        <v>0.05</v>
      </c>
      <c r="I665" s="1" t="s">
        <v>29</v>
      </c>
      <c r="J665" s="1" t="s">
        <v>30</v>
      </c>
      <c r="K665" s="10" t="s">
        <v>36</v>
      </c>
    </row>
    <row r="666" spans="1:11" x14ac:dyDescent="0.3">
      <c r="A666" s="6" t="s">
        <v>37</v>
      </c>
      <c r="B666" s="1" t="s">
        <v>52</v>
      </c>
      <c r="C666" s="1" t="s">
        <v>46</v>
      </c>
      <c r="D666" s="1" t="s">
        <v>33</v>
      </c>
      <c r="E666" s="1">
        <v>60</v>
      </c>
      <c r="F666" s="7">
        <v>42108</v>
      </c>
      <c r="G666" s="8">
        <v>155788</v>
      </c>
      <c r="H666" s="9">
        <v>0.17</v>
      </c>
      <c r="I666" s="1" t="s">
        <v>29</v>
      </c>
      <c r="J666" s="1" t="s">
        <v>30</v>
      </c>
      <c r="K666" s="10" t="s">
        <v>36</v>
      </c>
    </row>
    <row r="667" spans="1:11" x14ac:dyDescent="0.3">
      <c r="A667" s="6" t="s">
        <v>69</v>
      </c>
      <c r="B667" s="1" t="s">
        <v>52</v>
      </c>
      <c r="C667" s="1" t="s">
        <v>39</v>
      </c>
      <c r="D667" s="1" t="s">
        <v>28</v>
      </c>
      <c r="E667" s="1">
        <v>45</v>
      </c>
      <c r="F667" s="7">
        <v>43581</v>
      </c>
      <c r="G667" s="8">
        <v>74891</v>
      </c>
      <c r="H667" s="9">
        <v>0</v>
      </c>
      <c r="I667" s="1" t="s">
        <v>59</v>
      </c>
      <c r="J667" s="1" t="s">
        <v>61</v>
      </c>
      <c r="K667" s="10" t="s">
        <v>36</v>
      </c>
    </row>
    <row r="668" spans="1:11" x14ac:dyDescent="0.3">
      <c r="A668" s="6" t="s">
        <v>53</v>
      </c>
      <c r="B668" s="1" t="s">
        <v>54</v>
      </c>
      <c r="C668" s="1" t="s">
        <v>46</v>
      </c>
      <c r="D668" s="1" t="s">
        <v>33</v>
      </c>
      <c r="E668" s="1">
        <v>28</v>
      </c>
      <c r="F668" s="7">
        <v>44548</v>
      </c>
      <c r="G668" s="8">
        <v>95670</v>
      </c>
      <c r="H668" s="9">
        <v>0</v>
      </c>
      <c r="I668" s="1" t="s">
        <v>29</v>
      </c>
      <c r="J668" s="1" t="s">
        <v>43</v>
      </c>
      <c r="K668" s="10" t="s">
        <v>36</v>
      </c>
    </row>
    <row r="669" spans="1:11" x14ac:dyDescent="0.3">
      <c r="A669" s="6" t="s">
        <v>44</v>
      </c>
      <c r="B669" s="1" t="s">
        <v>45</v>
      </c>
      <c r="C669" s="1" t="s">
        <v>27</v>
      </c>
      <c r="D669" s="1" t="s">
        <v>28</v>
      </c>
      <c r="E669" s="1">
        <v>65</v>
      </c>
      <c r="F669" s="7">
        <v>36798</v>
      </c>
      <c r="G669" s="8">
        <v>67837</v>
      </c>
      <c r="H669" s="9">
        <v>0</v>
      </c>
      <c r="I669" s="1" t="s">
        <v>29</v>
      </c>
      <c r="J669" s="1" t="s">
        <v>51</v>
      </c>
      <c r="K669" s="10" t="s">
        <v>36</v>
      </c>
    </row>
    <row r="670" spans="1:11" x14ac:dyDescent="0.3">
      <c r="A670" s="6" t="s">
        <v>66</v>
      </c>
      <c r="B670" s="1" t="s">
        <v>45</v>
      </c>
      <c r="C670" s="1" t="s">
        <v>27</v>
      </c>
      <c r="D670" s="1" t="s">
        <v>33</v>
      </c>
      <c r="E670" s="1">
        <v>41</v>
      </c>
      <c r="F670" s="7">
        <v>40333</v>
      </c>
      <c r="G670" s="8">
        <v>72425</v>
      </c>
      <c r="H670" s="9">
        <v>0</v>
      </c>
      <c r="I670" s="1" t="s">
        <v>34</v>
      </c>
      <c r="J670" s="1" t="s">
        <v>64</v>
      </c>
      <c r="K670" s="10" t="s">
        <v>36</v>
      </c>
    </row>
    <row r="671" spans="1:11" x14ac:dyDescent="0.3">
      <c r="A671" s="6" t="s">
        <v>42</v>
      </c>
      <c r="B671" s="1" t="s">
        <v>45</v>
      </c>
      <c r="C671" s="1" t="s">
        <v>46</v>
      </c>
      <c r="D671" s="1" t="s">
        <v>28</v>
      </c>
      <c r="E671" s="1">
        <v>52</v>
      </c>
      <c r="F671" s="7">
        <v>34623</v>
      </c>
      <c r="G671" s="8">
        <v>93103</v>
      </c>
      <c r="H671" s="9">
        <v>0</v>
      </c>
      <c r="I671" s="1" t="s">
        <v>29</v>
      </c>
      <c r="J671" s="1" t="s">
        <v>43</v>
      </c>
      <c r="K671" s="10" t="s">
        <v>36</v>
      </c>
    </row>
    <row r="672" spans="1:11" x14ac:dyDescent="0.3">
      <c r="A672" s="6" t="s">
        <v>53</v>
      </c>
      <c r="B672" s="1" t="s">
        <v>54</v>
      </c>
      <c r="C672" s="1" t="s">
        <v>46</v>
      </c>
      <c r="D672" s="1" t="s">
        <v>28</v>
      </c>
      <c r="E672" s="1">
        <v>56</v>
      </c>
      <c r="F672" s="7">
        <v>42291</v>
      </c>
      <c r="G672" s="8">
        <v>76272</v>
      </c>
      <c r="H672" s="9">
        <v>0</v>
      </c>
      <c r="I672" s="1" t="s">
        <v>29</v>
      </c>
      <c r="J672" s="1" t="s">
        <v>49</v>
      </c>
      <c r="K672" s="10">
        <v>44491</v>
      </c>
    </row>
    <row r="673" spans="1:11" x14ac:dyDescent="0.3">
      <c r="A673" s="6" t="s">
        <v>66</v>
      </c>
      <c r="B673" s="1" t="s">
        <v>38</v>
      </c>
      <c r="C673" s="1" t="s">
        <v>32</v>
      </c>
      <c r="D673" s="1" t="s">
        <v>28</v>
      </c>
      <c r="E673" s="1">
        <v>48</v>
      </c>
      <c r="F673" s="7">
        <v>37796</v>
      </c>
      <c r="G673" s="8">
        <v>55760</v>
      </c>
      <c r="H673" s="9">
        <v>0</v>
      </c>
      <c r="I673" s="1" t="s">
        <v>29</v>
      </c>
      <c r="J673" s="1" t="s">
        <v>51</v>
      </c>
      <c r="K673" s="10" t="s">
        <v>36</v>
      </c>
    </row>
    <row r="674" spans="1:11" x14ac:dyDescent="0.3">
      <c r="A674" s="6" t="s">
        <v>56</v>
      </c>
      <c r="B674" s="1" t="s">
        <v>50</v>
      </c>
      <c r="C674" s="1" t="s">
        <v>46</v>
      </c>
      <c r="D674" s="1" t="s">
        <v>28</v>
      </c>
      <c r="E674" s="1">
        <v>36</v>
      </c>
      <c r="F674" s="7">
        <v>43843</v>
      </c>
      <c r="G674" s="8">
        <v>253294</v>
      </c>
      <c r="H674" s="9">
        <v>0.4</v>
      </c>
      <c r="I674" s="1" t="s">
        <v>29</v>
      </c>
      <c r="J674" s="1" t="s">
        <v>49</v>
      </c>
      <c r="K674" s="10" t="s">
        <v>36</v>
      </c>
    </row>
    <row r="675" spans="1:11" x14ac:dyDescent="0.3">
      <c r="A675" s="6" t="s">
        <v>66</v>
      </c>
      <c r="B675" s="1" t="s">
        <v>38</v>
      </c>
      <c r="C675" s="1" t="s">
        <v>46</v>
      </c>
      <c r="D675" s="1" t="s">
        <v>33</v>
      </c>
      <c r="E675" s="1">
        <v>60</v>
      </c>
      <c r="F675" s="7">
        <v>39310</v>
      </c>
      <c r="G675" s="8">
        <v>58671</v>
      </c>
      <c r="H675" s="9">
        <v>0</v>
      </c>
      <c r="I675" s="1" t="s">
        <v>29</v>
      </c>
      <c r="J675" s="1" t="s">
        <v>58</v>
      </c>
      <c r="K675" s="10" t="s">
        <v>36</v>
      </c>
    </row>
    <row r="676" spans="1:11" x14ac:dyDescent="0.3">
      <c r="A676" s="6" t="s">
        <v>44</v>
      </c>
      <c r="B676" s="1" t="s">
        <v>45</v>
      </c>
      <c r="C676" s="1" t="s">
        <v>27</v>
      </c>
      <c r="D676" s="1" t="s">
        <v>28</v>
      </c>
      <c r="E676" s="1">
        <v>40</v>
      </c>
      <c r="F676" s="7">
        <v>43175</v>
      </c>
      <c r="G676" s="8">
        <v>55457</v>
      </c>
      <c r="H676" s="9">
        <v>0</v>
      </c>
      <c r="I676" s="1" t="s">
        <v>29</v>
      </c>
      <c r="J676" s="1" t="s">
        <v>58</v>
      </c>
      <c r="K676" s="10" t="s">
        <v>36</v>
      </c>
    </row>
    <row r="677" spans="1:11" x14ac:dyDescent="0.3">
      <c r="A677" s="6" t="s">
        <v>44</v>
      </c>
      <c r="B677" s="1" t="s">
        <v>45</v>
      </c>
      <c r="C677" s="1" t="s">
        <v>32</v>
      </c>
      <c r="D677" s="1" t="s">
        <v>28</v>
      </c>
      <c r="E677" s="1">
        <v>63</v>
      </c>
      <c r="F677" s="7">
        <v>43004</v>
      </c>
      <c r="G677" s="8">
        <v>72340</v>
      </c>
      <c r="H677" s="9">
        <v>0</v>
      </c>
      <c r="I677" s="1" t="s">
        <v>29</v>
      </c>
      <c r="J677" s="1" t="s">
        <v>43</v>
      </c>
      <c r="K677" s="10">
        <v>43558</v>
      </c>
    </row>
    <row r="678" spans="1:11" x14ac:dyDescent="0.3">
      <c r="A678" s="6" t="s">
        <v>47</v>
      </c>
      <c r="B678" s="1" t="s">
        <v>57</v>
      </c>
      <c r="C678" s="1" t="s">
        <v>46</v>
      </c>
      <c r="D678" s="1" t="s">
        <v>28</v>
      </c>
      <c r="E678" s="1">
        <v>29</v>
      </c>
      <c r="F678" s="7">
        <v>42676</v>
      </c>
      <c r="G678" s="8">
        <v>122054</v>
      </c>
      <c r="H678" s="9">
        <v>0.06</v>
      </c>
      <c r="I678" s="1" t="s">
        <v>29</v>
      </c>
      <c r="J678" s="1" t="s">
        <v>43</v>
      </c>
      <c r="K678" s="10" t="s">
        <v>36</v>
      </c>
    </row>
    <row r="679" spans="1:11" x14ac:dyDescent="0.3">
      <c r="A679" s="6" t="s">
        <v>37</v>
      </c>
      <c r="B679" s="1" t="s">
        <v>26</v>
      </c>
      <c r="C679" s="1" t="s">
        <v>32</v>
      </c>
      <c r="D679" s="1" t="s">
        <v>28</v>
      </c>
      <c r="E679" s="1">
        <v>27</v>
      </c>
      <c r="F679" s="7">
        <v>43103</v>
      </c>
      <c r="G679" s="8">
        <v>167100</v>
      </c>
      <c r="H679" s="9">
        <v>0.2</v>
      </c>
      <c r="I679" s="1" t="s">
        <v>34</v>
      </c>
      <c r="J679" s="1" t="s">
        <v>68</v>
      </c>
      <c r="K679" s="10" t="s">
        <v>36</v>
      </c>
    </row>
    <row r="680" spans="1:11" x14ac:dyDescent="0.3">
      <c r="A680" s="6" t="s">
        <v>31</v>
      </c>
      <c r="B680" s="1" t="s">
        <v>26</v>
      </c>
      <c r="C680" s="1" t="s">
        <v>46</v>
      </c>
      <c r="D680" s="1" t="s">
        <v>28</v>
      </c>
      <c r="E680" s="1">
        <v>53</v>
      </c>
      <c r="F680" s="7">
        <v>35543</v>
      </c>
      <c r="G680" s="8">
        <v>78153</v>
      </c>
      <c r="H680" s="9">
        <v>0</v>
      </c>
      <c r="I680" s="1" t="s">
        <v>29</v>
      </c>
      <c r="J680" s="1" t="s">
        <v>49</v>
      </c>
      <c r="K680" s="10" t="s">
        <v>36</v>
      </c>
    </row>
    <row r="681" spans="1:11" x14ac:dyDescent="0.3">
      <c r="A681" s="6" t="s">
        <v>47</v>
      </c>
      <c r="B681" s="1" t="s">
        <v>38</v>
      </c>
      <c r="C681" s="1" t="s">
        <v>32</v>
      </c>
      <c r="D681" s="1" t="s">
        <v>28</v>
      </c>
      <c r="E681" s="1">
        <v>37</v>
      </c>
      <c r="F681" s="7">
        <v>43935</v>
      </c>
      <c r="G681" s="8">
        <v>103524</v>
      </c>
      <c r="H681" s="9">
        <v>0.09</v>
      </c>
      <c r="I681" s="1" t="s">
        <v>29</v>
      </c>
      <c r="J681" s="1" t="s">
        <v>43</v>
      </c>
      <c r="K681" s="10" t="s">
        <v>36</v>
      </c>
    </row>
    <row r="682" spans="1:11" x14ac:dyDescent="0.3">
      <c r="A682" s="6" t="s">
        <v>47</v>
      </c>
      <c r="B682" s="1" t="s">
        <v>26</v>
      </c>
      <c r="C682" s="1" t="s">
        <v>46</v>
      </c>
      <c r="D682" s="1" t="s">
        <v>33</v>
      </c>
      <c r="E682" s="1">
        <v>30</v>
      </c>
      <c r="F682" s="7">
        <v>42952</v>
      </c>
      <c r="G682" s="8">
        <v>119906</v>
      </c>
      <c r="H682" s="9">
        <v>0.05</v>
      </c>
      <c r="I682" s="1" t="s">
        <v>29</v>
      </c>
      <c r="J682" s="1" t="s">
        <v>58</v>
      </c>
      <c r="K682" s="10" t="s">
        <v>36</v>
      </c>
    </row>
    <row r="683" spans="1:11" x14ac:dyDescent="0.3">
      <c r="A683" s="6" t="s">
        <v>48</v>
      </c>
      <c r="B683" s="1" t="s">
        <v>57</v>
      </c>
      <c r="C683" s="1" t="s">
        <v>39</v>
      </c>
      <c r="D683" s="1" t="s">
        <v>28</v>
      </c>
      <c r="E683" s="1">
        <v>28</v>
      </c>
      <c r="F683" s="7">
        <v>43847</v>
      </c>
      <c r="G683" s="8">
        <v>45061</v>
      </c>
      <c r="H683" s="9">
        <v>0</v>
      </c>
      <c r="I683" s="1" t="s">
        <v>29</v>
      </c>
      <c r="J683" s="1" t="s">
        <v>49</v>
      </c>
      <c r="K683" s="10" t="s">
        <v>36</v>
      </c>
    </row>
    <row r="684" spans="1:11" x14ac:dyDescent="0.3">
      <c r="A684" s="6" t="s">
        <v>85</v>
      </c>
      <c r="B684" s="1" t="s">
        <v>26</v>
      </c>
      <c r="C684" s="1" t="s">
        <v>46</v>
      </c>
      <c r="D684" s="1" t="s">
        <v>33</v>
      </c>
      <c r="E684" s="1">
        <v>51</v>
      </c>
      <c r="F684" s="7">
        <v>37638</v>
      </c>
      <c r="G684" s="8">
        <v>91399</v>
      </c>
      <c r="H684" s="9">
        <v>0</v>
      </c>
      <c r="I684" s="1" t="s">
        <v>29</v>
      </c>
      <c r="J684" s="1" t="s">
        <v>30</v>
      </c>
      <c r="K684" s="10" t="s">
        <v>36</v>
      </c>
    </row>
    <row r="685" spans="1:11" x14ac:dyDescent="0.3">
      <c r="A685" s="6" t="s">
        <v>67</v>
      </c>
      <c r="B685" s="1" t="s">
        <v>26</v>
      </c>
      <c r="C685" s="1" t="s">
        <v>27</v>
      </c>
      <c r="D685" s="1" t="s">
        <v>33</v>
      </c>
      <c r="E685" s="1">
        <v>28</v>
      </c>
      <c r="F685" s="7">
        <v>43006</v>
      </c>
      <c r="G685" s="8">
        <v>97336</v>
      </c>
      <c r="H685" s="9">
        <v>0</v>
      </c>
      <c r="I685" s="1" t="s">
        <v>29</v>
      </c>
      <c r="J685" s="1" t="s">
        <v>51</v>
      </c>
      <c r="K685" s="10" t="s">
        <v>36</v>
      </c>
    </row>
    <row r="686" spans="1:11" x14ac:dyDescent="0.3">
      <c r="A686" s="6" t="s">
        <v>25</v>
      </c>
      <c r="B686" s="1" t="s">
        <v>50</v>
      </c>
      <c r="C686" s="1" t="s">
        <v>46</v>
      </c>
      <c r="D686" s="1" t="s">
        <v>28</v>
      </c>
      <c r="E686" s="1">
        <v>31</v>
      </c>
      <c r="F686" s="7">
        <v>42755</v>
      </c>
      <c r="G686" s="8">
        <v>124629</v>
      </c>
      <c r="H686" s="9">
        <v>0.1</v>
      </c>
      <c r="I686" s="1" t="s">
        <v>29</v>
      </c>
      <c r="J686" s="1" t="s">
        <v>58</v>
      </c>
      <c r="K686" s="10" t="s">
        <v>36</v>
      </c>
    </row>
    <row r="687" spans="1:11" x14ac:dyDescent="0.3">
      <c r="A687" s="6" t="s">
        <v>56</v>
      </c>
      <c r="B687" s="1" t="s">
        <v>52</v>
      </c>
      <c r="C687" s="1" t="s">
        <v>39</v>
      </c>
      <c r="D687" s="1" t="s">
        <v>28</v>
      </c>
      <c r="E687" s="1">
        <v>28</v>
      </c>
      <c r="F687" s="7">
        <v>44402</v>
      </c>
      <c r="G687" s="8">
        <v>231850</v>
      </c>
      <c r="H687" s="9">
        <v>0.39</v>
      </c>
      <c r="I687" s="1" t="s">
        <v>29</v>
      </c>
      <c r="J687" s="1" t="s">
        <v>49</v>
      </c>
      <c r="K687" s="10" t="s">
        <v>36</v>
      </c>
    </row>
    <row r="688" spans="1:11" x14ac:dyDescent="0.3">
      <c r="A688" s="6" t="s">
        <v>47</v>
      </c>
      <c r="B688" s="1" t="s">
        <v>50</v>
      </c>
      <c r="C688" s="1" t="s">
        <v>27</v>
      </c>
      <c r="D688" s="1" t="s">
        <v>33</v>
      </c>
      <c r="E688" s="1">
        <v>34</v>
      </c>
      <c r="F688" s="7">
        <v>43255</v>
      </c>
      <c r="G688" s="8">
        <v>128329</v>
      </c>
      <c r="H688" s="9">
        <v>0.08</v>
      </c>
      <c r="I688" s="1" t="s">
        <v>29</v>
      </c>
      <c r="J688" s="1" t="s">
        <v>43</v>
      </c>
      <c r="K688" s="10" t="s">
        <v>36</v>
      </c>
    </row>
    <row r="689" spans="1:11" x14ac:dyDescent="0.3">
      <c r="A689" s="6" t="s">
        <v>56</v>
      </c>
      <c r="B689" s="1" t="s">
        <v>57</v>
      </c>
      <c r="C689" s="1" t="s">
        <v>39</v>
      </c>
      <c r="D689" s="1" t="s">
        <v>33</v>
      </c>
      <c r="E689" s="1">
        <v>44</v>
      </c>
      <c r="F689" s="7">
        <v>44283</v>
      </c>
      <c r="G689" s="8">
        <v>186033</v>
      </c>
      <c r="H689" s="9">
        <v>0.34</v>
      </c>
      <c r="I689" s="1" t="s">
        <v>59</v>
      </c>
      <c r="J689" s="1" t="s">
        <v>76</v>
      </c>
      <c r="K689" s="10" t="s">
        <v>36</v>
      </c>
    </row>
    <row r="690" spans="1:11" x14ac:dyDescent="0.3">
      <c r="A690" s="6" t="s">
        <v>25</v>
      </c>
      <c r="B690" s="1" t="s">
        <v>57</v>
      </c>
      <c r="C690" s="1" t="s">
        <v>32</v>
      </c>
      <c r="D690" s="1" t="s">
        <v>33</v>
      </c>
      <c r="E690" s="1">
        <v>60</v>
      </c>
      <c r="F690" s="7">
        <v>44403</v>
      </c>
      <c r="G690" s="8">
        <v>121480</v>
      </c>
      <c r="H690" s="9">
        <v>0.14000000000000001</v>
      </c>
      <c r="I690" s="1" t="s">
        <v>29</v>
      </c>
      <c r="J690" s="1" t="s">
        <v>43</v>
      </c>
      <c r="K690" s="10" t="s">
        <v>36</v>
      </c>
    </row>
    <row r="691" spans="1:11" x14ac:dyDescent="0.3">
      <c r="A691" s="6" t="s">
        <v>37</v>
      </c>
      <c r="B691" s="1" t="s">
        <v>52</v>
      </c>
      <c r="C691" s="1" t="s">
        <v>39</v>
      </c>
      <c r="D691" s="1" t="s">
        <v>28</v>
      </c>
      <c r="E691" s="1">
        <v>41</v>
      </c>
      <c r="F691" s="7">
        <v>40319</v>
      </c>
      <c r="G691" s="8">
        <v>153275</v>
      </c>
      <c r="H691" s="9">
        <v>0.24</v>
      </c>
      <c r="I691" s="1" t="s">
        <v>29</v>
      </c>
      <c r="J691" s="1" t="s">
        <v>58</v>
      </c>
      <c r="K691" s="10" t="s">
        <v>36</v>
      </c>
    </row>
    <row r="692" spans="1:11" x14ac:dyDescent="0.3">
      <c r="A692" s="6" t="s">
        <v>42</v>
      </c>
      <c r="B692" s="1" t="s">
        <v>45</v>
      </c>
      <c r="C692" s="1" t="s">
        <v>27</v>
      </c>
      <c r="D692" s="1" t="s">
        <v>28</v>
      </c>
      <c r="E692" s="1">
        <v>62</v>
      </c>
      <c r="F692" s="7">
        <v>43969</v>
      </c>
      <c r="G692" s="8">
        <v>97830</v>
      </c>
      <c r="H692" s="9">
        <v>0</v>
      </c>
      <c r="I692" s="1" t="s">
        <v>29</v>
      </c>
      <c r="J692" s="1" t="s">
        <v>51</v>
      </c>
      <c r="K692" s="10" t="s">
        <v>36</v>
      </c>
    </row>
    <row r="693" spans="1:11" x14ac:dyDescent="0.3">
      <c r="A693" s="6" t="s">
        <v>56</v>
      </c>
      <c r="B693" s="1" t="s">
        <v>57</v>
      </c>
      <c r="C693" s="1" t="s">
        <v>46</v>
      </c>
      <c r="D693" s="1" t="s">
        <v>28</v>
      </c>
      <c r="E693" s="1">
        <v>47</v>
      </c>
      <c r="F693" s="7">
        <v>36232</v>
      </c>
      <c r="G693" s="8">
        <v>239394</v>
      </c>
      <c r="H693" s="9">
        <v>0.32</v>
      </c>
      <c r="I693" s="1" t="s">
        <v>29</v>
      </c>
      <c r="J693" s="1" t="s">
        <v>51</v>
      </c>
      <c r="K693" s="10" t="s">
        <v>36</v>
      </c>
    </row>
    <row r="694" spans="1:11" x14ac:dyDescent="0.3">
      <c r="A694" s="6" t="s">
        <v>48</v>
      </c>
      <c r="B694" s="1" t="s">
        <v>38</v>
      </c>
      <c r="C694" s="1" t="s">
        <v>39</v>
      </c>
      <c r="D694" s="1" t="s">
        <v>28</v>
      </c>
      <c r="E694" s="1">
        <v>62</v>
      </c>
      <c r="F694" s="7">
        <v>37519</v>
      </c>
      <c r="G694" s="8">
        <v>49738</v>
      </c>
      <c r="H694" s="9">
        <v>0</v>
      </c>
      <c r="I694" s="1" t="s">
        <v>34</v>
      </c>
      <c r="J694" s="1" t="s">
        <v>64</v>
      </c>
      <c r="K694" s="10" t="s">
        <v>36</v>
      </c>
    </row>
    <row r="695" spans="1:11" x14ac:dyDescent="0.3">
      <c r="A695" s="6" t="s">
        <v>48</v>
      </c>
      <c r="B695" s="1" t="s">
        <v>50</v>
      </c>
      <c r="C695" s="1" t="s">
        <v>32</v>
      </c>
      <c r="D695" s="1" t="s">
        <v>28</v>
      </c>
      <c r="E695" s="1">
        <v>33</v>
      </c>
      <c r="F695" s="7">
        <v>43247</v>
      </c>
      <c r="G695" s="8">
        <v>45049</v>
      </c>
      <c r="H695" s="9">
        <v>0</v>
      </c>
      <c r="I695" s="1" t="s">
        <v>29</v>
      </c>
      <c r="J695" s="1" t="s">
        <v>30</v>
      </c>
      <c r="K695" s="10" t="s">
        <v>36</v>
      </c>
    </row>
    <row r="696" spans="1:11" x14ac:dyDescent="0.3">
      <c r="A696" s="6" t="s">
        <v>37</v>
      </c>
      <c r="B696" s="1" t="s">
        <v>38</v>
      </c>
      <c r="C696" s="1" t="s">
        <v>27</v>
      </c>
      <c r="D696" s="1" t="s">
        <v>28</v>
      </c>
      <c r="E696" s="1">
        <v>27</v>
      </c>
      <c r="F696" s="7">
        <v>43977</v>
      </c>
      <c r="G696" s="8">
        <v>153628</v>
      </c>
      <c r="H696" s="9">
        <v>0.28999999999999998</v>
      </c>
      <c r="I696" s="1" t="s">
        <v>34</v>
      </c>
      <c r="J696" s="1" t="s">
        <v>35</v>
      </c>
      <c r="K696" s="10">
        <v>44177</v>
      </c>
    </row>
    <row r="697" spans="1:11" x14ac:dyDescent="0.3">
      <c r="A697" s="6" t="s">
        <v>25</v>
      </c>
      <c r="B697" s="1" t="s">
        <v>45</v>
      </c>
      <c r="C697" s="1" t="s">
        <v>32</v>
      </c>
      <c r="D697" s="1" t="s">
        <v>33</v>
      </c>
      <c r="E697" s="1">
        <v>25</v>
      </c>
      <c r="F697" s="7">
        <v>44362</v>
      </c>
      <c r="G697" s="8">
        <v>142731</v>
      </c>
      <c r="H697" s="9">
        <v>0.11</v>
      </c>
      <c r="I697" s="1" t="s">
        <v>34</v>
      </c>
      <c r="J697" s="1" t="s">
        <v>55</v>
      </c>
      <c r="K697" s="10">
        <v>44715</v>
      </c>
    </row>
    <row r="698" spans="1:11" x14ac:dyDescent="0.3">
      <c r="A698" s="6" t="s">
        <v>25</v>
      </c>
      <c r="B698" s="1" t="s">
        <v>57</v>
      </c>
      <c r="C698" s="1" t="s">
        <v>39</v>
      </c>
      <c r="D698" s="1" t="s">
        <v>28</v>
      </c>
      <c r="E698" s="1">
        <v>29</v>
      </c>
      <c r="F698" s="7">
        <v>43966</v>
      </c>
      <c r="G698" s="8">
        <v>137106</v>
      </c>
      <c r="H698" s="9">
        <v>0.12</v>
      </c>
      <c r="I698" s="1" t="s">
        <v>59</v>
      </c>
      <c r="J698" s="1" t="s">
        <v>76</v>
      </c>
      <c r="K698" s="10" t="s">
        <v>36</v>
      </c>
    </row>
    <row r="699" spans="1:11" x14ac:dyDescent="0.3">
      <c r="A699" s="6" t="s">
        <v>56</v>
      </c>
      <c r="B699" s="1" t="s">
        <v>38</v>
      </c>
      <c r="C699" s="1" t="s">
        <v>46</v>
      </c>
      <c r="D699" s="1" t="s">
        <v>28</v>
      </c>
      <c r="E699" s="1">
        <v>54</v>
      </c>
      <c r="F699" s="7">
        <v>39330</v>
      </c>
      <c r="G699" s="8">
        <v>183239</v>
      </c>
      <c r="H699" s="9">
        <v>0.32</v>
      </c>
      <c r="I699" s="1" t="s">
        <v>29</v>
      </c>
      <c r="J699" s="1" t="s">
        <v>30</v>
      </c>
      <c r="K699" s="10" t="s">
        <v>36</v>
      </c>
    </row>
    <row r="700" spans="1:11" x14ac:dyDescent="0.3">
      <c r="A700" s="6" t="s">
        <v>48</v>
      </c>
      <c r="B700" s="1" t="s">
        <v>50</v>
      </c>
      <c r="C700" s="1" t="s">
        <v>32</v>
      </c>
      <c r="D700" s="1" t="s">
        <v>28</v>
      </c>
      <c r="E700" s="1">
        <v>28</v>
      </c>
      <c r="F700" s="7">
        <v>43610</v>
      </c>
      <c r="G700" s="8">
        <v>45819</v>
      </c>
      <c r="H700" s="9">
        <v>0</v>
      </c>
      <c r="I700" s="1" t="s">
        <v>29</v>
      </c>
      <c r="J700" s="1" t="s">
        <v>49</v>
      </c>
      <c r="K700" s="10" t="s">
        <v>36</v>
      </c>
    </row>
    <row r="701" spans="1:11" x14ac:dyDescent="0.3">
      <c r="A701" s="6" t="s">
        <v>48</v>
      </c>
      <c r="B701" s="1" t="s">
        <v>50</v>
      </c>
      <c r="C701" s="1" t="s">
        <v>27</v>
      </c>
      <c r="D701" s="1" t="s">
        <v>28</v>
      </c>
      <c r="E701" s="1">
        <v>54</v>
      </c>
      <c r="F701" s="7">
        <v>39080</v>
      </c>
      <c r="G701" s="8">
        <v>55518</v>
      </c>
      <c r="H701" s="9">
        <v>0</v>
      </c>
      <c r="I701" s="1" t="s">
        <v>29</v>
      </c>
      <c r="J701" s="1" t="s">
        <v>58</v>
      </c>
      <c r="K701" s="10" t="s">
        <v>36</v>
      </c>
    </row>
    <row r="702" spans="1:11" x14ac:dyDescent="0.3">
      <c r="A702" s="6" t="s">
        <v>47</v>
      </c>
      <c r="B702" s="1" t="s">
        <v>57</v>
      </c>
      <c r="C702" s="1" t="s">
        <v>32</v>
      </c>
      <c r="D702" s="1" t="s">
        <v>28</v>
      </c>
      <c r="E702" s="1">
        <v>50</v>
      </c>
      <c r="F702" s="7">
        <v>40979</v>
      </c>
      <c r="G702" s="8">
        <v>108134</v>
      </c>
      <c r="H702" s="9">
        <v>0.1</v>
      </c>
      <c r="I702" s="1" t="s">
        <v>34</v>
      </c>
      <c r="J702" s="1" t="s">
        <v>55</v>
      </c>
      <c r="K702" s="10" t="s">
        <v>36</v>
      </c>
    </row>
    <row r="703" spans="1:11" x14ac:dyDescent="0.3">
      <c r="A703" s="6" t="s">
        <v>47</v>
      </c>
      <c r="B703" s="1" t="s">
        <v>57</v>
      </c>
      <c r="C703" s="1" t="s">
        <v>27</v>
      </c>
      <c r="D703" s="1" t="s">
        <v>28</v>
      </c>
      <c r="E703" s="1">
        <v>55</v>
      </c>
      <c r="F703" s="7">
        <v>33958</v>
      </c>
      <c r="G703" s="8">
        <v>113950</v>
      </c>
      <c r="H703" s="9">
        <v>0.09</v>
      </c>
      <c r="I703" s="1" t="s">
        <v>29</v>
      </c>
      <c r="J703" s="1" t="s">
        <v>49</v>
      </c>
      <c r="K703" s="10" t="s">
        <v>36</v>
      </c>
    </row>
    <row r="704" spans="1:11" x14ac:dyDescent="0.3">
      <c r="A704" s="6" t="s">
        <v>56</v>
      </c>
      <c r="B704" s="1" t="s">
        <v>57</v>
      </c>
      <c r="C704" s="1" t="s">
        <v>39</v>
      </c>
      <c r="D704" s="1" t="s">
        <v>28</v>
      </c>
      <c r="E704" s="1">
        <v>52</v>
      </c>
      <c r="F704" s="7">
        <v>35886</v>
      </c>
      <c r="G704" s="8">
        <v>182035</v>
      </c>
      <c r="H704" s="9">
        <v>0.3</v>
      </c>
      <c r="I704" s="1" t="s">
        <v>29</v>
      </c>
      <c r="J704" s="1" t="s">
        <v>40</v>
      </c>
      <c r="K704" s="10" t="s">
        <v>36</v>
      </c>
    </row>
    <row r="705" spans="1:11" x14ac:dyDescent="0.3">
      <c r="A705" s="6" t="s">
        <v>37</v>
      </c>
      <c r="B705" s="1" t="s">
        <v>50</v>
      </c>
      <c r="C705" s="1" t="s">
        <v>39</v>
      </c>
      <c r="D705" s="1" t="s">
        <v>33</v>
      </c>
      <c r="E705" s="1">
        <v>35</v>
      </c>
      <c r="F705" s="7">
        <v>42963</v>
      </c>
      <c r="G705" s="8">
        <v>181356</v>
      </c>
      <c r="H705" s="9">
        <v>0.23</v>
      </c>
      <c r="I705" s="1" t="s">
        <v>34</v>
      </c>
      <c r="J705" s="1" t="s">
        <v>64</v>
      </c>
      <c r="K705" s="10" t="s">
        <v>36</v>
      </c>
    </row>
    <row r="706" spans="1:11" x14ac:dyDescent="0.3">
      <c r="A706" s="6" t="s">
        <v>44</v>
      </c>
      <c r="B706" s="1" t="s">
        <v>45</v>
      </c>
      <c r="C706" s="1" t="s">
        <v>46</v>
      </c>
      <c r="D706" s="1" t="s">
        <v>28</v>
      </c>
      <c r="E706" s="1">
        <v>26</v>
      </c>
      <c r="F706" s="7">
        <v>43698</v>
      </c>
      <c r="G706" s="8">
        <v>66084</v>
      </c>
      <c r="H706" s="9">
        <v>0</v>
      </c>
      <c r="I706" s="1" t="s">
        <v>29</v>
      </c>
      <c r="J706" s="1" t="s">
        <v>30</v>
      </c>
      <c r="K706" s="10" t="s">
        <v>36</v>
      </c>
    </row>
    <row r="707" spans="1:11" x14ac:dyDescent="0.3">
      <c r="A707" s="6" t="s">
        <v>84</v>
      </c>
      <c r="B707" s="1" t="s">
        <v>26</v>
      </c>
      <c r="C707" s="1" t="s">
        <v>39</v>
      </c>
      <c r="D707" s="1" t="s">
        <v>28</v>
      </c>
      <c r="E707" s="1">
        <v>43</v>
      </c>
      <c r="F707" s="7">
        <v>40290</v>
      </c>
      <c r="G707" s="8">
        <v>76912</v>
      </c>
      <c r="H707" s="9">
        <v>0</v>
      </c>
      <c r="I707" s="1" t="s">
        <v>59</v>
      </c>
      <c r="J707" s="1" t="s">
        <v>76</v>
      </c>
      <c r="K707" s="10" t="s">
        <v>36</v>
      </c>
    </row>
    <row r="708" spans="1:11" x14ac:dyDescent="0.3">
      <c r="A708" s="6" t="s">
        <v>77</v>
      </c>
      <c r="B708" s="1" t="s">
        <v>54</v>
      </c>
      <c r="C708" s="1" t="s">
        <v>27</v>
      </c>
      <c r="D708" s="1" t="s">
        <v>28</v>
      </c>
      <c r="E708" s="1">
        <v>63</v>
      </c>
      <c r="F708" s="7">
        <v>43227</v>
      </c>
      <c r="G708" s="8">
        <v>67987</v>
      </c>
      <c r="H708" s="9">
        <v>0</v>
      </c>
      <c r="I708" s="1" t="s">
        <v>29</v>
      </c>
      <c r="J708" s="1" t="s">
        <v>49</v>
      </c>
      <c r="K708" s="10" t="s">
        <v>36</v>
      </c>
    </row>
    <row r="709" spans="1:11" x14ac:dyDescent="0.3">
      <c r="A709" s="6" t="s">
        <v>66</v>
      </c>
      <c r="B709" s="1" t="s">
        <v>57</v>
      </c>
      <c r="C709" s="1" t="s">
        <v>32</v>
      </c>
      <c r="D709" s="1" t="s">
        <v>33</v>
      </c>
      <c r="E709" s="1">
        <v>65</v>
      </c>
      <c r="F709" s="7">
        <v>38584</v>
      </c>
      <c r="G709" s="8">
        <v>59833</v>
      </c>
      <c r="H709" s="9">
        <v>0</v>
      </c>
      <c r="I709" s="1" t="s">
        <v>29</v>
      </c>
      <c r="J709" s="1" t="s">
        <v>58</v>
      </c>
      <c r="K709" s="10" t="s">
        <v>36</v>
      </c>
    </row>
    <row r="710" spans="1:11" x14ac:dyDescent="0.3">
      <c r="A710" s="6" t="s">
        <v>25</v>
      </c>
      <c r="B710" s="1" t="s">
        <v>57</v>
      </c>
      <c r="C710" s="1" t="s">
        <v>39</v>
      </c>
      <c r="D710" s="1" t="s">
        <v>33</v>
      </c>
      <c r="E710" s="1">
        <v>45</v>
      </c>
      <c r="F710" s="7">
        <v>38453</v>
      </c>
      <c r="G710" s="8">
        <v>128468</v>
      </c>
      <c r="H710" s="9">
        <v>0.11</v>
      </c>
      <c r="I710" s="1" t="s">
        <v>29</v>
      </c>
      <c r="J710" s="1" t="s">
        <v>40</v>
      </c>
      <c r="K710" s="10" t="s">
        <v>36</v>
      </c>
    </row>
    <row r="711" spans="1:11" x14ac:dyDescent="0.3">
      <c r="A711" s="6" t="s">
        <v>47</v>
      </c>
      <c r="B711" s="1" t="s">
        <v>45</v>
      </c>
      <c r="C711" s="1" t="s">
        <v>46</v>
      </c>
      <c r="D711" s="1" t="s">
        <v>33</v>
      </c>
      <c r="E711" s="1">
        <v>42</v>
      </c>
      <c r="F711" s="7">
        <v>40692</v>
      </c>
      <c r="G711" s="8">
        <v>102440</v>
      </c>
      <c r="H711" s="9">
        <v>0.06</v>
      </c>
      <c r="I711" s="1" t="s">
        <v>29</v>
      </c>
      <c r="J711" s="1" t="s">
        <v>40</v>
      </c>
      <c r="K711" s="10" t="s">
        <v>36</v>
      </c>
    </row>
    <row r="712" spans="1:11" x14ac:dyDescent="0.3">
      <c r="A712" s="6" t="s">
        <v>56</v>
      </c>
      <c r="B712" s="1" t="s">
        <v>26</v>
      </c>
      <c r="C712" s="1" t="s">
        <v>39</v>
      </c>
      <c r="D712" s="1" t="s">
        <v>33</v>
      </c>
      <c r="E712" s="1">
        <v>59</v>
      </c>
      <c r="F712" s="7">
        <v>40542</v>
      </c>
      <c r="G712" s="8">
        <v>246619</v>
      </c>
      <c r="H712" s="9">
        <v>0.36</v>
      </c>
      <c r="I712" s="1" t="s">
        <v>29</v>
      </c>
      <c r="J712" s="1" t="s">
        <v>49</v>
      </c>
      <c r="K712" s="10" t="s">
        <v>36</v>
      </c>
    </row>
    <row r="713" spans="1:11" x14ac:dyDescent="0.3">
      <c r="A713" s="6" t="s">
        <v>47</v>
      </c>
      <c r="B713" s="1" t="s">
        <v>52</v>
      </c>
      <c r="C713" s="1" t="s">
        <v>46</v>
      </c>
      <c r="D713" s="1" t="s">
        <v>28</v>
      </c>
      <c r="E713" s="1">
        <v>42</v>
      </c>
      <c r="F713" s="7">
        <v>43058</v>
      </c>
      <c r="G713" s="8">
        <v>101143</v>
      </c>
      <c r="H713" s="9">
        <v>0.06</v>
      </c>
      <c r="I713" s="1" t="s">
        <v>29</v>
      </c>
      <c r="J713" s="1" t="s">
        <v>49</v>
      </c>
      <c r="K713" s="10" t="s">
        <v>36</v>
      </c>
    </row>
    <row r="714" spans="1:11" x14ac:dyDescent="0.3">
      <c r="A714" s="6" t="s">
        <v>74</v>
      </c>
      <c r="B714" s="1" t="s">
        <v>52</v>
      </c>
      <c r="C714" s="1" t="s">
        <v>32</v>
      </c>
      <c r="D714" s="1" t="s">
        <v>28</v>
      </c>
      <c r="E714" s="1">
        <v>45</v>
      </c>
      <c r="F714" s="7">
        <v>38639</v>
      </c>
      <c r="G714" s="8">
        <v>51404</v>
      </c>
      <c r="H714" s="9">
        <v>0</v>
      </c>
      <c r="I714" s="1" t="s">
        <v>59</v>
      </c>
      <c r="J714" s="1" t="s">
        <v>60</v>
      </c>
      <c r="K714" s="10">
        <v>40153</v>
      </c>
    </row>
    <row r="715" spans="1:11" x14ac:dyDescent="0.3">
      <c r="A715" s="6" t="s">
        <v>71</v>
      </c>
      <c r="B715" s="1" t="s">
        <v>54</v>
      </c>
      <c r="C715" s="1" t="s">
        <v>39</v>
      </c>
      <c r="D715" s="1" t="s">
        <v>33</v>
      </c>
      <c r="E715" s="1">
        <v>45</v>
      </c>
      <c r="F715" s="7">
        <v>42329</v>
      </c>
      <c r="G715" s="8">
        <v>87292</v>
      </c>
      <c r="H715" s="9">
        <v>0</v>
      </c>
      <c r="I715" s="1" t="s">
        <v>29</v>
      </c>
      <c r="J715" s="1" t="s">
        <v>58</v>
      </c>
      <c r="K715" s="10" t="s">
        <v>36</v>
      </c>
    </row>
    <row r="716" spans="1:11" x14ac:dyDescent="0.3">
      <c r="A716" s="6" t="s">
        <v>37</v>
      </c>
      <c r="B716" s="1" t="s">
        <v>57</v>
      </c>
      <c r="C716" s="1" t="s">
        <v>39</v>
      </c>
      <c r="D716" s="1" t="s">
        <v>28</v>
      </c>
      <c r="E716" s="1">
        <v>28</v>
      </c>
      <c r="F716" s="7">
        <v>43810</v>
      </c>
      <c r="G716" s="8">
        <v>182321</v>
      </c>
      <c r="H716" s="9">
        <v>0.28000000000000003</v>
      </c>
      <c r="I716" s="1" t="s">
        <v>34</v>
      </c>
      <c r="J716" s="1" t="s">
        <v>64</v>
      </c>
      <c r="K716" s="10" t="s">
        <v>36</v>
      </c>
    </row>
    <row r="717" spans="1:11" x14ac:dyDescent="0.3">
      <c r="A717" s="6" t="s">
        <v>83</v>
      </c>
      <c r="B717" s="1" t="s">
        <v>26</v>
      </c>
      <c r="C717" s="1" t="s">
        <v>46</v>
      </c>
      <c r="D717" s="1" t="s">
        <v>33</v>
      </c>
      <c r="E717" s="1">
        <v>51</v>
      </c>
      <c r="F717" s="7">
        <v>41697</v>
      </c>
      <c r="G717" s="8">
        <v>53929</v>
      </c>
      <c r="H717" s="9">
        <v>0</v>
      </c>
      <c r="I717" s="1" t="s">
        <v>29</v>
      </c>
      <c r="J717" s="1" t="s">
        <v>49</v>
      </c>
      <c r="K717" s="10">
        <v>43091</v>
      </c>
    </row>
    <row r="718" spans="1:11" x14ac:dyDescent="0.3">
      <c r="A718" s="6" t="s">
        <v>56</v>
      </c>
      <c r="B718" s="1" t="s">
        <v>50</v>
      </c>
      <c r="C718" s="1" t="s">
        <v>32</v>
      </c>
      <c r="D718" s="1" t="s">
        <v>28</v>
      </c>
      <c r="E718" s="1">
        <v>38</v>
      </c>
      <c r="F718" s="7">
        <v>41256</v>
      </c>
      <c r="G718" s="8">
        <v>191571</v>
      </c>
      <c r="H718" s="9">
        <v>0.32</v>
      </c>
      <c r="I718" s="1" t="s">
        <v>29</v>
      </c>
      <c r="J718" s="1" t="s">
        <v>51</v>
      </c>
      <c r="K718" s="10" t="s">
        <v>36</v>
      </c>
    </row>
    <row r="719" spans="1:11" x14ac:dyDescent="0.3">
      <c r="A719" s="6" t="s">
        <v>25</v>
      </c>
      <c r="B719" s="1" t="s">
        <v>50</v>
      </c>
      <c r="C719" s="1" t="s">
        <v>46</v>
      </c>
      <c r="D719" s="1" t="s">
        <v>28</v>
      </c>
      <c r="E719" s="1">
        <v>62</v>
      </c>
      <c r="F719" s="7">
        <v>39843</v>
      </c>
      <c r="G719" s="8">
        <v>150555</v>
      </c>
      <c r="H719" s="9">
        <v>0.13</v>
      </c>
      <c r="I719" s="1" t="s">
        <v>29</v>
      </c>
      <c r="J719" s="1" t="s">
        <v>43</v>
      </c>
      <c r="K719" s="10" t="s">
        <v>36</v>
      </c>
    </row>
    <row r="720" spans="1:11" x14ac:dyDescent="0.3">
      <c r="A720" s="6" t="s">
        <v>47</v>
      </c>
      <c r="B720" s="1" t="s">
        <v>38</v>
      </c>
      <c r="C720" s="1" t="s">
        <v>46</v>
      </c>
      <c r="D720" s="1" t="s">
        <v>33</v>
      </c>
      <c r="E720" s="1">
        <v>52</v>
      </c>
      <c r="F720" s="7">
        <v>40091</v>
      </c>
      <c r="G720" s="8">
        <v>122890</v>
      </c>
      <c r="H720" s="9">
        <v>7.0000000000000007E-2</v>
      </c>
      <c r="I720" s="1" t="s">
        <v>34</v>
      </c>
      <c r="J720" s="1" t="s">
        <v>55</v>
      </c>
      <c r="K720" s="10" t="s">
        <v>36</v>
      </c>
    </row>
    <row r="721" spans="1:11" x14ac:dyDescent="0.3">
      <c r="A721" s="6" t="s">
        <v>56</v>
      </c>
      <c r="B721" s="1" t="s">
        <v>38</v>
      </c>
      <c r="C721" s="1" t="s">
        <v>27</v>
      </c>
      <c r="D721" s="1" t="s">
        <v>33</v>
      </c>
      <c r="E721" s="1">
        <v>52</v>
      </c>
      <c r="F721" s="7">
        <v>35576</v>
      </c>
      <c r="G721" s="8">
        <v>216999</v>
      </c>
      <c r="H721" s="9">
        <v>0.37</v>
      </c>
      <c r="I721" s="1" t="s">
        <v>29</v>
      </c>
      <c r="J721" s="1" t="s">
        <v>49</v>
      </c>
      <c r="K721" s="10" t="s">
        <v>36</v>
      </c>
    </row>
    <row r="722" spans="1:11" x14ac:dyDescent="0.3">
      <c r="A722" s="6" t="s">
        <v>47</v>
      </c>
      <c r="B722" s="1" t="s">
        <v>52</v>
      </c>
      <c r="C722" s="1" t="s">
        <v>46</v>
      </c>
      <c r="D722" s="1" t="s">
        <v>33</v>
      </c>
      <c r="E722" s="1">
        <v>48</v>
      </c>
      <c r="F722" s="7">
        <v>42201</v>
      </c>
      <c r="G722" s="8">
        <v>110565</v>
      </c>
      <c r="H722" s="9">
        <v>0.09</v>
      </c>
      <c r="I722" s="1" t="s">
        <v>34</v>
      </c>
      <c r="J722" s="1" t="s">
        <v>64</v>
      </c>
      <c r="K722" s="10" t="s">
        <v>36</v>
      </c>
    </row>
    <row r="723" spans="1:11" x14ac:dyDescent="0.3">
      <c r="A723" s="6" t="s">
        <v>65</v>
      </c>
      <c r="B723" s="1" t="s">
        <v>26</v>
      </c>
      <c r="C723" s="1" t="s">
        <v>39</v>
      </c>
      <c r="D723" s="1" t="s">
        <v>33</v>
      </c>
      <c r="E723" s="1">
        <v>38</v>
      </c>
      <c r="F723" s="7">
        <v>42113</v>
      </c>
      <c r="G723" s="8">
        <v>48762</v>
      </c>
      <c r="H723" s="9">
        <v>0</v>
      </c>
      <c r="I723" s="1" t="s">
        <v>29</v>
      </c>
      <c r="J723" s="1" t="s">
        <v>30</v>
      </c>
      <c r="K723" s="10" t="s">
        <v>36</v>
      </c>
    </row>
    <row r="724" spans="1:11" x14ac:dyDescent="0.3">
      <c r="A724" s="6" t="s">
        <v>80</v>
      </c>
      <c r="B724" s="1" t="s">
        <v>54</v>
      </c>
      <c r="C724" s="1" t="s">
        <v>39</v>
      </c>
      <c r="D724" s="1" t="s">
        <v>28</v>
      </c>
      <c r="E724" s="1">
        <v>51</v>
      </c>
      <c r="F724" s="7">
        <v>42777</v>
      </c>
      <c r="G724" s="8">
        <v>87036</v>
      </c>
      <c r="H724" s="9">
        <v>0</v>
      </c>
      <c r="I724" s="1" t="s">
        <v>34</v>
      </c>
      <c r="J724" s="1" t="s">
        <v>35</v>
      </c>
      <c r="K724" s="10" t="s">
        <v>36</v>
      </c>
    </row>
    <row r="725" spans="1:11" x14ac:dyDescent="0.3">
      <c r="A725" s="6" t="s">
        <v>37</v>
      </c>
      <c r="B725" s="1" t="s">
        <v>57</v>
      </c>
      <c r="C725" s="1" t="s">
        <v>39</v>
      </c>
      <c r="D725" s="1" t="s">
        <v>33</v>
      </c>
      <c r="E725" s="1">
        <v>32</v>
      </c>
      <c r="F725" s="7">
        <v>42702</v>
      </c>
      <c r="G725" s="8">
        <v>177443</v>
      </c>
      <c r="H725" s="9">
        <v>0.16</v>
      </c>
      <c r="I725" s="1" t="s">
        <v>29</v>
      </c>
      <c r="J725" s="1" t="s">
        <v>30</v>
      </c>
      <c r="K725" s="10" t="s">
        <v>36</v>
      </c>
    </row>
    <row r="726" spans="1:11" x14ac:dyDescent="0.3">
      <c r="A726" s="6" t="s">
        <v>67</v>
      </c>
      <c r="B726" s="1" t="s">
        <v>26</v>
      </c>
      <c r="C726" s="1" t="s">
        <v>27</v>
      </c>
      <c r="D726" s="1" t="s">
        <v>28</v>
      </c>
      <c r="E726" s="1">
        <v>36</v>
      </c>
      <c r="F726" s="7">
        <v>42489</v>
      </c>
      <c r="G726" s="8">
        <v>75862</v>
      </c>
      <c r="H726" s="9">
        <v>0</v>
      </c>
      <c r="I726" s="1" t="s">
        <v>29</v>
      </c>
      <c r="J726" s="1" t="s">
        <v>51</v>
      </c>
      <c r="K726" s="10" t="s">
        <v>36</v>
      </c>
    </row>
    <row r="727" spans="1:11" x14ac:dyDescent="0.3">
      <c r="A727" s="6" t="s">
        <v>69</v>
      </c>
      <c r="B727" s="1" t="s">
        <v>52</v>
      </c>
      <c r="C727" s="1" t="s">
        <v>27</v>
      </c>
      <c r="D727" s="1" t="s">
        <v>28</v>
      </c>
      <c r="E727" s="1">
        <v>45</v>
      </c>
      <c r="F727" s="7">
        <v>43581</v>
      </c>
      <c r="G727" s="8">
        <v>90870</v>
      </c>
      <c r="H727" s="9">
        <v>0</v>
      </c>
      <c r="I727" s="1" t="s">
        <v>29</v>
      </c>
      <c r="J727" s="1" t="s">
        <v>40</v>
      </c>
      <c r="K727" s="10" t="s">
        <v>36</v>
      </c>
    </row>
    <row r="728" spans="1:11" x14ac:dyDescent="0.3">
      <c r="A728" s="6" t="s">
        <v>63</v>
      </c>
      <c r="B728" s="1" t="s">
        <v>54</v>
      </c>
      <c r="C728" s="1" t="s">
        <v>46</v>
      </c>
      <c r="D728" s="1" t="s">
        <v>28</v>
      </c>
      <c r="E728" s="1">
        <v>32</v>
      </c>
      <c r="F728" s="7">
        <v>41977</v>
      </c>
      <c r="G728" s="8">
        <v>99202</v>
      </c>
      <c r="H728" s="9">
        <v>0.11</v>
      </c>
      <c r="I728" s="1" t="s">
        <v>29</v>
      </c>
      <c r="J728" s="1" t="s">
        <v>43</v>
      </c>
      <c r="K728" s="10" t="s">
        <v>36</v>
      </c>
    </row>
    <row r="729" spans="1:11" x14ac:dyDescent="0.3">
      <c r="A729" s="6" t="s">
        <v>42</v>
      </c>
      <c r="B729" s="1" t="s">
        <v>57</v>
      </c>
      <c r="C729" s="1" t="s">
        <v>46</v>
      </c>
      <c r="D729" s="1" t="s">
        <v>33</v>
      </c>
      <c r="E729" s="1">
        <v>45</v>
      </c>
      <c r="F729" s="7">
        <v>39347</v>
      </c>
      <c r="G729" s="8">
        <v>92293</v>
      </c>
      <c r="H729" s="9">
        <v>0</v>
      </c>
      <c r="I729" s="1" t="s">
        <v>34</v>
      </c>
      <c r="J729" s="1" t="s">
        <v>68</v>
      </c>
      <c r="K729" s="10" t="s">
        <v>36</v>
      </c>
    </row>
    <row r="730" spans="1:11" x14ac:dyDescent="0.3">
      <c r="A730" s="6" t="s">
        <v>84</v>
      </c>
      <c r="B730" s="1" t="s">
        <v>26</v>
      </c>
      <c r="C730" s="1" t="s">
        <v>46</v>
      </c>
      <c r="D730" s="1" t="s">
        <v>33</v>
      </c>
      <c r="E730" s="1">
        <v>54</v>
      </c>
      <c r="F730" s="7">
        <v>33785</v>
      </c>
      <c r="G730" s="8">
        <v>63196</v>
      </c>
      <c r="H730" s="9">
        <v>0</v>
      </c>
      <c r="I730" s="1" t="s">
        <v>29</v>
      </c>
      <c r="J730" s="1" t="s">
        <v>40</v>
      </c>
      <c r="K730" s="10">
        <v>41938</v>
      </c>
    </row>
    <row r="731" spans="1:11" x14ac:dyDescent="0.3">
      <c r="A731" s="6" t="s">
        <v>80</v>
      </c>
      <c r="B731" s="1" t="s">
        <v>54</v>
      </c>
      <c r="C731" s="1" t="s">
        <v>39</v>
      </c>
      <c r="D731" s="1" t="s">
        <v>28</v>
      </c>
      <c r="E731" s="1">
        <v>48</v>
      </c>
      <c r="F731" s="7">
        <v>41032</v>
      </c>
      <c r="G731" s="8">
        <v>65340</v>
      </c>
      <c r="H731" s="9">
        <v>0</v>
      </c>
      <c r="I731" s="1" t="s">
        <v>34</v>
      </c>
      <c r="J731" s="1" t="s">
        <v>55</v>
      </c>
      <c r="K731" s="10">
        <v>43229</v>
      </c>
    </row>
    <row r="732" spans="1:11" x14ac:dyDescent="0.3">
      <c r="A732" s="6" t="s">
        <v>56</v>
      </c>
      <c r="B732" s="1" t="s">
        <v>57</v>
      </c>
      <c r="C732" s="1" t="s">
        <v>46</v>
      </c>
      <c r="D732" s="1" t="s">
        <v>33</v>
      </c>
      <c r="E732" s="1">
        <v>45</v>
      </c>
      <c r="F732" s="7">
        <v>42271</v>
      </c>
      <c r="G732" s="8">
        <v>202680</v>
      </c>
      <c r="H732" s="9">
        <v>0.32</v>
      </c>
      <c r="I732" s="1" t="s">
        <v>29</v>
      </c>
      <c r="J732" s="1" t="s">
        <v>43</v>
      </c>
      <c r="K732" s="10">
        <v>44790</v>
      </c>
    </row>
    <row r="733" spans="1:11" x14ac:dyDescent="0.3">
      <c r="A733" s="6" t="s">
        <v>41</v>
      </c>
      <c r="B733" s="1" t="s">
        <v>26</v>
      </c>
      <c r="C733" s="1" t="s">
        <v>32</v>
      </c>
      <c r="D733" s="1" t="s">
        <v>28</v>
      </c>
      <c r="E733" s="1">
        <v>46</v>
      </c>
      <c r="F733" s="7">
        <v>42849</v>
      </c>
      <c r="G733" s="8">
        <v>77461</v>
      </c>
      <c r="H733" s="9">
        <v>0.09</v>
      </c>
      <c r="I733" s="1" t="s">
        <v>59</v>
      </c>
      <c r="J733" s="1" t="s">
        <v>76</v>
      </c>
      <c r="K733" s="10" t="s">
        <v>36</v>
      </c>
    </row>
    <row r="734" spans="1:11" x14ac:dyDescent="0.3">
      <c r="A734" s="6" t="s">
        <v>73</v>
      </c>
      <c r="B734" s="1" t="s">
        <v>54</v>
      </c>
      <c r="C734" s="1" t="s">
        <v>27</v>
      </c>
      <c r="D734" s="1" t="s">
        <v>28</v>
      </c>
      <c r="E734" s="1">
        <v>40</v>
      </c>
      <c r="F734" s="7">
        <v>42622</v>
      </c>
      <c r="G734" s="8">
        <v>109680</v>
      </c>
      <c r="H734" s="9">
        <v>0</v>
      </c>
      <c r="I734" s="1" t="s">
        <v>34</v>
      </c>
      <c r="J734" s="1" t="s">
        <v>68</v>
      </c>
      <c r="K734" s="10" t="s">
        <v>36</v>
      </c>
    </row>
    <row r="735" spans="1:11" x14ac:dyDescent="0.3">
      <c r="A735" s="6" t="s">
        <v>37</v>
      </c>
      <c r="B735" s="1" t="s">
        <v>45</v>
      </c>
      <c r="C735" s="1" t="s">
        <v>32</v>
      </c>
      <c r="D735" s="1" t="s">
        <v>28</v>
      </c>
      <c r="E735" s="1">
        <v>61</v>
      </c>
      <c r="F735" s="7">
        <v>35661</v>
      </c>
      <c r="G735" s="8">
        <v>159567</v>
      </c>
      <c r="H735" s="9">
        <v>0.28000000000000003</v>
      </c>
      <c r="I735" s="1" t="s">
        <v>29</v>
      </c>
      <c r="J735" s="1" t="s">
        <v>43</v>
      </c>
      <c r="K735" s="10" t="s">
        <v>36</v>
      </c>
    </row>
    <row r="736" spans="1:11" x14ac:dyDescent="0.3">
      <c r="A736" s="6" t="s">
        <v>80</v>
      </c>
      <c r="B736" s="1" t="s">
        <v>54</v>
      </c>
      <c r="C736" s="1" t="s">
        <v>39</v>
      </c>
      <c r="D736" s="1" t="s">
        <v>33</v>
      </c>
      <c r="E736" s="1">
        <v>54</v>
      </c>
      <c r="F736" s="7">
        <v>41237</v>
      </c>
      <c r="G736" s="8">
        <v>94407</v>
      </c>
      <c r="H736" s="9">
        <v>0</v>
      </c>
      <c r="I736" s="1" t="s">
        <v>59</v>
      </c>
      <c r="J736" s="1" t="s">
        <v>76</v>
      </c>
      <c r="K736" s="10" t="s">
        <v>36</v>
      </c>
    </row>
    <row r="737" spans="1:11" x14ac:dyDescent="0.3">
      <c r="A737" s="6" t="s">
        <v>56</v>
      </c>
      <c r="B737" s="1" t="s">
        <v>52</v>
      </c>
      <c r="C737" s="1" t="s">
        <v>46</v>
      </c>
      <c r="D737" s="1" t="s">
        <v>33</v>
      </c>
      <c r="E737" s="1">
        <v>62</v>
      </c>
      <c r="F737" s="7">
        <v>37484</v>
      </c>
      <c r="G737" s="8">
        <v>234594</v>
      </c>
      <c r="H737" s="9">
        <v>0.33</v>
      </c>
      <c r="I737" s="1" t="s">
        <v>29</v>
      </c>
      <c r="J737" s="1" t="s">
        <v>30</v>
      </c>
      <c r="K737" s="10" t="s">
        <v>36</v>
      </c>
    </row>
    <row r="738" spans="1:11" x14ac:dyDescent="0.3">
      <c r="A738" s="6" t="s">
        <v>83</v>
      </c>
      <c r="B738" s="1" t="s">
        <v>26</v>
      </c>
      <c r="C738" s="1" t="s">
        <v>39</v>
      </c>
      <c r="D738" s="1" t="s">
        <v>33</v>
      </c>
      <c r="E738" s="1">
        <v>48</v>
      </c>
      <c r="F738" s="7">
        <v>37298</v>
      </c>
      <c r="G738" s="8">
        <v>43080</v>
      </c>
      <c r="H738" s="9">
        <v>0</v>
      </c>
      <c r="I738" s="1" t="s">
        <v>29</v>
      </c>
      <c r="J738" s="1" t="s">
        <v>51</v>
      </c>
      <c r="K738" s="10" t="s">
        <v>36</v>
      </c>
    </row>
    <row r="739" spans="1:11" x14ac:dyDescent="0.3">
      <c r="A739" s="6" t="s">
        <v>47</v>
      </c>
      <c r="B739" s="1" t="s">
        <v>57</v>
      </c>
      <c r="C739" s="1" t="s">
        <v>32</v>
      </c>
      <c r="D739" s="1" t="s">
        <v>28</v>
      </c>
      <c r="E739" s="1">
        <v>29</v>
      </c>
      <c r="F739" s="7">
        <v>44325</v>
      </c>
      <c r="G739" s="8">
        <v>129541</v>
      </c>
      <c r="H739" s="9">
        <v>0.08</v>
      </c>
      <c r="I739" s="1" t="s">
        <v>29</v>
      </c>
      <c r="J739" s="1" t="s">
        <v>43</v>
      </c>
      <c r="K739" s="10">
        <v>44340</v>
      </c>
    </row>
    <row r="740" spans="1:11" x14ac:dyDescent="0.3">
      <c r="A740" s="6" t="s">
        <v>37</v>
      </c>
      <c r="B740" s="1" t="s">
        <v>45</v>
      </c>
      <c r="C740" s="1" t="s">
        <v>27</v>
      </c>
      <c r="D740" s="1" t="s">
        <v>33</v>
      </c>
      <c r="E740" s="1">
        <v>39</v>
      </c>
      <c r="F740" s="7">
        <v>41635</v>
      </c>
      <c r="G740" s="8">
        <v>165756</v>
      </c>
      <c r="H740" s="9">
        <v>0.28000000000000003</v>
      </c>
      <c r="I740" s="1" t="s">
        <v>29</v>
      </c>
      <c r="J740" s="1" t="s">
        <v>58</v>
      </c>
      <c r="K740" s="10">
        <v>43991</v>
      </c>
    </row>
    <row r="741" spans="1:11" x14ac:dyDescent="0.3">
      <c r="A741" s="6" t="s">
        <v>25</v>
      </c>
      <c r="B741" s="1" t="s">
        <v>38</v>
      </c>
      <c r="C741" s="1" t="s">
        <v>39</v>
      </c>
      <c r="D741" s="1" t="s">
        <v>33</v>
      </c>
      <c r="E741" s="1">
        <v>44</v>
      </c>
      <c r="F741" s="7">
        <v>40274</v>
      </c>
      <c r="G741" s="8">
        <v>142878</v>
      </c>
      <c r="H741" s="9">
        <v>0.12</v>
      </c>
      <c r="I741" s="1" t="s">
        <v>29</v>
      </c>
      <c r="J741" s="1" t="s">
        <v>58</v>
      </c>
      <c r="K741" s="10" t="s">
        <v>36</v>
      </c>
    </row>
    <row r="742" spans="1:11" x14ac:dyDescent="0.3">
      <c r="A742" s="6" t="s">
        <v>37</v>
      </c>
      <c r="B742" s="1" t="s">
        <v>54</v>
      </c>
      <c r="C742" s="1" t="s">
        <v>32</v>
      </c>
      <c r="D742" s="1" t="s">
        <v>33</v>
      </c>
      <c r="E742" s="1">
        <v>52</v>
      </c>
      <c r="F742" s="7">
        <v>39018</v>
      </c>
      <c r="G742" s="8">
        <v>187992</v>
      </c>
      <c r="H742" s="9">
        <v>0.28000000000000003</v>
      </c>
      <c r="I742" s="1" t="s">
        <v>29</v>
      </c>
      <c r="J742" s="1" t="s">
        <v>49</v>
      </c>
      <c r="K742" s="10" t="s">
        <v>36</v>
      </c>
    </row>
    <row r="743" spans="1:11" x14ac:dyDescent="0.3">
      <c r="A743" s="6" t="s">
        <v>56</v>
      </c>
      <c r="B743" s="1" t="s">
        <v>52</v>
      </c>
      <c r="C743" s="1" t="s">
        <v>39</v>
      </c>
      <c r="D743" s="1" t="s">
        <v>28</v>
      </c>
      <c r="E743" s="1">
        <v>45</v>
      </c>
      <c r="F743" s="7">
        <v>43521</v>
      </c>
      <c r="G743" s="8">
        <v>249801</v>
      </c>
      <c r="H743" s="9">
        <v>0.39</v>
      </c>
      <c r="I743" s="1" t="s">
        <v>59</v>
      </c>
      <c r="J743" s="1" t="s">
        <v>76</v>
      </c>
      <c r="K743" s="10" t="s">
        <v>36</v>
      </c>
    </row>
    <row r="744" spans="1:11" x14ac:dyDescent="0.3">
      <c r="A744" s="6" t="s">
        <v>87</v>
      </c>
      <c r="B744" s="1" t="s">
        <v>26</v>
      </c>
      <c r="C744" s="1" t="s">
        <v>27</v>
      </c>
      <c r="D744" s="1" t="s">
        <v>33</v>
      </c>
      <c r="E744" s="1">
        <v>48</v>
      </c>
      <c r="F744" s="7">
        <v>38987</v>
      </c>
      <c r="G744" s="8">
        <v>76505</v>
      </c>
      <c r="H744" s="9">
        <v>0</v>
      </c>
      <c r="I744" s="1" t="s">
        <v>29</v>
      </c>
      <c r="J744" s="1" t="s">
        <v>30</v>
      </c>
      <c r="K744" s="10">
        <v>39180</v>
      </c>
    </row>
    <row r="745" spans="1:11" x14ac:dyDescent="0.3">
      <c r="A745" s="6" t="s">
        <v>86</v>
      </c>
      <c r="B745" s="1" t="s">
        <v>26</v>
      </c>
      <c r="C745" s="1" t="s">
        <v>46</v>
      </c>
      <c r="D745" s="1" t="s">
        <v>33</v>
      </c>
      <c r="E745" s="1">
        <v>39</v>
      </c>
      <c r="F745" s="7">
        <v>42664</v>
      </c>
      <c r="G745" s="8">
        <v>84297</v>
      </c>
      <c r="H745" s="9">
        <v>0</v>
      </c>
      <c r="I745" s="1" t="s">
        <v>59</v>
      </c>
      <c r="J745" s="1" t="s">
        <v>60</v>
      </c>
      <c r="K745" s="10" t="s">
        <v>36</v>
      </c>
    </row>
    <row r="746" spans="1:11" x14ac:dyDescent="0.3">
      <c r="A746" s="6" t="s">
        <v>42</v>
      </c>
      <c r="B746" s="1" t="s">
        <v>45</v>
      </c>
      <c r="C746" s="1" t="s">
        <v>39</v>
      </c>
      <c r="D746" s="1" t="s">
        <v>28</v>
      </c>
      <c r="E746" s="1">
        <v>53</v>
      </c>
      <c r="F746" s="7">
        <v>42744</v>
      </c>
      <c r="G746" s="8">
        <v>75769</v>
      </c>
      <c r="H746" s="9">
        <v>0</v>
      </c>
      <c r="I746" s="1" t="s">
        <v>59</v>
      </c>
      <c r="J746" s="1" t="s">
        <v>60</v>
      </c>
      <c r="K746" s="10">
        <v>44029</v>
      </c>
    </row>
    <row r="747" spans="1:11" x14ac:dyDescent="0.3">
      <c r="A747" s="6" t="s">
        <v>56</v>
      </c>
      <c r="B747" s="1" t="s">
        <v>50</v>
      </c>
      <c r="C747" s="1" t="s">
        <v>39</v>
      </c>
      <c r="D747" s="1" t="s">
        <v>33</v>
      </c>
      <c r="E747" s="1">
        <v>41</v>
      </c>
      <c r="F747" s="7">
        <v>41503</v>
      </c>
      <c r="G747" s="8">
        <v>235619</v>
      </c>
      <c r="H747" s="9">
        <v>0.3</v>
      </c>
      <c r="I747" s="1" t="s">
        <v>29</v>
      </c>
      <c r="J747" s="1" t="s">
        <v>30</v>
      </c>
      <c r="K747" s="10" t="s">
        <v>36</v>
      </c>
    </row>
    <row r="748" spans="1:11" x14ac:dyDescent="0.3">
      <c r="A748" s="6" t="s">
        <v>37</v>
      </c>
      <c r="B748" s="1" t="s">
        <v>54</v>
      </c>
      <c r="C748" s="1" t="s">
        <v>39</v>
      </c>
      <c r="D748" s="1" t="s">
        <v>33</v>
      </c>
      <c r="E748" s="1">
        <v>40</v>
      </c>
      <c r="F748" s="7">
        <v>43868</v>
      </c>
      <c r="G748" s="8">
        <v>187187</v>
      </c>
      <c r="H748" s="9">
        <v>0.18</v>
      </c>
      <c r="I748" s="1" t="s">
        <v>59</v>
      </c>
      <c r="J748" s="1" t="s">
        <v>60</v>
      </c>
      <c r="K748" s="10" t="s">
        <v>36</v>
      </c>
    </row>
    <row r="749" spans="1:11" x14ac:dyDescent="0.3">
      <c r="A749" s="6" t="s">
        <v>79</v>
      </c>
      <c r="B749" s="1" t="s">
        <v>26</v>
      </c>
      <c r="C749" s="1" t="s">
        <v>27</v>
      </c>
      <c r="D749" s="1" t="s">
        <v>33</v>
      </c>
      <c r="E749" s="1">
        <v>48</v>
      </c>
      <c r="F749" s="7">
        <v>38560</v>
      </c>
      <c r="G749" s="8">
        <v>68987</v>
      </c>
      <c r="H749" s="9">
        <v>0</v>
      </c>
      <c r="I749" s="1" t="s">
        <v>29</v>
      </c>
      <c r="J749" s="1" t="s">
        <v>40</v>
      </c>
      <c r="K749" s="10">
        <v>38829</v>
      </c>
    </row>
    <row r="750" spans="1:11" x14ac:dyDescent="0.3">
      <c r="A750" s="6" t="s">
        <v>37</v>
      </c>
      <c r="B750" s="1" t="s">
        <v>54</v>
      </c>
      <c r="C750" s="1" t="s">
        <v>39</v>
      </c>
      <c r="D750" s="1" t="s">
        <v>33</v>
      </c>
      <c r="E750" s="1">
        <v>41</v>
      </c>
      <c r="F750" s="7">
        <v>39156</v>
      </c>
      <c r="G750" s="8">
        <v>155926</v>
      </c>
      <c r="H750" s="9">
        <v>0.24</v>
      </c>
      <c r="I750" s="1" t="s">
        <v>29</v>
      </c>
      <c r="J750" s="1" t="s">
        <v>58</v>
      </c>
      <c r="K750" s="10">
        <v>39598</v>
      </c>
    </row>
    <row r="751" spans="1:11" x14ac:dyDescent="0.3">
      <c r="A751" s="6" t="s">
        <v>42</v>
      </c>
      <c r="B751" s="1" t="s">
        <v>50</v>
      </c>
      <c r="C751" s="1" t="s">
        <v>39</v>
      </c>
      <c r="D751" s="1" t="s">
        <v>33</v>
      </c>
      <c r="E751" s="1">
        <v>54</v>
      </c>
      <c r="F751" s="7">
        <v>42494</v>
      </c>
      <c r="G751" s="8">
        <v>93668</v>
      </c>
      <c r="H751" s="9">
        <v>0</v>
      </c>
      <c r="I751" s="1" t="s">
        <v>29</v>
      </c>
      <c r="J751" s="1" t="s">
        <v>40</v>
      </c>
      <c r="K751" s="10" t="s">
        <v>36</v>
      </c>
    </row>
    <row r="752" spans="1:11" x14ac:dyDescent="0.3">
      <c r="A752" s="6" t="s">
        <v>70</v>
      </c>
      <c r="B752" s="1" t="s">
        <v>52</v>
      </c>
      <c r="C752" s="1" t="s">
        <v>27</v>
      </c>
      <c r="D752" s="1" t="s">
        <v>33</v>
      </c>
      <c r="E752" s="1">
        <v>38</v>
      </c>
      <c r="F752" s="7">
        <v>43798</v>
      </c>
      <c r="G752" s="8">
        <v>69647</v>
      </c>
      <c r="H752" s="9">
        <v>0</v>
      </c>
      <c r="I752" s="1" t="s">
        <v>29</v>
      </c>
      <c r="J752" s="1" t="s">
        <v>49</v>
      </c>
      <c r="K752" s="10">
        <v>44671</v>
      </c>
    </row>
    <row r="753" spans="1:11" x14ac:dyDescent="0.3">
      <c r="A753" s="6" t="s">
        <v>82</v>
      </c>
      <c r="B753" s="1" t="s">
        <v>26</v>
      </c>
      <c r="C753" s="1" t="s">
        <v>46</v>
      </c>
      <c r="D753" s="1" t="s">
        <v>33</v>
      </c>
      <c r="E753" s="1">
        <v>57</v>
      </c>
      <c r="F753" s="7">
        <v>37798</v>
      </c>
      <c r="G753" s="8">
        <v>63318</v>
      </c>
      <c r="H753" s="9">
        <v>0</v>
      </c>
      <c r="I753" s="1" t="s">
        <v>29</v>
      </c>
      <c r="J753" s="1" t="s">
        <v>58</v>
      </c>
      <c r="K753" s="10" t="s">
        <v>36</v>
      </c>
    </row>
    <row r="754" spans="1:11" x14ac:dyDescent="0.3">
      <c r="A754" s="6" t="s">
        <v>42</v>
      </c>
      <c r="B754" s="1" t="s">
        <v>57</v>
      </c>
      <c r="C754" s="1" t="s">
        <v>32</v>
      </c>
      <c r="D754" s="1" t="s">
        <v>33</v>
      </c>
      <c r="E754" s="1">
        <v>63</v>
      </c>
      <c r="F754" s="7">
        <v>42778</v>
      </c>
      <c r="G754" s="8">
        <v>77629</v>
      </c>
      <c r="H754" s="9">
        <v>0</v>
      </c>
      <c r="I754" s="1" t="s">
        <v>34</v>
      </c>
      <c r="J754" s="1" t="s">
        <v>64</v>
      </c>
      <c r="K754" s="10" t="s">
        <v>36</v>
      </c>
    </row>
    <row r="755" spans="1:11" x14ac:dyDescent="0.3">
      <c r="A755" s="6" t="s">
        <v>25</v>
      </c>
      <c r="B755" s="1" t="s">
        <v>52</v>
      </c>
      <c r="C755" s="1" t="s">
        <v>32</v>
      </c>
      <c r="D755" s="1" t="s">
        <v>33</v>
      </c>
      <c r="E755" s="1">
        <v>62</v>
      </c>
      <c r="F755" s="7">
        <v>43061</v>
      </c>
      <c r="G755" s="8">
        <v>138808</v>
      </c>
      <c r="H755" s="9">
        <v>0.15</v>
      </c>
      <c r="I755" s="1" t="s">
        <v>34</v>
      </c>
      <c r="J755" s="1" t="s">
        <v>35</v>
      </c>
      <c r="K755" s="10" t="s">
        <v>36</v>
      </c>
    </row>
    <row r="756" spans="1:11" x14ac:dyDescent="0.3">
      <c r="A756" s="6" t="s">
        <v>67</v>
      </c>
      <c r="B756" s="1" t="s">
        <v>26</v>
      </c>
      <c r="C756" s="1" t="s">
        <v>27</v>
      </c>
      <c r="D756" s="1" t="s">
        <v>28</v>
      </c>
      <c r="E756" s="1">
        <v>49</v>
      </c>
      <c r="F756" s="7">
        <v>41703</v>
      </c>
      <c r="G756" s="8">
        <v>88777</v>
      </c>
      <c r="H756" s="9">
        <v>0</v>
      </c>
      <c r="I756" s="1" t="s">
        <v>29</v>
      </c>
      <c r="J756" s="1" t="s">
        <v>40</v>
      </c>
      <c r="K756" s="10" t="s">
        <v>36</v>
      </c>
    </row>
    <row r="757" spans="1:11" x14ac:dyDescent="0.3">
      <c r="A757" s="6" t="s">
        <v>37</v>
      </c>
      <c r="B757" s="1" t="s">
        <v>50</v>
      </c>
      <c r="C757" s="1" t="s">
        <v>46</v>
      </c>
      <c r="D757" s="1" t="s">
        <v>28</v>
      </c>
      <c r="E757" s="1">
        <v>60</v>
      </c>
      <c r="F757" s="7">
        <v>38121</v>
      </c>
      <c r="G757" s="8">
        <v>186378</v>
      </c>
      <c r="H757" s="9">
        <v>0.26</v>
      </c>
      <c r="I757" s="1" t="s">
        <v>34</v>
      </c>
      <c r="J757" s="1" t="s">
        <v>35</v>
      </c>
      <c r="K757" s="10" t="s">
        <v>36</v>
      </c>
    </row>
    <row r="758" spans="1:11" x14ac:dyDescent="0.3">
      <c r="A758" s="6" t="s">
        <v>62</v>
      </c>
      <c r="B758" s="1" t="s">
        <v>54</v>
      </c>
      <c r="C758" s="1" t="s">
        <v>27</v>
      </c>
      <c r="D758" s="1" t="s">
        <v>28</v>
      </c>
      <c r="E758" s="1">
        <v>45</v>
      </c>
      <c r="F758" s="7">
        <v>42117</v>
      </c>
      <c r="G758" s="8">
        <v>60017</v>
      </c>
      <c r="H758" s="9">
        <v>0</v>
      </c>
      <c r="I758" s="1" t="s">
        <v>29</v>
      </c>
      <c r="J758" s="1" t="s">
        <v>40</v>
      </c>
      <c r="K758" s="10" t="s">
        <v>36</v>
      </c>
    </row>
    <row r="759" spans="1:11" x14ac:dyDescent="0.3">
      <c r="A759" s="6" t="s">
        <v>25</v>
      </c>
      <c r="B759" s="1" t="s">
        <v>45</v>
      </c>
      <c r="C759" s="1" t="s">
        <v>39</v>
      </c>
      <c r="D759" s="1" t="s">
        <v>28</v>
      </c>
      <c r="E759" s="1">
        <v>45</v>
      </c>
      <c r="F759" s="7">
        <v>43305</v>
      </c>
      <c r="G759" s="8">
        <v>148991</v>
      </c>
      <c r="H759" s="9">
        <v>0.12</v>
      </c>
      <c r="I759" s="1" t="s">
        <v>59</v>
      </c>
      <c r="J759" s="1" t="s">
        <v>76</v>
      </c>
      <c r="K759" s="10" t="s">
        <v>36</v>
      </c>
    </row>
    <row r="760" spans="1:11" x14ac:dyDescent="0.3">
      <c r="A760" s="6" t="s">
        <v>71</v>
      </c>
      <c r="B760" s="1" t="s">
        <v>54</v>
      </c>
      <c r="C760" s="1" t="s">
        <v>39</v>
      </c>
      <c r="D760" s="1" t="s">
        <v>28</v>
      </c>
      <c r="E760" s="1">
        <v>52</v>
      </c>
      <c r="F760" s="7">
        <v>39532</v>
      </c>
      <c r="G760" s="8">
        <v>97398</v>
      </c>
      <c r="H760" s="9">
        <v>0</v>
      </c>
      <c r="I760" s="1" t="s">
        <v>59</v>
      </c>
      <c r="J760" s="1" t="s">
        <v>60</v>
      </c>
      <c r="K760" s="10" t="s">
        <v>36</v>
      </c>
    </row>
    <row r="761" spans="1:11" x14ac:dyDescent="0.3">
      <c r="A761" s="6" t="s">
        <v>69</v>
      </c>
      <c r="B761" s="1" t="s">
        <v>52</v>
      </c>
      <c r="C761" s="1" t="s">
        <v>32</v>
      </c>
      <c r="D761" s="1" t="s">
        <v>28</v>
      </c>
      <c r="E761" s="1">
        <v>63</v>
      </c>
      <c r="F761" s="7">
        <v>39204</v>
      </c>
      <c r="G761" s="8">
        <v>72805</v>
      </c>
      <c r="H761" s="9">
        <v>0</v>
      </c>
      <c r="I761" s="1" t="s">
        <v>34</v>
      </c>
      <c r="J761" s="1" t="s">
        <v>55</v>
      </c>
      <c r="K761" s="10" t="s">
        <v>36</v>
      </c>
    </row>
    <row r="762" spans="1:11" x14ac:dyDescent="0.3">
      <c r="A762" s="6" t="s">
        <v>81</v>
      </c>
      <c r="B762" s="1" t="s">
        <v>45</v>
      </c>
      <c r="C762" s="1" t="s">
        <v>27</v>
      </c>
      <c r="D762" s="1" t="s">
        <v>28</v>
      </c>
      <c r="E762" s="1">
        <v>46</v>
      </c>
      <c r="F762" s="7">
        <v>44213</v>
      </c>
      <c r="G762" s="8">
        <v>72131</v>
      </c>
      <c r="H762" s="9">
        <v>0</v>
      </c>
      <c r="I762" s="1" t="s">
        <v>34</v>
      </c>
      <c r="J762" s="1" t="s">
        <v>55</v>
      </c>
      <c r="K762" s="10" t="s">
        <v>36</v>
      </c>
    </row>
    <row r="763" spans="1:11" x14ac:dyDescent="0.3">
      <c r="A763" s="6" t="s">
        <v>47</v>
      </c>
      <c r="B763" s="1" t="s">
        <v>52</v>
      </c>
      <c r="C763" s="1" t="s">
        <v>32</v>
      </c>
      <c r="D763" s="1" t="s">
        <v>33</v>
      </c>
      <c r="E763" s="1">
        <v>64</v>
      </c>
      <c r="F763" s="7">
        <v>33964</v>
      </c>
      <c r="G763" s="8">
        <v>104668</v>
      </c>
      <c r="H763" s="9">
        <v>0.08</v>
      </c>
      <c r="I763" s="1" t="s">
        <v>29</v>
      </c>
      <c r="J763" s="1" t="s">
        <v>58</v>
      </c>
      <c r="K763" s="10" t="s">
        <v>36</v>
      </c>
    </row>
    <row r="764" spans="1:11" x14ac:dyDescent="0.3">
      <c r="A764" s="6" t="s">
        <v>42</v>
      </c>
      <c r="B764" s="1" t="s">
        <v>45</v>
      </c>
      <c r="C764" s="1" t="s">
        <v>32</v>
      </c>
      <c r="D764" s="1" t="s">
        <v>28</v>
      </c>
      <c r="E764" s="1">
        <v>53</v>
      </c>
      <c r="F764" s="7">
        <v>42952</v>
      </c>
      <c r="G764" s="8">
        <v>89769</v>
      </c>
      <c r="H764" s="9">
        <v>0</v>
      </c>
      <c r="I764" s="1" t="s">
        <v>29</v>
      </c>
      <c r="J764" s="1" t="s">
        <v>30</v>
      </c>
      <c r="K764" s="10" t="s">
        <v>36</v>
      </c>
    </row>
    <row r="765" spans="1:11" x14ac:dyDescent="0.3">
      <c r="A765" s="6" t="s">
        <v>47</v>
      </c>
      <c r="B765" s="1" t="s">
        <v>45</v>
      </c>
      <c r="C765" s="1" t="s">
        <v>46</v>
      </c>
      <c r="D765" s="1" t="s">
        <v>28</v>
      </c>
      <c r="E765" s="1">
        <v>27</v>
      </c>
      <c r="F765" s="7">
        <v>43358</v>
      </c>
      <c r="G765" s="8">
        <v>127616</v>
      </c>
      <c r="H765" s="9">
        <v>7.0000000000000007E-2</v>
      </c>
      <c r="I765" s="1" t="s">
        <v>29</v>
      </c>
      <c r="J765" s="1" t="s">
        <v>58</v>
      </c>
      <c r="K765" s="10" t="s">
        <v>36</v>
      </c>
    </row>
    <row r="766" spans="1:11" x14ac:dyDescent="0.3">
      <c r="A766" s="6" t="s">
        <v>47</v>
      </c>
      <c r="B766" s="1" t="s">
        <v>52</v>
      </c>
      <c r="C766" s="1" t="s">
        <v>46</v>
      </c>
      <c r="D766" s="1" t="s">
        <v>33</v>
      </c>
      <c r="E766" s="1">
        <v>45</v>
      </c>
      <c r="F766" s="7">
        <v>41099</v>
      </c>
      <c r="G766" s="8">
        <v>109883</v>
      </c>
      <c r="H766" s="9">
        <v>7.0000000000000007E-2</v>
      </c>
      <c r="I766" s="1" t="s">
        <v>29</v>
      </c>
      <c r="J766" s="1" t="s">
        <v>58</v>
      </c>
      <c r="K766" s="10" t="s">
        <v>36</v>
      </c>
    </row>
    <row r="767" spans="1:11" x14ac:dyDescent="0.3">
      <c r="A767" s="6" t="s">
        <v>74</v>
      </c>
      <c r="B767" s="1" t="s">
        <v>52</v>
      </c>
      <c r="C767" s="1" t="s">
        <v>32</v>
      </c>
      <c r="D767" s="1" t="s">
        <v>28</v>
      </c>
      <c r="E767" s="1">
        <v>25</v>
      </c>
      <c r="F767" s="7">
        <v>44270</v>
      </c>
      <c r="G767" s="8">
        <v>47974</v>
      </c>
      <c r="H767" s="9">
        <v>0</v>
      </c>
      <c r="I767" s="1" t="s">
        <v>34</v>
      </c>
      <c r="J767" s="1" t="s">
        <v>35</v>
      </c>
      <c r="K767" s="10" t="s">
        <v>36</v>
      </c>
    </row>
    <row r="768" spans="1:11" x14ac:dyDescent="0.3">
      <c r="A768" s="6" t="s">
        <v>25</v>
      </c>
      <c r="B768" s="1" t="s">
        <v>26</v>
      </c>
      <c r="C768" s="1" t="s">
        <v>39</v>
      </c>
      <c r="D768" s="1" t="s">
        <v>28</v>
      </c>
      <c r="E768" s="1">
        <v>43</v>
      </c>
      <c r="F768" s="7">
        <v>42090</v>
      </c>
      <c r="G768" s="8">
        <v>120321</v>
      </c>
      <c r="H768" s="9">
        <v>0.12</v>
      </c>
      <c r="I768" s="1" t="s">
        <v>29</v>
      </c>
      <c r="J768" s="1" t="s">
        <v>51</v>
      </c>
      <c r="K768" s="10" t="s">
        <v>36</v>
      </c>
    </row>
    <row r="769" spans="1:11" x14ac:dyDescent="0.3">
      <c r="A769" s="6" t="s">
        <v>65</v>
      </c>
      <c r="B769" s="1" t="s">
        <v>26</v>
      </c>
      <c r="C769" s="1" t="s">
        <v>32</v>
      </c>
      <c r="D769" s="1" t="s">
        <v>28</v>
      </c>
      <c r="E769" s="1">
        <v>61</v>
      </c>
      <c r="F769" s="7">
        <v>41861</v>
      </c>
      <c r="G769" s="8">
        <v>57446</v>
      </c>
      <c r="H769" s="9">
        <v>0</v>
      </c>
      <c r="I769" s="1" t="s">
        <v>29</v>
      </c>
      <c r="J769" s="1" t="s">
        <v>43</v>
      </c>
      <c r="K769" s="10" t="s">
        <v>36</v>
      </c>
    </row>
    <row r="770" spans="1:11" x14ac:dyDescent="0.3">
      <c r="A770" s="6" t="s">
        <v>37</v>
      </c>
      <c r="B770" s="1" t="s">
        <v>50</v>
      </c>
      <c r="C770" s="1" t="s">
        <v>27</v>
      </c>
      <c r="D770" s="1" t="s">
        <v>28</v>
      </c>
      <c r="E770" s="1">
        <v>42</v>
      </c>
      <c r="F770" s="7">
        <v>39968</v>
      </c>
      <c r="G770" s="8">
        <v>174099</v>
      </c>
      <c r="H770" s="9">
        <v>0.26</v>
      </c>
      <c r="I770" s="1" t="s">
        <v>29</v>
      </c>
      <c r="J770" s="1" t="s">
        <v>51</v>
      </c>
      <c r="K770" s="10" t="s">
        <v>36</v>
      </c>
    </row>
    <row r="771" spans="1:11" x14ac:dyDescent="0.3">
      <c r="A771" s="6" t="s">
        <v>25</v>
      </c>
      <c r="B771" s="1" t="s">
        <v>38</v>
      </c>
      <c r="C771" s="1" t="s">
        <v>32</v>
      </c>
      <c r="D771" s="1" t="s">
        <v>33</v>
      </c>
      <c r="E771" s="1">
        <v>63</v>
      </c>
      <c r="F771" s="7">
        <v>37295</v>
      </c>
      <c r="G771" s="8">
        <v>128703</v>
      </c>
      <c r="H771" s="9">
        <v>0.13</v>
      </c>
      <c r="I771" s="1" t="s">
        <v>29</v>
      </c>
      <c r="J771" s="1" t="s">
        <v>51</v>
      </c>
      <c r="K771" s="10" t="s">
        <v>36</v>
      </c>
    </row>
    <row r="772" spans="1:11" x14ac:dyDescent="0.3">
      <c r="A772" s="6" t="s">
        <v>71</v>
      </c>
      <c r="B772" s="1" t="s">
        <v>54</v>
      </c>
      <c r="C772" s="1" t="s">
        <v>46</v>
      </c>
      <c r="D772" s="1" t="s">
        <v>28</v>
      </c>
      <c r="E772" s="1">
        <v>32</v>
      </c>
      <c r="F772" s="7">
        <v>42317</v>
      </c>
      <c r="G772" s="8">
        <v>65247</v>
      </c>
      <c r="H772" s="9">
        <v>0</v>
      </c>
      <c r="I772" s="1" t="s">
        <v>29</v>
      </c>
      <c r="J772" s="1" t="s">
        <v>43</v>
      </c>
      <c r="K772" s="10" t="s">
        <v>36</v>
      </c>
    </row>
    <row r="773" spans="1:11" x14ac:dyDescent="0.3">
      <c r="A773" s="6" t="s">
        <v>62</v>
      </c>
      <c r="B773" s="1" t="s">
        <v>54</v>
      </c>
      <c r="C773" s="1" t="s">
        <v>27</v>
      </c>
      <c r="D773" s="1" t="s">
        <v>33</v>
      </c>
      <c r="E773" s="1">
        <v>27</v>
      </c>
      <c r="F773" s="7">
        <v>43371</v>
      </c>
      <c r="G773" s="8">
        <v>64247</v>
      </c>
      <c r="H773" s="9">
        <v>0</v>
      </c>
      <c r="I773" s="1" t="s">
        <v>59</v>
      </c>
      <c r="J773" s="1" t="s">
        <v>61</v>
      </c>
      <c r="K773" s="10" t="s">
        <v>36</v>
      </c>
    </row>
    <row r="774" spans="1:11" x14ac:dyDescent="0.3">
      <c r="A774" s="6" t="s">
        <v>47</v>
      </c>
      <c r="B774" s="1" t="s">
        <v>52</v>
      </c>
      <c r="C774" s="1" t="s">
        <v>27</v>
      </c>
      <c r="D774" s="1" t="s">
        <v>28</v>
      </c>
      <c r="E774" s="1">
        <v>33</v>
      </c>
      <c r="F774" s="7">
        <v>41071</v>
      </c>
      <c r="G774" s="8">
        <v>118253</v>
      </c>
      <c r="H774" s="9">
        <v>0.08</v>
      </c>
      <c r="I774" s="1" t="s">
        <v>29</v>
      </c>
      <c r="J774" s="1" t="s">
        <v>51</v>
      </c>
      <c r="K774" s="10" t="s">
        <v>36</v>
      </c>
    </row>
    <row r="775" spans="1:11" x14ac:dyDescent="0.3">
      <c r="A775" s="6" t="s">
        <v>73</v>
      </c>
      <c r="B775" s="1" t="s">
        <v>54</v>
      </c>
      <c r="C775" s="1" t="s">
        <v>32</v>
      </c>
      <c r="D775" s="1" t="s">
        <v>28</v>
      </c>
      <c r="E775" s="1">
        <v>45</v>
      </c>
      <c r="F775" s="7">
        <v>38057</v>
      </c>
      <c r="G775" s="8">
        <v>109422</v>
      </c>
      <c r="H775" s="9">
        <v>0</v>
      </c>
      <c r="I775" s="1" t="s">
        <v>34</v>
      </c>
      <c r="J775" s="1" t="s">
        <v>35</v>
      </c>
      <c r="K775" s="10" t="s">
        <v>36</v>
      </c>
    </row>
    <row r="776" spans="1:11" x14ac:dyDescent="0.3">
      <c r="A776" s="6" t="s">
        <v>47</v>
      </c>
      <c r="B776" s="1" t="s">
        <v>52</v>
      </c>
      <c r="C776" s="1" t="s">
        <v>46</v>
      </c>
      <c r="D776" s="1" t="s">
        <v>33</v>
      </c>
      <c r="E776" s="1">
        <v>41</v>
      </c>
      <c r="F776" s="7">
        <v>43502</v>
      </c>
      <c r="G776" s="8">
        <v>126950</v>
      </c>
      <c r="H776" s="9">
        <v>0.1</v>
      </c>
      <c r="I776" s="1" t="s">
        <v>29</v>
      </c>
      <c r="J776" s="1" t="s">
        <v>40</v>
      </c>
      <c r="K776" s="10" t="s">
        <v>36</v>
      </c>
    </row>
    <row r="777" spans="1:11" x14ac:dyDescent="0.3">
      <c r="A777" s="6" t="s">
        <v>67</v>
      </c>
      <c r="B777" s="1" t="s">
        <v>26</v>
      </c>
      <c r="C777" s="1" t="s">
        <v>32</v>
      </c>
      <c r="D777" s="1" t="s">
        <v>28</v>
      </c>
      <c r="E777" s="1">
        <v>36</v>
      </c>
      <c r="F777" s="7">
        <v>41964</v>
      </c>
      <c r="G777" s="8">
        <v>97500</v>
      </c>
      <c r="H777" s="9">
        <v>0</v>
      </c>
      <c r="I777" s="1" t="s">
        <v>29</v>
      </c>
      <c r="J777" s="1" t="s">
        <v>49</v>
      </c>
      <c r="K777" s="10" t="s">
        <v>36</v>
      </c>
    </row>
    <row r="778" spans="1:11" x14ac:dyDescent="0.3">
      <c r="A778" s="6" t="s">
        <v>65</v>
      </c>
      <c r="B778" s="1" t="s">
        <v>26</v>
      </c>
      <c r="C778" s="1" t="s">
        <v>32</v>
      </c>
      <c r="D778" s="1" t="s">
        <v>33</v>
      </c>
      <c r="E778" s="1">
        <v>25</v>
      </c>
      <c r="F778" s="7">
        <v>44213</v>
      </c>
      <c r="G778" s="8">
        <v>41844</v>
      </c>
      <c r="H778" s="9">
        <v>0</v>
      </c>
      <c r="I778" s="1" t="s">
        <v>34</v>
      </c>
      <c r="J778" s="1" t="s">
        <v>35</v>
      </c>
      <c r="K778" s="10" t="s">
        <v>36</v>
      </c>
    </row>
    <row r="779" spans="1:11" x14ac:dyDescent="0.3">
      <c r="A779" s="6" t="s">
        <v>66</v>
      </c>
      <c r="B779" s="1" t="s">
        <v>50</v>
      </c>
      <c r="C779" s="1" t="s">
        <v>27</v>
      </c>
      <c r="D779" s="1" t="s">
        <v>33</v>
      </c>
      <c r="E779" s="1">
        <v>43</v>
      </c>
      <c r="F779" s="7">
        <v>41680</v>
      </c>
      <c r="G779" s="8">
        <v>58875</v>
      </c>
      <c r="H779" s="9">
        <v>0</v>
      </c>
      <c r="I779" s="1" t="s">
        <v>34</v>
      </c>
      <c r="J779" s="1" t="s">
        <v>68</v>
      </c>
      <c r="K779" s="10" t="s">
        <v>36</v>
      </c>
    </row>
    <row r="780" spans="1:11" x14ac:dyDescent="0.3">
      <c r="A780" s="6" t="s">
        <v>44</v>
      </c>
      <c r="B780" s="1" t="s">
        <v>45</v>
      </c>
      <c r="C780" s="1" t="s">
        <v>32</v>
      </c>
      <c r="D780" s="1" t="s">
        <v>28</v>
      </c>
      <c r="E780" s="1">
        <v>37</v>
      </c>
      <c r="F780" s="7">
        <v>42318</v>
      </c>
      <c r="G780" s="8">
        <v>64204</v>
      </c>
      <c r="H780" s="9">
        <v>0</v>
      </c>
      <c r="I780" s="1" t="s">
        <v>29</v>
      </c>
      <c r="J780" s="1" t="s">
        <v>58</v>
      </c>
      <c r="K780" s="10">
        <v>44306</v>
      </c>
    </row>
    <row r="781" spans="1:11" x14ac:dyDescent="0.3">
      <c r="A781" s="6" t="s">
        <v>66</v>
      </c>
      <c r="B781" s="1" t="s">
        <v>45</v>
      </c>
      <c r="C781" s="1" t="s">
        <v>46</v>
      </c>
      <c r="D781" s="1" t="s">
        <v>28</v>
      </c>
      <c r="E781" s="1">
        <v>42</v>
      </c>
      <c r="F781" s="7">
        <v>40307</v>
      </c>
      <c r="G781" s="8">
        <v>67743</v>
      </c>
      <c r="H781" s="9">
        <v>0</v>
      </c>
      <c r="I781" s="1" t="s">
        <v>34</v>
      </c>
      <c r="J781" s="1" t="s">
        <v>64</v>
      </c>
      <c r="K781" s="10">
        <v>41998</v>
      </c>
    </row>
    <row r="782" spans="1:11" x14ac:dyDescent="0.3">
      <c r="A782" s="6" t="s">
        <v>81</v>
      </c>
      <c r="B782" s="1" t="s">
        <v>45</v>
      </c>
      <c r="C782" s="1" t="s">
        <v>39</v>
      </c>
      <c r="D782" s="1" t="s">
        <v>28</v>
      </c>
      <c r="E782" s="1">
        <v>60</v>
      </c>
      <c r="F782" s="7">
        <v>35641</v>
      </c>
      <c r="G782" s="8">
        <v>71677</v>
      </c>
      <c r="H782" s="9">
        <v>0</v>
      </c>
      <c r="I782" s="1" t="s">
        <v>29</v>
      </c>
      <c r="J782" s="1" t="s">
        <v>58</v>
      </c>
      <c r="K782" s="10" t="s">
        <v>36</v>
      </c>
    </row>
    <row r="783" spans="1:11" x14ac:dyDescent="0.3">
      <c r="A783" s="6" t="s">
        <v>65</v>
      </c>
      <c r="B783" s="1" t="s">
        <v>26</v>
      </c>
      <c r="C783" s="1" t="s">
        <v>39</v>
      </c>
      <c r="D783" s="1" t="s">
        <v>33</v>
      </c>
      <c r="E783" s="1">
        <v>61</v>
      </c>
      <c r="F783" s="7">
        <v>36793</v>
      </c>
      <c r="G783" s="8">
        <v>40063</v>
      </c>
      <c r="H783" s="9">
        <v>0</v>
      </c>
      <c r="I783" s="1" t="s">
        <v>29</v>
      </c>
      <c r="J783" s="1" t="s">
        <v>49</v>
      </c>
      <c r="K783" s="10" t="s">
        <v>36</v>
      </c>
    </row>
    <row r="784" spans="1:11" x14ac:dyDescent="0.3">
      <c r="A784" s="6" t="s">
        <v>65</v>
      </c>
      <c r="B784" s="1" t="s">
        <v>26</v>
      </c>
      <c r="C784" s="1" t="s">
        <v>32</v>
      </c>
      <c r="D784" s="1" t="s">
        <v>28</v>
      </c>
      <c r="E784" s="1">
        <v>55</v>
      </c>
      <c r="F784" s="7">
        <v>38107</v>
      </c>
      <c r="G784" s="8">
        <v>40124</v>
      </c>
      <c r="H784" s="9">
        <v>0</v>
      </c>
      <c r="I784" s="1" t="s">
        <v>29</v>
      </c>
      <c r="J784" s="1" t="s">
        <v>51</v>
      </c>
      <c r="K784" s="10" t="s">
        <v>36</v>
      </c>
    </row>
    <row r="785" spans="1:11" x14ac:dyDescent="0.3">
      <c r="A785" s="6" t="s">
        <v>72</v>
      </c>
      <c r="B785" s="1" t="s">
        <v>54</v>
      </c>
      <c r="C785" s="1" t="s">
        <v>32</v>
      </c>
      <c r="D785" s="1" t="s">
        <v>33</v>
      </c>
      <c r="E785" s="1">
        <v>57</v>
      </c>
      <c r="F785" s="7">
        <v>43157</v>
      </c>
      <c r="G785" s="8">
        <v>103183</v>
      </c>
      <c r="H785" s="9">
        <v>0</v>
      </c>
      <c r="I785" s="1" t="s">
        <v>29</v>
      </c>
      <c r="J785" s="1" t="s">
        <v>51</v>
      </c>
      <c r="K785" s="10">
        <v>44386</v>
      </c>
    </row>
    <row r="786" spans="1:11" x14ac:dyDescent="0.3">
      <c r="A786" s="6" t="s">
        <v>82</v>
      </c>
      <c r="B786" s="1" t="s">
        <v>26</v>
      </c>
      <c r="C786" s="1" t="s">
        <v>46</v>
      </c>
      <c r="D786" s="1" t="s">
        <v>33</v>
      </c>
      <c r="E786" s="1">
        <v>54</v>
      </c>
      <c r="F786" s="7">
        <v>35961</v>
      </c>
      <c r="G786" s="8">
        <v>95239</v>
      </c>
      <c r="H786" s="9">
        <v>0</v>
      </c>
      <c r="I786" s="1" t="s">
        <v>29</v>
      </c>
      <c r="J786" s="1" t="s">
        <v>43</v>
      </c>
      <c r="K786" s="10" t="s">
        <v>36</v>
      </c>
    </row>
    <row r="787" spans="1:11" x14ac:dyDescent="0.3">
      <c r="A787" s="6" t="s">
        <v>80</v>
      </c>
      <c r="B787" s="1" t="s">
        <v>54</v>
      </c>
      <c r="C787" s="1" t="s">
        <v>32</v>
      </c>
      <c r="D787" s="1" t="s">
        <v>28</v>
      </c>
      <c r="E787" s="1">
        <v>29</v>
      </c>
      <c r="F787" s="7">
        <v>43778</v>
      </c>
      <c r="G787" s="8">
        <v>75012</v>
      </c>
      <c r="H787" s="9">
        <v>0</v>
      </c>
      <c r="I787" s="1" t="s">
        <v>29</v>
      </c>
      <c r="J787" s="1" t="s">
        <v>40</v>
      </c>
      <c r="K787" s="10" t="s">
        <v>36</v>
      </c>
    </row>
    <row r="788" spans="1:11" x14ac:dyDescent="0.3">
      <c r="A788" s="6" t="s">
        <v>78</v>
      </c>
      <c r="B788" s="1" t="s">
        <v>26</v>
      </c>
      <c r="C788" s="1" t="s">
        <v>32</v>
      </c>
      <c r="D788" s="1" t="s">
        <v>28</v>
      </c>
      <c r="E788" s="1">
        <v>33</v>
      </c>
      <c r="F788" s="7">
        <v>41819</v>
      </c>
      <c r="G788" s="8">
        <v>96366</v>
      </c>
      <c r="H788" s="9">
        <v>0</v>
      </c>
      <c r="I788" s="1" t="s">
        <v>34</v>
      </c>
      <c r="J788" s="1" t="s">
        <v>68</v>
      </c>
      <c r="K788" s="10" t="s">
        <v>36</v>
      </c>
    </row>
    <row r="789" spans="1:11" x14ac:dyDescent="0.3">
      <c r="A789" s="6" t="s">
        <v>48</v>
      </c>
      <c r="B789" s="1" t="s">
        <v>57</v>
      </c>
      <c r="C789" s="1" t="s">
        <v>46</v>
      </c>
      <c r="D789" s="1" t="s">
        <v>28</v>
      </c>
      <c r="E789" s="1">
        <v>39</v>
      </c>
      <c r="F789" s="7">
        <v>41849</v>
      </c>
      <c r="G789" s="8">
        <v>40897</v>
      </c>
      <c r="H789" s="9">
        <v>0</v>
      </c>
      <c r="I789" s="1" t="s">
        <v>29</v>
      </c>
      <c r="J789" s="1" t="s">
        <v>30</v>
      </c>
      <c r="K789" s="10" t="s">
        <v>36</v>
      </c>
    </row>
    <row r="790" spans="1:11" x14ac:dyDescent="0.3">
      <c r="A790" s="6" t="s">
        <v>47</v>
      </c>
      <c r="B790" s="1" t="s">
        <v>38</v>
      </c>
      <c r="C790" s="1" t="s">
        <v>27</v>
      </c>
      <c r="D790" s="1" t="s">
        <v>28</v>
      </c>
      <c r="E790" s="1">
        <v>37</v>
      </c>
      <c r="F790" s="7">
        <v>42605</v>
      </c>
      <c r="G790" s="8">
        <v>124928</v>
      </c>
      <c r="H790" s="9">
        <v>0.06</v>
      </c>
      <c r="I790" s="1" t="s">
        <v>34</v>
      </c>
      <c r="J790" s="1" t="s">
        <v>35</v>
      </c>
      <c r="K790" s="10" t="s">
        <v>36</v>
      </c>
    </row>
    <row r="791" spans="1:11" x14ac:dyDescent="0.3">
      <c r="A791" s="6" t="s">
        <v>47</v>
      </c>
      <c r="B791" s="1" t="s">
        <v>38</v>
      </c>
      <c r="C791" s="1" t="s">
        <v>39</v>
      </c>
      <c r="D791" s="1" t="s">
        <v>28</v>
      </c>
      <c r="E791" s="1">
        <v>51</v>
      </c>
      <c r="F791" s="7">
        <v>41439</v>
      </c>
      <c r="G791" s="8">
        <v>108221</v>
      </c>
      <c r="H791" s="9">
        <v>0.05</v>
      </c>
      <c r="I791" s="1" t="s">
        <v>59</v>
      </c>
      <c r="J791" s="1" t="s">
        <v>60</v>
      </c>
      <c r="K791" s="10" t="s">
        <v>36</v>
      </c>
    </row>
    <row r="792" spans="1:11" x14ac:dyDescent="0.3">
      <c r="A792" s="6" t="s">
        <v>69</v>
      </c>
      <c r="B792" s="1" t="s">
        <v>52</v>
      </c>
      <c r="C792" s="1" t="s">
        <v>46</v>
      </c>
      <c r="D792" s="1" t="s">
        <v>33</v>
      </c>
      <c r="E792" s="1">
        <v>46</v>
      </c>
      <c r="F792" s="7">
        <v>39133</v>
      </c>
      <c r="G792" s="8">
        <v>75579</v>
      </c>
      <c r="H792" s="9">
        <v>0</v>
      </c>
      <c r="I792" s="1" t="s">
        <v>29</v>
      </c>
      <c r="J792" s="1" t="s">
        <v>30</v>
      </c>
      <c r="K792" s="10" t="s">
        <v>36</v>
      </c>
    </row>
    <row r="793" spans="1:11" x14ac:dyDescent="0.3">
      <c r="A793" s="6" t="s">
        <v>25</v>
      </c>
      <c r="B793" s="1" t="s">
        <v>52</v>
      </c>
      <c r="C793" s="1" t="s">
        <v>32</v>
      </c>
      <c r="D793" s="1" t="s">
        <v>33</v>
      </c>
      <c r="E793" s="1">
        <v>41</v>
      </c>
      <c r="F793" s="7">
        <v>42365</v>
      </c>
      <c r="G793" s="8">
        <v>129903</v>
      </c>
      <c r="H793" s="9">
        <v>0.13</v>
      </c>
      <c r="I793" s="1" t="s">
        <v>59</v>
      </c>
      <c r="J793" s="1" t="s">
        <v>76</v>
      </c>
      <c r="K793" s="10" t="s">
        <v>36</v>
      </c>
    </row>
    <row r="794" spans="1:11" x14ac:dyDescent="0.3">
      <c r="A794" s="6" t="s">
        <v>37</v>
      </c>
      <c r="B794" s="1" t="s">
        <v>38</v>
      </c>
      <c r="C794" s="1" t="s">
        <v>27</v>
      </c>
      <c r="D794" s="1" t="s">
        <v>28</v>
      </c>
      <c r="E794" s="1">
        <v>25</v>
      </c>
      <c r="F794" s="7">
        <v>44303</v>
      </c>
      <c r="G794" s="8">
        <v>186870</v>
      </c>
      <c r="H794" s="9">
        <v>0.2</v>
      </c>
      <c r="I794" s="1" t="s">
        <v>34</v>
      </c>
      <c r="J794" s="1" t="s">
        <v>55</v>
      </c>
      <c r="K794" s="10" t="s">
        <v>36</v>
      </c>
    </row>
    <row r="795" spans="1:11" x14ac:dyDescent="0.3">
      <c r="A795" s="6" t="s">
        <v>66</v>
      </c>
      <c r="B795" s="1" t="s">
        <v>45</v>
      </c>
      <c r="C795" s="1" t="s">
        <v>27</v>
      </c>
      <c r="D795" s="1" t="s">
        <v>33</v>
      </c>
      <c r="E795" s="1">
        <v>37</v>
      </c>
      <c r="F795" s="7">
        <v>40291</v>
      </c>
      <c r="G795" s="8">
        <v>57531</v>
      </c>
      <c r="H795" s="9">
        <v>0</v>
      </c>
      <c r="I795" s="1" t="s">
        <v>29</v>
      </c>
      <c r="J795" s="1" t="s">
        <v>40</v>
      </c>
      <c r="K795" s="10" t="s">
        <v>36</v>
      </c>
    </row>
    <row r="796" spans="1:11" x14ac:dyDescent="0.3">
      <c r="A796" s="6" t="s">
        <v>48</v>
      </c>
      <c r="B796" s="1" t="s">
        <v>38</v>
      </c>
      <c r="C796" s="1" t="s">
        <v>27</v>
      </c>
      <c r="D796" s="1" t="s">
        <v>33</v>
      </c>
      <c r="E796" s="1">
        <v>46</v>
      </c>
      <c r="F796" s="7">
        <v>40657</v>
      </c>
      <c r="G796" s="8">
        <v>55894</v>
      </c>
      <c r="H796" s="9">
        <v>0</v>
      </c>
      <c r="I796" s="1" t="s">
        <v>29</v>
      </c>
      <c r="J796" s="1" t="s">
        <v>30</v>
      </c>
      <c r="K796" s="10" t="s">
        <v>36</v>
      </c>
    </row>
    <row r="797" spans="1:11" x14ac:dyDescent="0.3">
      <c r="A797" s="6" t="s">
        <v>71</v>
      </c>
      <c r="B797" s="1" t="s">
        <v>54</v>
      </c>
      <c r="C797" s="1" t="s">
        <v>32</v>
      </c>
      <c r="D797" s="1" t="s">
        <v>28</v>
      </c>
      <c r="E797" s="1">
        <v>42</v>
      </c>
      <c r="F797" s="7">
        <v>41026</v>
      </c>
      <c r="G797" s="8">
        <v>72903</v>
      </c>
      <c r="H797" s="9">
        <v>0</v>
      </c>
      <c r="I797" s="1" t="s">
        <v>29</v>
      </c>
      <c r="J797" s="1" t="s">
        <v>43</v>
      </c>
      <c r="K797" s="10" t="s">
        <v>36</v>
      </c>
    </row>
    <row r="798" spans="1:11" x14ac:dyDescent="0.3">
      <c r="A798" s="6" t="s">
        <v>48</v>
      </c>
      <c r="B798" s="1" t="s">
        <v>38</v>
      </c>
      <c r="C798" s="1" t="s">
        <v>46</v>
      </c>
      <c r="D798" s="1" t="s">
        <v>33</v>
      </c>
      <c r="E798" s="1">
        <v>37</v>
      </c>
      <c r="F798" s="7">
        <v>42317</v>
      </c>
      <c r="G798" s="8">
        <v>45369</v>
      </c>
      <c r="H798" s="9">
        <v>0</v>
      </c>
      <c r="I798" s="1" t="s">
        <v>34</v>
      </c>
      <c r="J798" s="1" t="s">
        <v>64</v>
      </c>
      <c r="K798" s="10" t="s">
        <v>36</v>
      </c>
    </row>
    <row r="799" spans="1:11" x14ac:dyDescent="0.3">
      <c r="A799" s="6" t="s">
        <v>47</v>
      </c>
      <c r="B799" s="1" t="s">
        <v>38</v>
      </c>
      <c r="C799" s="1" t="s">
        <v>39</v>
      </c>
      <c r="D799" s="1" t="s">
        <v>33</v>
      </c>
      <c r="E799" s="1">
        <v>60</v>
      </c>
      <c r="F799" s="7">
        <v>40344</v>
      </c>
      <c r="G799" s="8">
        <v>106578</v>
      </c>
      <c r="H799" s="9">
        <v>0.09</v>
      </c>
      <c r="I799" s="1" t="s">
        <v>29</v>
      </c>
      <c r="J799" s="1" t="s">
        <v>49</v>
      </c>
      <c r="K799" s="10" t="s">
        <v>36</v>
      </c>
    </row>
    <row r="800" spans="1:11" x14ac:dyDescent="0.3">
      <c r="A800" s="6" t="s">
        <v>69</v>
      </c>
      <c r="B800" s="1" t="s">
        <v>52</v>
      </c>
      <c r="C800" s="1" t="s">
        <v>27</v>
      </c>
      <c r="D800" s="1" t="s">
        <v>28</v>
      </c>
      <c r="E800" s="1">
        <v>52</v>
      </c>
      <c r="F800" s="7">
        <v>36416</v>
      </c>
      <c r="G800" s="8">
        <v>92994</v>
      </c>
      <c r="H800" s="9">
        <v>0</v>
      </c>
      <c r="I800" s="1" t="s">
        <v>29</v>
      </c>
      <c r="J800" s="1" t="s">
        <v>40</v>
      </c>
      <c r="K800" s="10" t="s">
        <v>36</v>
      </c>
    </row>
    <row r="801" spans="1:11" x14ac:dyDescent="0.3">
      <c r="A801" s="6" t="s">
        <v>42</v>
      </c>
      <c r="B801" s="1" t="s">
        <v>45</v>
      </c>
      <c r="C801" s="1" t="s">
        <v>39</v>
      </c>
      <c r="D801" s="1" t="s">
        <v>33</v>
      </c>
      <c r="E801" s="1">
        <v>59</v>
      </c>
      <c r="F801" s="7">
        <v>35502</v>
      </c>
      <c r="G801" s="8">
        <v>83685</v>
      </c>
      <c r="H801" s="9">
        <v>0</v>
      </c>
      <c r="I801" s="1" t="s">
        <v>34</v>
      </c>
      <c r="J801" s="1" t="s">
        <v>64</v>
      </c>
      <c r="K801" s="10" t="s">
        <v>36</v>
      </c>
    </row>
    <row r="802" spans="1:11" x14ac:dyDescent="0.3">
      <c r="A802" s="6" t="s">
        <v>75</v>
      </c>
      <c r="B802" s="1" t="s">
        <v>26</v>
      </c>
      <c r="C802" s="1" t="s">
        <v>27</v>
      </c>
      <c r="D802" s="1" t="s">
        <v>33</v>
      </c>
      <c r="E802" s="1">
        <v>48</v>
      </c>
      <c r="F802" s="7">
        <v>40435</v>
      </c>
      <c r="G802" s="8">
        <v>99335</v>
      </c>
      <c r="H802" s="9">
        <v>0</v>
      </c>
      <c r="I802" s="1" t="s">
        <v>29</v>
      </c>
      <c r="J802" s="1" t="s">
        <v>43</v>
      </c>
      <c r="K802" s="10" t="s">
        <v>36</v>
      </c>
    </row>
    <row r="803" spans="1:11" x14ac:dyDescent="0.3">
      <c r="A803" s="6" t="s">
        <v>25</v>
      </c>
      <c r="B803" s="1" t="s">
        <v>52</v>
      </c>
      <c r="C803" s="1" t="s">
        <v>32</v>
      </c>
      <c r="D803" s="1" t="s">
        <v>33</v>
      </c>
      <c r="E803" s="1">
        <v>42</v>
      </c>
      <c r="F803" s="7">
        <v>41382</v>
      </c>
      <c r="G803" s="8">
        <v>131179</v>
      </c>
      <c r="H803" s="9">
        <v>0.15</v>
      </c>
      <c r="I803" s="1" t="s">
        <v>29</v>
      </c>
      <c r="J803" s="1" t="s">
        <v>58</v>
      </c>
      <c r="K803" s="10" t="s">
        <v>36</v>
      </c>
    </row>
    <row r="804" spans="1:11" x14ac:dyDescent="0.3">
      <c r="A804" s="6" t="s">
        <v>41</v>
      </c>
      <c r="B804" s="1" t="s">
        <v>26</v>
      </c>
      <c r="C804" s="1" t="s">
        <v>39</v>
      </c>
      <c r="D804" s="1" t="s">
        <v>33</v>
      </c>
      <c r="E804" s="1">
        <v>35</v>
      </c>
      <c r="F804" s="7">
        <v>42493</v>
      </c>
      <c r="G804" s="8">
        <v>73899</v>
      </c>
      <c r="H804" s="9">
        <v>0.05</v>
      </c>
      <c r="I804" s="1" t="s">
        <v>34</v>
      </c>
      <c r="J804" s="1" t="s">
        <v>68</v>
      </c>
      <c r="K804" s="10" t="s">
        <v>36</v>
      </c>
    </row>
    <row r="805" spans="1:11" x14ac:dyDescent="0.3">
      <c r="A805" s="6" t="s">
        <v>56</v>
      </c>
      <c r="B805" s="1" t="s">
        <v>50</v>
      </c>
      <c r="C805" s="1" t="s">
        <v>32</v>
      </c>
      <c r="D805" s="1" t="s">
        <v>33</v>
      </c>
      <c r="E805" s="1">
        <v>64</v>
      </c>
      <c r="F805" s="7">
        <v>41362</v>
      </c>
      <c r="G805" s="8">
        <v>252325</v>
      </c>
      <c r="H805" s="9">
        <v>0.4</v>
      </c>
      <c r="I805" s="1" t="s">
        <v>29</v>
      </c>
      <c r="J805" s="1" t="s">
        <v>58</v>
      </c>
      <c r="K805" s="10" t="s">
        <v>36</v>
      </c>
    </row>
    <row r="806" spans="1:11" x14ac:dyDescent="0.3">
      <c r="A806" s="6" t="s">
        <v>66</v>
      </c>
      <c r="B806" s="1" t="s">
        <v>38</v>
      </c>
      <c r="C806" s="1" t="s">
        <v>27</v>
      </c>
      <c r="D806" s="1" t="s">
        <v>28</v>
      </c>
      <c r="E806" s="1">
        <v>30</v>
      </c>
      <c r="F806" s="7">
        <v>42068</v>
      </c>
      <c r="G806" s="8">
        <v>52697</v>
      </c>
      <c r="H806" s="9">
        <v>0</v>
      </c>
      <c r="I806" s="1" t="s">
        <v>29</v>
      </c>
      <c r="J806" s="1" t="s">
        <v>30</v>
      </c>
      <c r="K806" s="10" t="s">
        <v>36</v>
      </c>
    </row>
    <row r="807" spans="1:11" x14ac:dyDescent="0.3">
      <c r="A807" s="6" t="s">
        <v>73</v>
      </c>
      <c r="B807" s="1" t="s">
        <v>54</v>
      </c>
      <c r="C807" s="1" t="s">
        <v>39</v>
      </c>
      <c r="D807" s="1" t="s">
        <v>28</v>
      </c>
      <c r="E807" s="1">
        <v>29</v>
      </c>
      <c r="F807" s="7">
        <v>44099</v>
      </c>
      <c r="G807" s="8">
        <v>123588</v>
      </c>
      <c r="H807" s="9">
        <v>0</v>
      </c>
      <c r="I807" s="1" t="s">
        <v>59</v>
      </c>
      <c r="J807" s="1" t="s">
        <v>76</v>
      </c>
      <c r="K807" s="10" t="s">
        <v>36</v>
      </c>
    </row>
    <row r="808" spans="1:11" x14ac:dyDescent="0.3">
      <c r="A808" s="6" t="s">
        <v>56</v>
      </c>
      <c r="B808" s="1" t="s">
        <v>50</v>
      </c>
      <c r="C808" s="1" t="s">
        <v>46</v>
      </c>
      <c r="D808" s="1" t="s">
        <v>28</v>
      </c>
      <c r="E808" s="1">
        <v>47</v>
      </c>
      <c r="F808" s="7">
        <v>44556</v>
      </c>
      <c r="G808" s="8">
        <v>243568</v>
      </c>
      <c r="H808" s="9">
        <v>0.33</v>
      </c>
      <c r="I808" s="1" t="s">
        <v>29</v>
      </c>
      <c r="J808" s="1" t="s">
        <v>51</v>
      </c>
      <c r="K808" s="10" t="s">
        <v>36</v>
      </c>
    </row>
    <row r="809" spans="1:11" x14ac:dyDescent="0.3">
      <c r="A809" s="6" t="s">
        <v>37</v>
      </c>
      <c r="B809" s="1" t="s">
        <v>45</v>
      </c>
      <c r="C809" s="1" t="s">
        <v>27</v>
      </c>
      <c r="D809" s="1" t="s">
        <v>33</v>
      </c>
      <c r="E809" s="1">
        <v>49</v>
      </c>
      <c r="F809" s="7">
        <v>37092</v>
      </c>
      <c r="G809" s="8">
        <v>199176</v>
      </c>
      <c r="H809" s="9">
        <v>0.24</v>
      </c>
      <c r="I809" s="1" t="s">
        <v>29</v>
      </c>
      <c r="J809" s="1" t="s">
        <v>43</v>
      </c>
      <c r="K809" s="10" t="s">
        <v>36</v>
      </c>
    </row>
    <row r="810" spans="1:11" x14ac:dyDescent="0.3">
      <c r="A810" s="6" t="s">
        <v>31</v>
      </c>
      <c r="B810" s="1" t="s">
        <v>26</v>
      </c>
      <c r="C810" s="1" t="s">
        <v>39</v>
      </c>
      <c r="D810" s="1" t="s">
        <v>28</v>
      </c>
      <c r="E810" s="1">
        <v>56</v>
      </c>
      <c r="F810" s="7">
        <v>35238</v>
      </c>
      <c r="G810" s="8">
        <v>82806</v>
      </c>
      <c r="H810" s="9">
        <v>0</v>
      </c>
      <c r="I810" s="1" t="s">
        <v>29</v>
      </c>
      <c r="J810" s="1" t="s">
        <v>30</v>
      </c>
      <c r="K810" s="10" t="s">
        <v>36</v>
      </c>
    </row>
    <row r="811" spans="1:11" x14ac:dyDescent="0.3">
      <c r="A811" s="6" t="s">
        <v>37</v>
      </c>
      <c r="B811" s="1" t="s">
        <v>57</v>
      </c>
      <c r="C811" s="1" t="s">
        <v>39</v>
      </c>
      <c r="D811" s="1" t="s">
        <v>28</v>
      </c>
      <c r="E811" s="1">
        <v>53</v>
      </c>
      <c r="F811" s="7">
        <v>35601</v>
      </c>
      <c r="G811" s="8">
        <v>164399</v>
      </c>
      <c r="H811" s="9">
        <v>0.25</v>
      </c>
      <c r="I811" s="1" t="s">
        <v>29</v>
      </c>
      <c r="J811" s="1" t="s">
        <v>30</v>
      </c>
      <c r="K811" s="10" t="s">
        <v>36</v>
      </c>
    </row>
    <row r="812" spans="1:11" x14ac:dyDescent="0.3">
      <c r="A812" s="6" t="s">
        <v>25</v>
      </c>
      <c r="B812" s="1" t="s">
        <v>52</v>
      </c>
      <c r="C812" s="1" t="s">
        <v>32</v>
      </c>
      <c r="D812" s="1" t="s">
        <v>28</v>
      </c>
      <c r="E812" s="1">
        <v>32</v>
      </c>
      <c r="F812" s="7">
        <v>42839</v>
      </c>
      <c r="G812" s="8">
        <v>154956</v>
      </c>
      <c r="H812" s="9">
        <v>0.13</v>
      </c>
      <c r="I812" s="1" t="s">
        <v>29</v>
      </c>
      <c r="J812" s="1" t="s">
        <v>43</v>
      </c>
      <c r="K812" s="10" t="s">
        <v>36</v>
      </c>
    </row>
    <row r="813" spans="1:11" x14ac:dyDescent="0.3">
      <c r="A813" s="6" t="s">
        <v>25</v>
      </c>
      <c r="B813" s="1" t="s">
        <v>57</v>
      </c>
      <c r="C813" s="1" t="s">
        <v>32</v>
      </c>
      <c r="D813" s="1" t="s">
        <v>33</v>
      </c>
      <c r="E813" s="1">
        <v>32</v>
      </c>
      <c r="F813" s="7">
        <v>42764</v>
      </c>
      <c r="G813" s="8">
        <v>143970</v>
      </c>
      <c r="H813" s="9">
        <v>0.12</v>
      </c>
      <c r="I813" s="1" t="s">
        <v>29</v>
      </c>
      <c r="J813" s="1" t="s">
        <v>30</v>
      </c>
      <c r="K813" s="10">
        <v>43078</v>
      </c>
    </row>
    <row r="814" spans="1:11" x14ac:dyDescent="0.3">
      <c r="A814" s="6" t="s">
        <v>37</v>
      </c>
      <c r="B814" s="1" t="s">
        <v>45</v>
      </c>
      <c r="C814" s="1" t="s">
        <v>46</v>
      </c>
      <c r="D814" s="1" t="s">
        <v>33</v>
      </c>
      <c r="E814" s="1">
        <v>52</v>
      </c>
      <c r="F814" s="7">
        <v>44099</v>
      </c>
      <c r="G814" s="8">
        <v>163143</v>
      </c>
      <c r="H814" s="9">
        <v>0.28000000000000003</v>
      </c>
      <c r="I814" s="1" t="s">
        <v>59</v>
      </c>
      <c r="J814" s="1" t="s">
        <v>76</v>
      </c>
      <c r="K814" s="10" t="s">
        <v>36</v>
      </c>
    </row>
    <row r="815" spans="1:11" x14ac:dyDescent="0.3">
      <c r="A815" s="6" t="s">
        <v>42</v>
      </c>
      <c r="B815" s="1" t="s">
        <v>50</v>
      </c>
      <c r="C815" s="1" t="s">
        <v>39</v>
      </c>
      <c r="D815" s="1" t="s">
        <v>28</v>
      </c>
      <c r="E815" s="1">
        <v>38</v>
      </c>
      <c r="F815" s="7">
        <v>44036</v>
      </c>
      <c r="G815" s="8">
        <v>89390</v>
      </c>
      <c r="H815" s="9">
        <v>0</v>
      </c>
      <c r="I815" s="1" t="s">
        <v>29</v>
      </c>
      <c r="J815" s="1" t="s">
        <v>30</v>
      </c>
      <c r="K815" s="10" t="s">
        <v>36</v>
      </c>
    </row>
    <row r="816" spans="1:11" x14ac:dyDescent="0.3">
      <c r="A816" s="6" t="s">
        <v>78</v>
      </c>
      <c r="B816" s="1" t="s">
        <v>26</v>
      </c>
      <c r="C816" s="1" t="s">
        <v>32</v>
      </c>
      <c r="D816" s="1" t="s">
        <v>33</v>
      </c>
      <c r="E816" s="1">
        <v>41</v>
      </c>
      <c r="F816" s="7">
        <v>43013</v>
      </c>
      <c r="G816" s="8">
        <v>67468</v>
      </c>
      <c r="H816" s="9">
        <v>0</v>
      </c>
      <c r="I816" s="1" t="s">
        <v>29</v>
      </c>
      <c r="J816" s="1" t="s">
        <v>49</v>
      </c>
      <c r="K816" s="10" t="s">
        <v>36</v>
      </c>
    </row>
    <row r="817" spans="1:11" x14ac:dyDescent="0.3">
      <c r="A817" s="6" t="s">
        <v>63</v>
      </c>
      <c r="B817" s="1" t="s">
        <v>54</v>
      </c>
      <c r="C817" s="1" t="s">
        <v>32</v>
      </c>
      <c r="D817" s="1" t="s">
        <v>28</v>
      </c>
      <c r="E817" s="1">
        <v>49</v>
      </c>
      <c r="F817" s="7">
        <v>42441</v>
      </c>
      <c r="G817" s="8">
        <v>100810</v>
      </c>
      <c r="H817" s="9">
        <v>0.12</v>
      </c>
      <c r="I817" s="1" t="s">
        <v>59</v>
      </c>
      <c r="J817" s="1" t="s">
        <v>61</v>
      </c>
      <c r="K817" s="10" t="s">
        <v>36</v>
      </c>
    </row>
    <row r="818" spans="1:11" x14ac:dyDescent="0.3">
      <c r="A818" s="6" t="s">
        <v>42</v>
      </c>
      <c r="B818" s="1" t="s">
        <v>38</v>
      </c>
      <c r="C818" s="1" t="s">
        <v>32</v>
      </c>
      <c r="D818" s="1" t="s">
        <v>28</v>
      </c>
      <c r="E818" s="1">
        <v>35</v>
      </c>
      <c r="F818" s="7">
        <v>43542</v>
      </c>
      <c r="G818" s="8">
        <v>74779</v>
      </c>
      <c r="H818" s="9">
        <v>0</v>
      </c>
      <c r="I818" s="1" t="s">
        <v>29</v>
      </c>
      <c r="J818" s="1" t="s">
        <v>43</v>
      </c>
      <c r="K818" s="10" t="s">
        <v>36</v>
      </c>
    </row>
    <row r="819" spans="1:11" x14ac:dyDescent="0.3">
      <c r="A819" s="6" t="s">
        <v>79</v>
      </c>
      <c r="B819" s="1" t="s">
        <v>26</v>
      </c>
      <c r="C819" s="1" t="s">
        <v>46</v>
      </c>
      <c r="D819" s="1" t="s">
        <v>28</v>
      </c>
      <c r="E819" s="1">
        <v>29</v>
      </c>
      <c r="F819" s="7">
        <v>43048</v>
      </c>
      <c r="G819" s="8">
        <v>63985</v>
      </c>
      <c r="H819" s="9">
        <v>0</v>
      </c>
      <c r="I819" s="1" t="s">
        <v>29</v>
      </c>
      <c r="J819" s="1" t="s">
        <v>49</v>
      </c>
      <c r="K819" s="10" t="s">
        <v>36</v>
      </c>
    </row>
    <row r="820" spans="1:11" x14ac:dyDescent="0.3">
      <c r="A820" s="6" t="s">
        <v>84</v>
      </c>
      <c r="B820" s="1" t="s">
        <v>26</v>
      </c>
      <c r="C820" s="1" t="s">
        <v>32</v>
      </c>
      <c r="D820" s="1" t="s">
        <v>28</v>
      </c>
      <c r="E820" s="1">
        <v>64</v>
      </c>
      <c r="F820" s="7">
        <v>38176</v>
      </c>
      <c r="G820" s="8">
        <v>77903</v>
      </c>
      <c r="H820" s="9">
        <v>0</v>
      </c>
      <c r="I820" s="1" t="s">
        <v>29</v>
      </c>
      <c r="J820" s="1" t="s">
        <v>30</v>
      </c>
      <c r="K820" s="10" t="s">
        <v>36</v>
      </c>
    </row>
    <row r="821" spans="1:11" x14ac:dyDescent="0.3">
      <c r="A821" s="6" t="s">
        <v>37</v>
      </c>
      <c r="B821" s="1" t="s">
        <v>57</v>
      </c>
      <c r="C821" s="1" t="s">
        <v>46</v>
      </c>
      <c r="D821" s="1" t="s">
        <v>33</v>
      </c>
      <c r="E821" s="1">
        <v>33</v>
      </c>
      <c r="F821" s="7">
        <v>42898</v>
      </c>
      <c r="G821" s="8">
        <v>164396</v>
      </c>
      <c r="H821" s="9">
        <v>0.28999999999999998</v>
      </c>
      <c r="I821" s="1" t="s">
        <v>29</v>
      </c>
      <c r="J821" s="1" t="s">
        <v>58</v>
      </c>
      <c r="K821" s="10" t="s">
        <v>36</v>
      </c>
    </row>
    <row r="822" spans="1:11" x14ac:dyDescent="0.3">
      <c r="A822" s="6" t="s">
        <v>85</v>
      </c>
      <c r="B822" s="1" t="s">
        <v>26</v>
      </c>
      <c r="C822" s="1" t="s">
        <v>46</v>
      </c>
      <c r="D822" s="1" t="s">
        <v>33</v>
      </c>
      <c r="E822" s="1">
        <v>29</v>
      </c>
      <c r="F822" s="7">
        <v>44375</v>
      </c>
      <c r="G822" s="8">
        <v>71234</v>
      </c>
      <c r="H822" s="9">
        <v>0</v>
      </c>
      <c r="I822" s="1" t="s">
        <v>29</v>
      </c>
      <c r="J822" s="1" t="s">
        <v>30</v>
      </c>
      <c r="K822" s="10" t="s">
        <v>36</v>
      </c>
    </row>
    <row r="823" spans="1:11" x14ac:dyDescent="0.3">
      <c r="A823" s="6" t="s">
        <v>47</v>
      </c>
      <c r="B823" s="1" t="s">
        <v>38</v>
      </c>
      <c r="C823" s="1" t="s">
        <v>46</v>
      </c>
      <c r="D823" s="1" t="s">
        <v>33</v>
      </c>
      <c r="E823" s="1">
        <v>63</v>
      </c>
      <c r="F823" s="7">
        <v>38096</v>
      </c>
      <c r="G823" s="8">
        <v>122487</v>
      </c>
      <c r="H823" s="9">
        <v>0.08</v>
      </c>
      <c r="I823" s="1" t="s">
        <v>34</v>
      </c>
      <c r="J823" s="1" t="s">
        <v>55</v>
      </c>
      <c r="K823" s="10" t="s">
        <v>36</v>
      </c>
    </row>
    <row r="824" spans="1:11" x14ac:dyDescent="0.3">
      <c r="A824" s="6" t="s">
        <v>47</v>
      </c>
      <c r="B824" s="1" t="s">
        <v>52</v>
      </c>
      <c r="C824" s="1" t="s">
        <v>39</v>
      </c>
      <c r="D824" s="1" t="s">
        <v>28</v>
      </c>
      <c r="E824" s="1">
        <v>32</v>
      </c>
      <c r="F824" s="7">
        <v>42738</v>
      </c>
      <c r="G824" s="8">
        <v>101870</v>
      </c>
      <c r="H824" s="9">
        <v>0.1</v>
      </c>
      <c r="I824" s="1" t="s">
        <v>29</v>
      </c>
      <c r="J824" s="1" t="s">
        <v>43</v>
      </c>
      <c r="K824" s="10" t="s">
        <v>36</v>
      </c>
    </row>
    <row r="825" spans="1:11" x14ac:dyDescent="0.3">
      <c r="A825" s="6" t="s">
        <v>83</v>
      </c>
      <c r="B825" s="1" t="s">
        <v>26</v>
      </c>
      <c r="C825" s="1" t="s">
        <v>27</v>
      </c>
      <c r="D825" s="1" t="s">
        <v>33</v>
      </c>
      <c r="E825" s="1">
        <v>64</v>
      </c>
      <c r="F825" s="7">
        <v>44009</v>
      </c>
      <c r="G825" s="8">
        <v>40316</v>
      </c>
      <c r="H825" s="9">
        <v>0</v>
      </c>
      <c r="I825" s="1" t="s">
        <v>59</v>
      </c>
      <c r="J825" s="1" t="s">
        <v>60</v>
      </c>
      <c r="K825" s="10" t="s">
        <v>36</v>
      </c>
    </row>
    <row r="826" spans="1:11" x14ac:dyDescent="0.3">
      <c r="A826" s="6" t="s">
        <v>47</v>
      </c>
      <c r="B826" s="1" t="s">
        <v>26</v>
      </c>
      <c r="C826" s="1" t="s">
        <v>27</v>
      </c>
      <c r="D826" s="1" t="s">
        <v>28</v>
      </c>
      <c r="E826" s="1">
        <v>55</v>
      </c>
      <c r="F826" s="7">
        <v>38391</v>
      </c>
      <c r="G826" s="8">
        <v>115145</v>
      </c>
      <c r="H826" s="9">
        <v>0.05</v>
      </c>
      <c r="I826" s="1" t="s">
        <v>34</v>
      </c>
      <c r="J826" s="1" t="s">
        <v>35</v>
      </c>
      <c r="K826" s="10" t="s">
        <v>36</v>
      </c>
    </row>
    <row r="827" spans="1:11" x14ac:dyDescent="0.3">
      <c r="A827" s="6" t="s">
        <v>75</v>
      </c>
      <c r="B827" s="1" t="s">
        <v>26</v>
      </c>
      <c r="C827" s="1" t="s">
        <v>32</v>
      </c>
      <c r="D827" s="1" t="s">
        <v>28</v>
      </c>
      <c r="E827" s="1">
        <v>43</v>
      </c>
      <c r="F827" s="7">
        <v>39885</v>
      </c>
      <c r="G827" s="8">
        <v>62335</v>
      </c>
      <c r="H827" s="9">
        <v>0</v>
      </c>
      <c r="I827" s="1" t="s">
        <v>59</v>
      </c>
      <c r="J827" s="1" t="s">
        <v>60</v>
      </c>
      <c r="K827" s="10" t="s">
        <v>36</v>
      </c>
    </row>
    <row r="828" spans="1:11" x14ac:dyDescent="0.3">
      <c r="A828" s="6" t="s">
        <v>48</v>
      </c>
      <c r="B828" s="1" t="s">
        <v>38</v>
      </c>
      <c r="C828" s="1" t="s">
        <v>32</v>
      </c>
      <c r="D828" s="1" t="s">
        <v>33</v>
      </c>
      <c r="E828" s="1">
        <v>56</v>
      </c>
      <c r="F828" s="7">
        <v>38847</v>
      </c>
      <c r="G828" s="8">
        <v>41561</v>
      </c>
      <c r="H828" s="9">
        <v>0</v>
      </c>
      <c r="I828" s="1" t="s">
        <v>29</v>
      </c>
      <c r="J828" s="1" t="s">
        <v>51</v>
      </c>
      <c r="K828" s="10" t="s">
        <v>36</v>
      </c>
    </row>
    <row r="829" spans="1:11" x14ac:dyDescent="0.3">
      <c r="A829" s="6" t="s">
        <v>25</v>
      </c>
      <c r="B829" s="1" t="s">
        <v>38</v>
      </c>
      <c r="C829" s="1" t="s">
        <v>39</v>
      </c>
      <c r="D829" s="1" t="s">
        <v>28</v>
      </c>
      <c r="E829" s="1">
        <v>37</v>
      </c>
      <c r="F829" s="7">
        <v>40657</v>
      </c>
      <c r="G829" s="8">
        <v>131183</v>
      </c>
      <c r="H829" s="9">
        <v>0.14000000000000001</v>
      </c>
      <c r="I829" s="1" t="s">
        <v>34</v>
      </c>
      <c r="J829" s="1" t="s">
        <v>55</v>
      </c>
      <c r="K829" s="10">
        <v>42445</v>
      </c>
    </row>
    <row r="830" spans="1:11" x14ac:dyDescent="0.3">
      <c r="A830" s="6" t="s">
        <v>31</v>
      </c>
      <c r="B830" s="1" t="s">
        <v>26</v>
      </c>
      <c r="C830" s="1" t="s">
        <v>32</v>
      </c>
      <c r="D830" s="1" t="s">
        <v>28</v>
      </c>
      <c r="E830" s="1">
        <v>45</v>
      </c>
      <c r="F830" s="7">
        <v>37445</v>
      </c>
      <c r="G830" s="8">
        <v>92655</v>
      </c>
      <c r="H830" s="9">
        <v>0</v>
      </c>
      <c r="I830" s="1" t="s">
        <v>34</v>
      </c>
      <c r="J830" s="1" t="s">
        <v>68</v>
      </c>
      <c r="K830" s="10" t="s">
        <v>36</v>
      </c>
    </row>
    <row r="831" spans="1:11" x14ac:dyDescent="0.3">
      <c r="A831" s="6" t="s">
        <v>25</v>
      </c>
      <c r="B831" s="1" t="s">
        <v>45</v>
      </c>
      <c r="C831" s="1" t="s">
        <v>32</v>
      </c>
      <c r="D831" s="1" t="s">
        <v>28</v>
      </c>
      <c r="E831" s="1">
        <v>49</v>
      </c>
      <c r="F831" s="7">
        <v>35157</v>
      </c>
      <c r="G831" s="8">
        <v>157057</v>
      </c>
      <c r="H831" s="9">
        <v>0.12</v>
      </c>
      <c r="I831" s="1" t="s">
        <v>29</v>
      </c>
      <c r="J831" s="1" t="s">
        <v>49</v>
      </c>
      <c r="K831" s="10" t="s">
        <v>36</v>
      </c>
    </row>
    <row r="832" spans="1:11" x14ac:dyDescent="0.3">
      <c r="A832" s="6" t="s">
        <v>67</v>
      </c>
      <c r="B832" s="1" t="s">
        <v>26</v>
      </c>
      <c r="C832" s="1" t="s">
        <v>39</v>
      </c>
      <c r="D832" s="1" t="s">
        <v>28</v>
      </c>
      <c r="E832" s="1">
        <v>61</v>
      </c>
      <c r="F832" s="7">
        <v>38392</v>
      </c>
      <c r="G832" s="8">
        <v>64462</v>
      </c>
      <c r="H832" s="9">
        <v>0</v>
      </c>
      <c r="I832" s="1" t="s">
        <v>29</v>
      </c>
      <c r="J832" s="1" t="s">
        <v>40</v>
      </c>
      <c r="K832" s="10" t="s">
        <v>36</v>
      </c>
    </row>
    <row r="833" spans="1:11" x14ac:dyDescent="0.3">
      <c r="A833" s="6" t="s">
        <v>62</v>
      </c>
      <c r="B833" s="1" t="s">
        <v>54</v>
      </c>
      <c r="C833" s="1" t="s">
        <v>46</v>
      </c>
      <c r="D833" s="1" t="s">
        <v>28</v>
      </c>
      <c r="E833" s="1">
        <v>41</v>
      </c>
      <c r="F833" s="7">
        <v>38632</v>
      </c>
      <c r="G833" s="8">
        <v>79352</v>
      </c>
      <c r="H833" s="9">
        <v>0</v>
      </c>
      <c r="I833" s="1" t="s">
        <v>29</v>
      </c>
      <c r="J833" s="1" t="s">
        <v>30</v>
      </c>
      <c r="K833" s="10" t="s">
        <v>36</v>
      </c>
    </row>
    <row r="834" spans="1:11" x14ac:dyDescent="0.3">
      <c r="A834" s="6" t="s">
        <v>25</v>
      </c>
      <c r="B834" s="1" t="s">
        <v>57</v>
      </c>
      <c r="C834" s="1" t="s">
        <v>39</v>
      </c>
      <c r="D834" s="1" t="s">
        <v>28</v>
      </c>
      <c r="E834" s="1">
        <v>55</v>
      </c>
      <c r="F834" s="7">
        <v>36977</v>
      </c>
      <c r="G834" s="8">
        <v>157812</v>
      </c>
      <c r="H834" s="9">
        <v>0.11</v>
      </c>
      <c r="I834" s="1" t="s">
        <v>29</v>
      </c>
      <c r="J834" s="1" t="s">
        <v>49</v>
      </c>
      <c r="K834" s="10" t="s">
        <v>36</v>
      </c>
    </row>
    <row r="835" spans="1:11" x14ac:dyDescent="0.3">
      <c r="A835" s="6" t="s">
        <v>62</v>
      </c>
      <c r="B835" s="1" t="s">
        <v>54</v>
      </c>
      <c r="C835" s="1" t="s">
        <v>46</v>
      </c>
      <c r="D835" s="1" t="s">
        <v>33</v>
      </c>
      <c r="E835" s="1">
        <v>27</v>
      </c>
      <c r="F835" s="7">
        <v>43354</v>
      </c>
      <c r="G835" s="8">
        <v>80745</v>
      </c>
      <c r="H835" s="9">
        <v>0</v>
      </c>
      <c r="I835" s="1" t="s">
        <v>29</v>
      </c>
      <c r="J835" s="1" t="s">
        <v>40</v>
      </c>
      <c r="K835" s="10" t="s">
        <v>36</v>
      </c>
    </row>
    <row r="836" spans="1:11" x14ac:dyDescent="0.3">
      <c r="A836" s="6" t="s">
        <v>82</v>
      </c>
      <c r="B836" s="1" t="s">
        <v>26</v>
      </c>
      <c r="C836" s="1" t="s">
        <v>32</v>
      </c>
      <c r="D836" s="1" t="s">
        <v>28</v>
      </c>
      <c r="E836" s="1">
        <v>57</v>
      </c>
      <c r="F836" s="7">
        <v>35113</v>
      </c>
      <c r="G836" s="8">
        <v>75354</v>
      </c>
      <c r="H836" s="9">
        <v>0</v>
      </c>
      <c r="I836" s="1" t="s">
        <v>29</v>
      </c>
      <c r="J836" s="1" t="s">
        <v>51</v>
      </c>
      <c r="K836" s="10">
        <v>35413</v>
      </c>
    </row>
    <row r="837" spans="1:11" x14ac:dyDescent="0.3">
      <c r="A837" s="6" t="s">
        <v>63</v>
      </c>
      <c r="B837" s="1" t="s">
        <v>54</v>
      </c>
      <c r="C837" s="1" t="s">
        <v>27</v>
      </c>
      <c r="D837" s="1" t="s">
        <v>33</v>
      </c>
      <c r="E837" s="1">
        <v>56</v>
      </c>
      <c r="F837" s="7">
        <v>43363</v>
      </c>
      <c r="G837" s="8">
        <v>78938</v>
      </c>
      <c r="H837" s="9">
        <v>0.14000000000000001</v>
      </c>
      <c r="I837" s="1" t="s">
        <v>29</v>
      </c>
      <c r="J837" s="1" t="s">
        <v>43</v>
      </c>
      <c r="K837" s="10" t="s">
        <v>36</v>
      </c>
    </row>
    <row r="838" spans="1:11" x14ac:dyDescent="0.3">
      <c r="A838" s="6" t="s">
        <v>73</v>
      </c>
      <c r="B838" s="1" t="s">
        <v>54</v>
      </c>
      <c r="C838" s="1" t="s">
        <v>46</v>
      </c>
      <c r="D838" s="1" t="s">
        <v>33</v>
      </c>
      <c r="E838" s="1">
        <v>59</v>
      </c>
      <c r="F838" s="7">
        <v>39701</v>
      </c>
      <c r="G838" s="8">
        <v>96313</v>
      </c>
      <c r="H838" s="9">
        <v>0</v>
      </c>
      <c r="I838" s="1" t="s">
        <v>29</v>
      </c>
      <c r="J838" s="1" t="s">
        <v>51</v>
      </c>
      <c r="K838" s="10" t="s">
        <v>36</v>
      </c>
    </row>
    <row r="839" spans="1:11" x14ac:dyDescent="0.3">
      <c r="A839" s="6" t="s">
        <v>37</v>
      </c>
      <c r="B839" s="1" t="s">
        <v>54</v>
      </c>
      <c r="C839" s="1" t="s">
        <v>39</v>
      </c>
      <c r="D839" s="1" t="s">
        <v>33</v>
      </c>
      <c r="E839" s="1">
        <v>45</v>
      </c>
      <c r="F839" s="7">
        <v>40511</v>
      </c>
      <c r="G839" s="8">
        <v>153767</v>
      </c>
      <c r="H839" s="9">
        <v>0.27</v>
      </c>
      <c r="I839" s="1" t="s">
        <v>29</v>
      </c>
      <c r="J839" s="1" t="s">
        <v>43</v>
      </c>
      <c r="K839" s="10" t="s">
        <v>36</v>
      </c>
    </row>
    <row r="840" spans="1:11" x14ac:dyDescent="0.3">
      <c r="A840" s="6" t="s">
        <v>47</v>
      </c>
      <c r="B840" s="1" t="s">
        <v>57</v>
      </c>
      <c r="C840" s="1" t="s">
        <v>27</v>
      </c>
      <c r="D840" s="1" t="s">
        <v>28</v>
      </c>
      <c r="E840" s="1">
        <v>42</v>
      </c>
      <c r="F840" s="7">
        <v>42266</v>
      </c>
      <c r="G840" s="8">
        <v>103423</v>
      </c>
      <c r="H840" s="9">
        <v>0.06</v>
      </c>
      <c r="I840" s="1" t="s">
        <v>29</v>
      </c>
      <c r="J840" s="1" t="s">
        <v>58</v>
      </c>
      <c r="K840" s="10" t="s">
        <v>36</v>
      </c>
    </row>
    <row r="841" spans="1:11" x14ac:dyDescent="0.3">
      <c r="A841" s="6" t="s">
        <v>53</v>
      </c>
      <c r="B841" s="1" t="s">
        <v>54</v>
      </c>
      <c r="C841" s="1" t="s">
        <v>46</v>
      </c>
      <c r="D841" s="1" t="s">
        <v>28</v>
      </c>
      <c r="E841" s="1">
        <v>25</v>
      </c>
      <c r="F841" s="7">
        <v>44370</v>
      </c>
      <c r="G841" s="8">
        <v>86464</v>
      </c>
      <c r="H841" s="9">
        <v>0</v>
      </c>
      <c r="I841" s="1" t="s">
        <v>34</v>
      </c>
      <c r="J841" s="1" t="s">
        <v>55</v>
      </c>
      <c r="K841" s="10" t="s">
        <v>36</v>
      </c>
    </row>
    <row r="842" spans="1:11" x14ac:dyDescent="0.3">
      <c r="A842" s="6" t="s">
        <v>53</v>
      </c>
      <c r="B842" s="1" t="s">
        <v>54</v>
      </c>
      <c r="C842" s="1" t="s">
        <v>46</v>
      </c>
      <c r="D842" s="1" t="s">
        <v>28</v>
      </c>
      <c r="E842" s="1">
        <v>29</v>
      </c>
      <c r="F842" s="7">
        <v>43114</v>
      </c>
      <c r="G842" s="8">
        <v>80516</v>
      </c>
      <c r="H842" s="9">
        <v>0</v>
      </c>
      <c r="I842" s="1" t="s">
        <v>59</v>
      </c>
      <c r="J842" s="1" t="s">
        <v>76</v>
      </c>
      <c r="K842" s="10" t="s">
        <v>36</v>
      </c>
    </row>
    <row r="843" spans="1:11" x14ac:dyDescent="0.3">
      <c r="A843" s="6" t="s">
        <v>47</v>
      </c>
      <c r="B843" s="1" t="s">
        <v>52</v>
      </c>
      <c r="C843" s="1" t="s">
        <v>39</v>
      </c>
      <c r="D843" s="1" t="s">
        <v>28</v>
      </c>
      <c r="E843" s="1">
        <v>33</v>
      </c>
      <c r="F843" s="7">
        <v>41507</v>
      </c>
      <c r="G843" s="8">
        <v>105390</v>
      </c>
      <c r="H843" s="9">
        <v>0.06</v>
      </c>
      <c r="I843" s="1" t="s">
        <v>29</v>
      </c>
      <c r="J843" s="1" t="s">
        <v>58</v>
      </c>
      <c r="K843" s="10" t="s">
        <v>36</v>
      </c>
    </row>
    <row r="844" spans="1:11" x14ac:dyDescent="0.3">
      <c r="A844" s="6" t="s">
        <v>75</v>
      </c>
      <c r="B844" s="1" t="s">
        <v>26</v>
      </c>
      <c r="C844" s="1" t="s">
        <v>32</v>
      </c>
      <c r="D844" s="1" t="s">
        <v>28</v>
      </c>
      <c r="E844" s="1">
        <v>50</v>
      </c>
      <c r="F844" s="7">
        <v>44445</v>
      </c>
      <c r="G844" s="8">
        <v>83418</v>
      </c>
      <c r="H844" s="9">
        <v>0</v>
      </c>
      <c r="I844" s="1" t="s">
        <v>34</v>
      </c>
      <c r="J844" s="1" t="s">
        <v>55</v>
      </c>
      <c r="K844" s="10" t="s">
        <v>36</v>
      </c>
    </row>
    <row r="845" spans="1:11" x14ac:dyDescent="0.3">
      <c r="A845" s="6" t="s">
        <v>84</v>
      </c>
      <c r="B845" s="1" t="s">
        <v>26</v>
      </c>
      <c r="C845" s="1" t="s">
        <v>39</v>
      </c>
      <c r="D845" s="1" t="s">
        <v>28</v>
      </c>
      <c r="E845" s="1">
        <v>45</v>
      </c>
      <c r="F845" s="7">
        <v>43042</v>
      </c>
      <c r="G845" s="8">
        <v>66660</v>
      </c>
      <c r="H845" s="9">
        <v>0</v>
      </c>
      <c r="I845" s="1" t="s">
        <v>29</v>
      </c>
      <c r="J845" s="1" t="s">
        <v>51</v>
      </c>
      <c r="K845" s="10" t="s">
        <v>36</v>
      </c>
    </row>
    <row r="846" spans="1:11" x14ac:dyDescent="0.3">
      <c r="A846" s="6" t="s">
        <v>47</v>
      </c>
      <c r="B846" s="1" t="s">
        <v>52</v>
      </c>
      <c r="C846" s="1" t="s">
        <v>39</v>
      </c>
      <c r="D846" s="1" t="s">
        <v>33</v>
      </c>
      <c r="E846" s="1">
        <v>59</v>
      </c>
      <c r="F846" s="7">
        <v>42165</v>
      </c>
      <c r="G846" s="8">
        <v>101985</v>
      </c>
      <c r="H846" s="9">
        <v>7.0000000000000007E-2</v>
      </c>
      <c r="I846" s="1" t="s">
        <v>29</v>
      </c>
      <c r="J846" s="1" t="s">
        <v>49</v>
      </c>
      <c r="K846" s="10" t="s">
        <v>36</v>
      </c>
    </row>
    <row r="847" spans="1:11" x14ac:dyDescent="0.3">
      <c r="A847" s="6" t="s">
        <v>56</v>
      </c>
      <c r="B847" s="1" t="s">
        <v>38</v>
      </c>
      <c r="C847" s="1" t="s">
        <v>46</v>
      </c>
      <c r="D847" s="1" t="s">
        <v>33</v>
      </c>
      <c r="E847" s="1">
        <v>29</v>
      </c>
      <c r="F847" s="7">
        <v>43439</v>
      </c>
      <c r="G847" s="8">
        <v>199504</v>
      </c>
      <c r="H847" s="9">
        <v>0.3</v>
      </c>
      <c r="I847" s="1" t="s">
        <v>29</v>
      </c>
      <c r="J847" s="1" t="s">
        <v>51</v>
      </c>
      <c r="K847" s="10" t="s">
        <v>36</v>
      </c>
    </row>
    <row r="848" spans="1:11" x14ac:dyDescent="0.3">
      <c r="A848" s="6" t="s">
        <v>25</v>
      </c>
      <c r="B848" s="1" t="s">
        <v>45</v>
      </c>
      <c r="C848" s="1" t="s">
        <v>46</v>
      </c>
      <c r="D848" s="1" t="s">
        <v>28</v>
      </c>
      <c r="E848" s="1">
        <v>52</v>
      </c>
      <c r="F848" s="7">
        <v>38995</v>
      </c>
      <c r="G848" s="8">
        <v>147966</v>
      </c>
      <c r="H848" s="9">
        <v>0.11</v>
      </c>
      <c r="I848" s="1" t="s">
        <v>59</v>
      </c>
      <c r="J848" s="1" t="s">
        <v>61</v>
      </c>
      <c r="K848" s="10">
        <v>43608</v>
      </c>
    </row>
    <row r="849" spans="1:11" x14ac:dyDescent="0.3">
      <c r="A849" s="6" t="s">
        <v>74</v>
      </c>
      <c r="B849" s="1" t="s">
        <v>52</v>
      </c>
      <c r="C849" s="1" t="s">
        <v>39</v>
      </c>
      <c r="D849" s="1" t="s">
        <v>33</v>
      </c>
      <c r="E849" s="1">
        <v>58</v>
      </c>
      <c r="F849" s="7">
        <v>41810</v>
      </c>
      <c r="G849" s="8">
        <v>41728</v>
      </c>
      <c r="H849" s="9">
        <v>0</v>
      </c>
      <c r="I849" s="1" t="s">
        <v>34</v>
      </c>
      <c r="J849" s="1" t="s">
        <v>35</v>
      </c>
      <c r="K849" s="10" t="s">
        <v>36</v>
      </c>
    </row>
    <row r="850" spans="1:11" x14ac:dyDescent="0.3">
      <c r="A850" s="6" t="s">
        <v>42</v>
      </c>
      <c r="B850" s="1" t="s">
        <v>50</v>
      </c>
      <c r="C850" s="1" t="s">
        <v>39</v>
      </c>
      <c r="D850" s="1" t="s">
        <v>33</v>
      </c>
      <c r="E850" s="1">
        <v>62</v>
      </c>
      <c r="F850" s="7">
        <v>40591</v>
      </c>
      <c r="G850" s="8">
        <v>94422</v>
      </c>
      <c r="H850" s="9">
        <v>0</v>
      </c>
      <c r="I850" s="1" t="s">
        <v>29</v>
      </c>
      <c r="J850" s="1" t="s">
        <v>43</v>
      </c>
      <c r="K850" s="10" t="s">
        <v>36</v>
      </c>
    </row>
    <row r="851" spans="1:11" x14ac:dyDescent="0.3">
      <c r="A851" s="6" t="s">
        <v>37</v>
      </c>
      <c r="B851" s="1" t="s">
        <v>45</v>
      </c>
      <c r="C851" s="1" t="s">
        <v>46</v>
      </c>
      <c r="D851" s="1" t="s">
        <v>33</v>
      </c>
      <c r="E851" s="1">
        <v>31</v>
      </c>
      <c r="F851" s="7">
        <v>42184</v>
      </c>
      <c r="G851" s="8">
        <v>191026</v>
      </c>
      <c r="H851" s="9">
        <v>0.16</v>
      </c>
      <c r="I851" s="1" t="s">
        <v>29</v>
      </c>
      <c r="J851" s="1" t="s">
        <v>58</v>
      </c>
      <c r="K851" s="10" t="s">
        <v>36</v>
      </c>
    </row>
    <row r="852" spans="1:11" x14ac:dyDescent="0.3">
      <c r="A852" s="6" t="s">
        <v>56</v>
      </c>
      <c r="B852" s="1" t="s">
        <v>26</v>
      </c>
      <c r="C852" s="1" t="s">
        <v>27</v>
      </c>
      <c r="D852" s="1" t="s">
        <v>33</v>
      </c>
      <c r="E852" s="1">
        <v>42</v>
      </c>
      <c r="F852" s="7">
        <v>40511</v>
      </c>
      <c r="G852" s="8">
        <v>186725</v>
      </c>
      <c r="H852" s="9">
        <v>0.32</v>
      </c>
      <c r="I852" s="1" t="s">
        <v>59</v>
      </c>
      <c r="J852" s="1" t="s">
        <v>60</v>
      </c>
      <c r="K852" s="10" t="s">
        <v>36</v>
      </c>
    </row>
    <row r="853" spans="1:11" x14ac:dyDescent="0.3">
      <c r="A853" s="6" t="s">
        <v>74</v>
      </c>
      <c r="B853" s="1" t="s">
        <v>52</v>
      </c>
      <c r="C853" s="1" t="s">
        <v>27</v>
      </c>
      <c r="D853" s="1" t="s">
        <v>28</v>
      </c>
      <c r="E853" s="1">
        <v>56</v>
      </c>
      <c r="F853" s="7">
        <v>40045</v>
      </c>
      <c r="G853" s="8">
        <v>52800</v>
      </c>
      <c r="H853" s="9">
        <v>0</v>
      </c>
      <c r="I853" s="1" t="s">
        <v>29</v>
      </c>
      <c r="J853" s="1" t="s">
        <v>43</v>
      </c>
      <c r="K853" s="10" t="s">
        <v>36</v>
      </c>
    </row>
    <row r="854" spans="1:11" x14ac:dyDescent="0.3">
      <c r="A854" s="6" t="s">
        <v>73</v>
      </c>
      <c r="B854" s="1" t="s">
        <v>54</v>
      </c>
      <c r="C854" s="1" t="s">
        <v>39</v>
      </c>
      <c r="D854" s="1" t="s">
        <v>33</v>
      </c>
      <c r="E854" s="1">
        <v>54</v>
      </c>
      <c r="F854" s="7">
        <v>40517</v>
      </c>
      <c r="G854" s="8">
        <v>113982</v>
      </c>
      <c r="H854" s="9">
        <v>0</v>
      </c>
      <c r="I854" s="1" t="s">
        <v>29</v>
      </c>
      <c r="J854" s="1" t="s">
        <v>30</v>
      </c>
      <c r="K854" s="10" t="s">
        <v>36</v>
      </c>
    </row>
    <row r="855" spans="1:11" x14ac:dyDescent="0.3">
      <c r="A855" s="6" t="s">
        <v>44</v>
      </c>
      <c r="B855" s="1" t="s">
        <v>45</v>
      </c>
      <c r="C855" s="1" t="s">
        <v>27</v>
      </c>
      <c r="D855" s="1" t="s">
        <v>28</v>
      </c>
      <c r="E855" s="1">
        <v>54</v>
      </c>
      <c r="F855" s="7">
        <v>44271</v>
      </c>
      <c r="G855" s="8">
        <v>56239</v>
      </c>
      <c r="H855" s="9">
        <v>0</v>
      </c>
      <c r="I855" s="1" t="s">
        <v>34</v>
      </c>
      <c r="J855" s="1" t="s">
        <v>35</v>
      </c>
      <c r="K855" s="10" t="s">
        <v>36</v>
      </c>
    </row>
    <row r="856" spans="1:11" x14ac:dyDescent="0.3">
      <c r="A856" s="6" t="s">
        <v>48</v>
      </c>
      <c r="B856" s="1" t="s">
        <v>45</v>
      </c>
      <c r="C856" s="1" t="s">
        <v>32</v>
      </c>
      <c r="D856" s="1" t="s">
        <v>33</v>
      </c>
      <c r="E856" s="1">
        <v>26</v>
      </c>
      <c r="F856" s="7">
        <v>44257</v>
      </c>
      <c r="G856" s="8">
        <v>44732</v>
      </c>
      <c r="H856" s="9">
        <v>0</v>
      </c>
      <c r="I856" s="1" t="s">
        <v>59</v>
      </c>
      <c r="J856" s="1" t="s">
        <v>61</v>
      </c>
      <c r="K856" s="10" t="s">
        <v>36</v>
      </c>
    </row>
    <row r="857" spans="1:11" x14ac:dyDescent="0.3">
      <c r="A857" s="6" t="s">
        <v>37</v>
      </c>
      <c r="B857" s="1" t="s">
        <v>57</v>
      </c>
      <c r="C857" s="1" t="s">
        <v>46</v>
      </c>
      <c r="D857" s="1" t="s">
        <v>33</v>
      </c>
      <c r="E857" s="1">
        <v>49</v>
      </c>
      <c r="F857" s="7">
        <v>41816</v>
      </c>
      <c r="G857" s="8">
        <v>153961</v>
      </c>
      <c r="H857" s="9">
        <v>0.25</v>
      </c>
      <c r="I857" s="1" t="s">
        <v>34</v>
      </c>
      <c r="J857" s="1" t="s">
        <v>55</v>
      </c>
      <c r="K857" s="10" t="s">
        <v>36</v>
      </c>
    </row>
    <row r="858" spans="1:11" x14ac:dyDescent="0.3">
      <c r="A858" s="6" t="s">
        <v>78</v>
      </c>
      <c r="B858" s="1" t="s">
        <v>26</v>
      </c>
      <c r="C858" s="1" t="s">
        <v>39</v>
      </c>
      <c r="D858" s="1" t="s">
        <v>28</v>
      </c>
      <c r="E858" s="1">
        <v>45</v>
      </c>
      <c r="F858" s="7">
        <v>39069</v>
      </c>
      <c r="G858" s="8">
        <v>68337</v>
      </c>
      <c r="H858" s="9">
        <v>0</v>
      </c>
      <c r="I858" s="1" t="s">
        <v>34</v>
      </c>
      <c r="J858" s="1" t="s">
        <v>35</v>
      </c>
      <c r="K858" s="10" t="s">
        <v>36</v>
      </c>
    </row>
    <row r="859" spans="1:11" x14ac:dyDescent="0.3">
      <c r="A859" s="6" t="s">
        <v>25</v>
      </c>
      <c r="B859" s="1" t="s">
        <v>52</v>
      </c>
      <c r="C859" s="1" t="s">
        <v>46</v>
      </c>
      <c r="D859" s="1" t="s">
        <v>33</v>
      </c>
      <c r="E859" s="1">
        <v>45</v>
      </c>
      <c r="F859" s="7">
        <v>40305</v>
      </c>
      <c r="G859" s="8">
        <v>145093</v>
      </c>
      <c r="H859" s="9">
        <v>0.12</v>
      </c>
      <c r="I859" s="1" t="s">
        <v>29</v>
      </c>
      <c r="J859" s="1" t="s">
        <v>40</v>
      </c>
      <c r="K859" s="10" t="s">
        <v>36</v>
      </c>
    </row>
    <row r="860" spans="1:11" x14ac:dyDescent="0.3">
      <c r="A860" s="6" t="s">
        <v>85</v>
      </c>
      <c r="B860" s="1" t="s">
        <v>26</v>
      </c>
      <c r="C860" s="1" t="s">
        <v>39</v>
      </c>
      <c r="D860" s="1" t="s">
        <v>28</v>
      </c>
      <c r="E860" s="1">
        <v>26</v>
      </c>
      <c r="F860" s="7">
        <v>44266</v>
      </c>
      <c r="G860" s="8">
        <v>74170</v>
      </c>
      <c r="H860" s="9">
        <v>0</v>
      </c>
      <c r="I860" s="1" t="s">
        <v>29</v>
      </c>
      <c r="J860" s="1" t="s">
        <v>51</v>
      </c>
      <c r="K860" s="10" t="s">
        <v>36</v>
      </c>
    </row>
    <row r="861" spans="1:11" x14ac:dyDescent="0.3">
      <c r="A861" s="6" t="s">
        <v>71</v>
      </c>
      <c r="B861" s="1" t="s">
        <v>54</v>
      </c>
      <c r="C861" s="1" t="s">
        <v>27</v>
      </c>
      <c r="D861" s="1" t="s">
        <v>33</v>
      </c>
      <c r="E861" s="1">
        <v>59</v>
      </c>
      <c r="F861" s="7">
        <v>35153</v>
      </c>
      <c r="G861" s="8">
        <v>62605</v>
      </c>
      <c r="H861" s="9">
        <v>0</v>
      </c>
      <c r="I861" s="1" t="s">
        <v>29</v>
      </c>
      <c r="J861" s="1" t="s">
        <v>51</v>
      </c>
      <c r="K861" s="10" t="s">
        <v>36</v>
      </c>
    </row>
    <row r="862" spans="1:11" x14ac:dyDescent="0.3">
      <c r="A862" s="6" t="s">
        <v>47</v>
      </c>
      <c r="B862" s="1" t="s">
        <v>26</v>
      </c>
      <c r="C862" s="1" t="s">
        <v>39</v>
      </c>
      <c r="D862" s="1" t="s">
        <v>28</v>
      </c>
      <c r="E862" s="1">
        <v>51</v>
      </c>
      <c r="F862" s="7">
        <v>43903</v>
      </c>
      <c r="G862" s="8">
        <v>107195</v>
      </c>
      <c r="H862" s="9">
        <v>0.09</v>
      </c>
      <c r="I862" s="1" t="s">
        <v>29</v>
      </c>
      <c r="J862" s="1" t="s">
        <v>51</v>
      </c>
      <c r="K862" s="10" t="s">
        <v>36</v>
      </c>
    </row>
    <row r="863" spans="1:11" x14ac:dyDescent="0.3">
      <c r="A863" s="6" t="s">
        <v>25</v>
      </c>
      <c r="B863" s="1" t="s">
        <v>57</v>
      </c>
      <c r="C863" s="1" t="s">
        <v>39</v>
      </c>
      <c r="D863" s="1" t="s">
        <v>33</v>
      </c>
      <c r="E863" s="1">
        <v>45</v>
      </c>
      <c r="F863" s="7">
        <v>43111</v>
      </c>
      <c r="G863" s="8">
        <v>127422</v>
      </c>
      <c r="H863" s="9">
        <v>0.15</v>
      </c>
      <c r="I863" s="1" t="s">
        <v>29</v>
      </c>
      <c r="J863" s="1" t="s">
        <v>58</v>
      </c>
      <c r="K863" s="10" t="s">
        <v>36</v>
      </c>
    </row>
    <row r="864" spans="1:11" x14ac:dyDescent="0.3">
      <c r="A864" s="6" t="s">
        <v>37</v>
      </c>
      <c r="B864" s="1" t="s">
        <v>50</v>
      </c>
      <c r="C864" s="1" t="s">
        <v>27</v>
      </c>
      <c r="D864" s="1" t="s">
        <v>28</v>
      </c>
      <c r="E864" s="1">
        <v>35</v>
      </c>
      <c r="F864" s="7">
        <v>42912</v>
      </c>
      <c r="G864" s="8">
        <v>161269</v>
      </c>
      <c r="H864" s="9">
        <v>0.27</v>
      </c>
      <c r="I864" s="1" t="s">
        <v>29</v>
      </c>
      <c r="J864" s="1" t="s">
        <v>49</v>
      </c>
      <c r="K864" s="10" t="s">
        <v>36</v>
      </c>
    </row>
    <row r="865" spans="1:11" x14ac:dyDescent="0.3">
      <c r="A865" s="6" t="s">
        <v>56</v>
      </c>
      <c r="B865" s="1" t="s">
        <v>57</v>
      </c>
      <c r="C865" s="1" t="s">
        <v>46</v>
      </c>
      <c r="D865" s="1" t="s">
        <v>28</v>
      </c>
      <c r="E865" s="1">
        <v>32</v>
      </c>
      <c r="F865" s="7">
        <v>41675</v>
      </c>
      <c r="G865" s="8">
        <v>203445</v>
      </c>
      <c r="H865" s="9">
        <v>0.34</v>
      </c>
      <c r="I865" s="1" t="s">
        <v>59</v>
      </c>
      <c r="J865" s="1" t="s">
        <v>60</v>
      </c>
      <c r="K865" s="10" t="s">
        <v>36</v>
      </c>
    </row>
    <row r="866" spans="1:11" x14ac:dyDescent="0.3">
      <c r="A866" s="6" t="s">
        <v>25</v>
      </c>
      <c r="B866" s="1" t="s">
        <v>52</v>
      </c>
      <c r="C866" s="1" t="s">
        <v>27</v>
      </c>
      <c r="D866" s="1" t="s">
        <v>28</v>
      </c>
      <c r="E866" s="1">
        <v>37</v>
      </c>
      <c r="F866" s="7">
        <v>40560</v>
      </c>
      <c r="G866" s="8">
        <v>131353</v>
      </c>
      <c r="H866" s="9">
        <v>0.11</v>
      </c>
      <c r="I866" s="1" t="s">
        <v>34</v>
      </c>
      <c r="J866" s="1" t="s">
        <v>55</v>
      </c>
      <c r="K866" s="10" t="s">
        <v>36</v>
      </c>
    </row>
    <row r="867" spans="1:11" x14ac:dyDescent="0.3">
      <c r="A867" s="6" t="s">
        <v>86</v>
      </c>
      <c r="B867" s="1" t="s">
        <v>26</v>
      </c>
      <c r="C867" s="1" t="s">
        <v>32</v>
      </c>
      <c r="D867" s="1" t="s">
        <v>33</v>
      </c>
      <c r="E867" s="1">
        <v>45</v>
      </c>
      <c r="F867" s="7">
        <v>40253</v>
      </c>
      <c r="G867" s="8">
        <v>88182</v>
      </c>
      <c r="H867" s="9">
        <v>0</v>
      </c>
      <c r="I867" s="1" t="s">
        <v>34</v>
      </c>
      <c r="J867" s="1" t="s">
        <v>68</v>
      </c>
      <c r="K867" s="10" t="s">
        <v>36</v>
      </c>
    </row>
    <row r="868" spans="1:11" x14ac:dyDescent="0.3">
      <c r="A868" s="6" t="s">
        <v>67</v>
      </c>
      <c r="B868" s="1" t="s">
        <v>26</v>
      </c>
      <c r="C868" s="1" t="s">
        <v>39</v>
      </c>
      <c r="D868" s="1" t="s">
        <v>33</v>
      </c>
      <c r="E868" s="1">
        <v>61</v>
      </c>
      <c r="F868" s="7">
        <v>43703</v>
      </c>
      <c r="G868" s="8">
        <v>75780</v>
      </c>
      <c r="H868" s="9">
        <v>0</v>
      </c>
      <c r="I868" s="1" t="s">
        <v>29</v>
      </c>
      <c r="J868" s="1" t="s">
        <v>30</v>
      </c>
      <c r="K868" s="10" t="s">
        <v>36</v>
      </c>
    </row>
    <row r="869" spans="1:11" x14ac:dyDescent="0.3">
      <c r="A869" s="6" t="s">
        <v>66</v>
      </c>
      <c r="B869" s="1" t="s">
        <v>45</v>
      </c>
      <c r="C869" s="1" t="s">
        <v>27</v>
      </c>
      <c r="D869" s="1" t="s">
        <v>28</v>
      </c>
      <c r="E869" s="1">
        <v>45</v>
      </c>
      <c r="F869" s="7">
        <v>43557</v>
      </c>
      <c r="G869" s="8">
        <v>52621</v>
      </c>
      <c r="H869" s="9">
        <v>0</v>
      </c>
      <c r="I869" s="1" t="s">
        <v>34</v>
      </c>
      <c r="J869" s="1" t="s">
        <v>64</v>
      </c>
      <c r="K869" s="10" t="s">
        <v>36</v>
      </c>
    </row>
    <row r="870" spans="1:11" x14ac:dyDescent="0.3">
      <c r="A870" s="6" t="s">
        <v>63</v>
      </c>
      <c r="B870" s="1" t="s">
        <v>54</v>
      </c>
      <c r="C870" s="1" t="s">
        <v>27</v>
      </c>
      <c r="D870" s="1" t="s">
        <v>33</v>
      </c>
      <c r="E870" s="1">
        <v>60</v>
      </c>
      <c r="F870" s="7">
        <v>43146</v>
      </c>
      <c r="G870" s="8">
        <v>106079</v>
      </c>
      <c r="H870" s="9">
        <v>0.14000000000000001</v>
      </c>
      <c r="I870" s="1" t="s">
        <v>29</v>
      </c>
      <c r="J870" s="1" t="s">
        <v>51</v>
      </c>
      <c r="K870" s="10">
        <v>44295</v>
      </c>
    </row>
    <row r="871" spans="1:11" x14ac:dyDescent="0.3">
      <c r="A871" s="6" t="s">
        <v>75</v>
      </c>
      <c r="B871" s="1" t="s">
        <v>26</v>
      </c>
      <c r="C871" s="1" t="s">
        <v>46</v>
      </c>
      <c r="D871" s="1" t="s">
        <v>33</v>
      </c>
      <c r="E871" s="1">
        <v>30</v>
      </c>
      <c r="F871" s="7">
        <v>42777</v>
      </c>
      <c r="G871" s="8">
        <v>92058</v>
      </c>
      <c r="H871" s="9">
        <v>0</v>
      </c>
      <c r="I871" s="1" t="s">
        <v>29</v>
      </c>
      <c r="J871" s="1" t="s">
        <v>51</v>
      </c>
      <c r="K871" s="10" t="s">
        <v>36</v>
      </c>
    </row>
    <row r="872" spans="1:11" x14ac:dyDescent="0.3">
      <c r="A872" s="6" t="s">
        <v>71</v>
      </c>
      <c r="B872" s="1" t="s">
        <v>54</v>
      </c>
      <c r="C872" s="1" t="s">
        <v>32</v>
      </c>
      <c r="D872" s="1" t="s">
        <v>33</v>
      </c>
      <c r="E872" s="1">
        <v>64</v>
      </c>
      <c r="F872" s="7">
        <v>43527</v>
      </c>
      <c r="G872" s="8">
        <v>67114</v>
      </c>
      <c r="H872" s="9">
        <v>0</v>
      </c>
      <c r="I872" s="1" t="s">
        <v>29</v>
      </c>
      <c r="J872" s="1" t="s">
        <v>43</v>
      </c>
      <c r="K872" s="10" t="s">
        <v>36</v>
      </c>
    </row>
    <row r="873" spans="1:11" x14ac:dyDescent="0.3">
      <c r="A873" s="6" t="s">
        <v>66</v>
      </c>
      <c r="B873" s="1" t="s">
        <v>38</v>
      </c>
      <c r="C873" s="1" t="s">
        <v>27</v>
      </c>
      <c r="D873" s="1" t="s">
        <v>28</v>
      </c>
      <c r="E873" s="1">
        <v>25</v>
      </c>
      <c r="F873" s="7">
        <v>44024</v>
      </c>
      <c r="G873" s="8">
        <v>56565</v>
      </c>
      <c r="H873" s="9">
        <v>0</v>
      </c>
      <c r="I873" s="1" t="s">
        <v>59</v>
      </c>
      <c r="J873" s="1" t="s">
        <v>76</v>
      </c>
      <c r="K873" s="10" t="s">
        <v>36</v>
      </c>
    </row>
    <row r="874" spans="1:11" x14ac:dyDescent="0.3">
      <c r="A874" s="6" t="s">
        <v>70</v>
      </c>
      <c r="B874" s="1" t="s">
        <v>52</v>
      </c>
      <c r="C874" s="1" t="s">
        <v>32</v>
      </c>
      <c r="D874" s="1" t="s">
        <v>28</v>
      </c>
      <c r="E874" s="1">
        <v>61</v>
      </c>
      <c r="F874" s="7">
        <v>40683</v>
      </c>
      <c r="G874" s="8">
        <v>64937</v>
      </c>
      <c r="H874" s="9">
        <v>0</v>
      </c>
      <c r="I874" s="1" t="s">
        <v>29</v>
      </c>
      <c r="J874" s="1" t="s">
        <v>43</v>
      </c>
      <c r="K874" s="10" t="s">
        <v>36</v>
      </c>
    </row>
    <row r="875" spans="1:11" x14ac:dyDescent="0.3">
      <c r="A875" s="6" t="s">
        <v>47</v>
      </c>
      <c r="B875" s="1" t="s">
        <v>57</v>
      </c>
      <c r="C875" s="1" t="s">
        <v>32</v>
      </c>
      <c r="D875" s="1" t="s">
        <v>28</v>
      </c>
      <c r="E875" s="1">
        <v>65</v>
      </c>
      <c r="F875" s="7">
        <v>38967</v>
      </c>
      <c r="G875" s="8">
        <v>127626</v>
      </c>
      <c r="H875" s="9">
        <v>0.1</v>
      </c>
      <c r="I875" s="1" t="s">
        <v>29</v>
      </c>
      <c r="J875" s="1" t="s">
        <v>49</v>
      </c>
      <c r="K875" s="10" t="s">
        <v>36</v>
      </c>
    </row>
    <row r="876" spans="1:11" x14ac:dyDescent="0.3">
      <c r="A876" s="6" t="s">
        <v>78</v>
      </c>
      <c r="B876" s="1" t="s">
        <v>26</v>
      </c>
      <c r="C876" s="1" t="s">
        <v>46</v>
      </c>
      <c r="D876" s="1" t="s">
        <v>33</v>
      </c>
      <c r="E876" s="1">
        <v>61</v>
      </c>
      <c r="F876" s="7">
        <v>38013</v>
      </c>
      <c r="G876" s="8">
        <v>88478</v>
      </c>
      <c r="H876" s="9">
        <v>0</v>
      </c>
      <c r="I876" s="1" t="s">
        <v>29</v>
      </c>
      <c r="J876" s="1" t="s">
        <v>51</v>
      </c>
      <c r="K876" s="10" t="s">
        <v>36</v>
      </c>
    </row>
    <row r="877" spans="1:11" x14ac:dyDescent="0.3">
      <c r="A877" s="6" t="s">
        <v>41</v>
      </c>
      <c r="B877" s="1" t="s">
        <v>26</v>
      </c>
      <c r="C877" s="1" t="s">
        <v>39</v>
      </c>
      <c r="D877" s="1" t="s">
        <v>28</v>
      </c>
      <c r="E877" s="1">
        <v>48</v>
      </c>
      <c r="F877" s="7">
        <v>41749</v>
      </c>
      <c r="G877" s="8">
        <v>91679</v>
      </c>
      <c r="H877" s="9">
        <v>7.0000000000000007E-2</v>
      </c>
      <c r="I877" s="1" t="s">
        <v>34</v>
      </c>
      <c r="J877" s="1" t="s">
        <v>35</v>
      </c>
      <c r="K877" s="10" t="s">
        <v>36</v>
      </c>
    </row>
    <row r="878" spans="1:11" x14ac:dyDescent="0.3">
      <c r="A878" s="6" t="s">
        <v>37</v>
      </c>
      <c r="B878" s="1" t="s">
        <v>45</v>
      </c>
      <c r="C878" s="1" t="s">
        <v>46</v>
      </c>
      <c r="D878" s="1" t="s">
        <v>33</v>
      </c>
      <c r="E878" s="1">
        <v>58</v>
      </c>
      <c r="F878" s="7">
        <v>33682</v>
      </c>
      <c r="G878" s="8">
        <v>199848</v>
      </c>
      <c r="H878" s="9">
        <v>0.16</v>
      </c>
      <c r="I878" s="1" t="s">
        <v>34</v>
      </c>
      <c r="J878" s="1" t="s">
        <v>35</v>
      </c>
      <c r="K878" s="10" t="s">
        <v>36</v>
      </c>
    </row>
    <row r="879" spans="1:11" x14ac:dyDescent="0.3">
      <c r="A879" s="6" t="s">
        <v>79</v>
      </c>
      <c r="B879" s="1" t="s">
        <v>26</v>
      </c>
      <c r="C879" s="1" t="s">
        <v>32</v>
      </c>
      <c r="D879" s="1" t="s">
        <v>33</v>
      </c>
      <c r="E879" s="1">
        <v>34</v>
      </c>
      <c r="F879" s="7">
        <v>43414</v>
      </c>
      <c r="G879" s="8">
        <v>61944</v>
      </c>
      <c r="H879" s="9">
        <v>0</v>
      </c>
      <c r="I879" s="1" t="s">
        <v>34</v>
      </c>
      <c r="J879" s="1" t="s">
        <v>55</v>
      </c>
      <c r="K879" s="10" t="s">
        <v>36</v>
      </c>
    </row>
    <row r="880" spans="1:11" x14ac:dyDescent="0.3">
      <c r="A880" s="6" t="s">
        <v>25</v>
      </c>
      <c r="B880" s="1" t="s">
        <v>45</v>
      </c>
      <c r="C880" s="1" t="s">
        <v>39</v>
      </c>
      <c r="D880" s="1" t="s">
        <v>28</v>
      </c>
      <c r="E880" s="1">
        <v>30</v>
      </c>
      <c r="F880" s="7">
        <v>42960</v>
      </c>
      <c r="G880" s="8">
        <v>154624</v>
      </c>
      <c r="H880" s="9">
        <v>0.15</v>
      </c>
      <c r="I880" s="1" t="s">
        <v>29</v>
      </c>
      <c r="J880" s="1" t="s">
        <v>51</v>
      </c>
      <c r="K880" s="10" t="s">
        <v>36</v>
      </c>
    </row>
    <row r="881" spans="1:11" x14ac:dyDescent="0.3">
      <c r="A881" s="6" t="s">
        <v>42</v>
      </c>
      <c r="B881" s="1" t="s">
        <v>50</v>
      </c>
      <c r="C881" s="1" t="s">
        <v>27</v>
      </c>
      <c r="D881" s="1" t="s">
        <v>33</v>
      </c>
      <c r="E881" s="1">
        <v>50</v>
      </c>
      <c r="F881" s="7">
        <v>40109</v>
      </c>
      <c r="G881" s="8">
        <v>79447</v>
      </c>
      <c r="H881" s="9">
        <v>0</v>
      </c>
      <c r="I881" s="1" t="s">
        <v>34</v>
      </c>
      <c r="J881" s="1" t="s">
        <v>55</v>
      </c>
      <c r="K881" s="10" t="s">
        <v>36</v>
      </c>
    </row>
    <row r="882" spans="1:11" x14ac:dyDescent="0.3">
      <c r="A882" s="6" t="s">
        <v>42</v>
      </c>
      <c r="B882" s="1" t="s">
        <v>45</v>
      </c>
      <c r="C882" s="1" t="s">
        <v>32</v>
      </c>
      <c r="D882" s="1" t="s">
        <v>33</v>
      </c>
      <c r="E882" s="1">
        <v>51</v>
      </c>
      <c r="F882" s="7">
        <v>35852</v>
      </c>
      <c r="G882" s="8">
        <v>71111</v>
      </c>
      <c r="H882" s="9">
        <v>0</v>
      </c>
      <c r="I882" s="1" t="s">
        <v>59</v>
      </c>
      <c r="J882" s="1" t="s">
        <v>61</v>
      </c>
      <c r="K882" s="10" t="s">
        <v>36</v>
      </c>
    </row>
    <row r="883" spans="1:11" x14ac:dyDescent="0.3">
      <c r="A883" s="6" t="s">
        <v>25</v>
      </c>
      <c r="B883" s="1" t="s">
        <v>45</v>
      </c>
      <c r="C883" s="1" t="s">
        <v>27</v>
      </c>
      <c r="D883" s="1" t="s">
        <v>33</v>
      </c>
      <c r="E883" s="1">
        <v>53</v>
      </c>
      <c r="F883" s="7">
        <v>41931</v>
      </c>
      <c r="G883" s="8">
        <v>159538</v>
      </c>
      <c r="H883" s="9">
        <v>0.11</v>
      </c>
      <c r="I883" s="1" t="s">
        <v>29</v>
      </c>
      <c r="J883" s="1" t="s">
        <v>49</v>
      </c>
      <c r="K883" s="10" t="s">
        <v>36</v>
      </c>
    </row>
    <row r="884" spans="1:11" x14ac:dyDescent="0.3">
      <c r="A884" s="6" t="s">
        <v>53</v>
      </c>
      <c r="B884" s="1" t="s">
        <v>54</v>
      </c>
      <c r="C884" s="1" t="s">
        <v>46</v>
      </c>
      <c r="D884" s="1" t="s">
        <v>28</v>
      </c>
      <c r="E884" s="1">
        <v>47</v>
      </c>
      <c r="F884" s="7">
        <v>43375</v>
      </c>
      <c r="G884" s="8">
        <v>111404</v>
      </c>
      <c r="H884" s="9">
        <v>0</v>
      </c>
      <c r="I884" s="1" t="s">
        <v>59</v>
      </c>
      <c r="J884" s="1" t="s">
        <v>61</v>
      </c>
      <c r="K884" s="10" t="s">
        <v>36</v>
      </c>
    </row>
    <row r="885" spans="1:11" x14ac:dyDescent="0.3">
      <c r="A885" s="6" t="s">
        <v>37</v>
      </c>
      <c r="B885" s="1" t="s">
        <v>57</v>
      </c>
      <c r="C885" s="1" t="s">
        <v>39</v>
      </c>
      <c r="D885" s="1" t="s">
        <v>33</v>
      </c>
      <c r="E885" s="1">
        <v>25</v>
      </c>
      <c r="F885" s="7">
        <v>44058</v>
      </c>
      <c r="G885" s="8">
        <v>172007</v>
      </c>
      <c r="H885" s="9">
        <v>0.26</v>
      </c>
      <c r="I885" s="1" t="s">
        <v>29</v>
      </c>
      <c r="J885" s="1" t="s">
        <v>49</v>
      </c>
      <c r="K885" s="10" t="s">
        <v>36</v>
      </c>
    </row>
    <row r="886" spans="1:11" x14ac:dyDescent="0.3">
      <c r="A886" s="6" t="s">
        <v>56</v>
      </c>
      <c r="B886" s="1" t="s">
        <v>57</v>
      </c>
      <c r="C886" s="1" t="s">
        <v>32</v>
      </c>
      <c r="D886" s="1" t="s">
        <v>28</v>
      </c>
      <c r="E886" s="1">
        <v>37</v>
      </c>
      <c r="F886" s="7">
        <v>40745</v>
      </c>
      <c r="G886" s="8">
        <v>219474</v>
      </c>
      <c r="H886" s="9">
        <v>0.36</v>
      </c>
      <c r="I886" s="1" t="s">
        <v>59</v>
      </c>
      <c r="J886" s="1" t="s">
        <v>60</v>
      </c>
      <c r="K886" s="10" t="s">
        <v>36</v>
      </c>
    </row>
    <row r="887" spans="1:11" x14ac:dyDescent="0.3">
      <c r="A887" s="6" t="s">
        <v>37</v>
      </c>
      <c r="B887" s="1" t="s">
        <v>38</v>
      </c>
      <c r="C887" s="1" t="s">
        <v>46</v>
      </c>
      <c r="D887" s="1" t="s">
        <v>33</v>
      </c>
      <c r="E887" s="1">
        <v>41</v>
      </c>
      <c r="F887" s="7">
        <v>43600</v>
      </c>
      <c r="G887" s="8">
        <v>174415</v>
      </c>
      <c r="H887" s="9">
        <v>0.23</v>
      </c>
      <c r="I887" s="1" t="s">
        <v>29</v>
      </c>
      <c r="J887" s="1" t="s">
        <v>49</v>
      </c>
      <c r="K887" s="10" t="s">
        <v>36</v>
      </c>
    </row>
    <row r="888" spans="1:11" x14ac:dyDescent="0.3">
      <c r="A888" s="6" t="s">
        <v>78</v>
      </c>
      <c r="B888" s="1" t="s">
        <v>26</v>
      </c>
      <c r="C888" s="1" t="s">
        <v>39</v>
      </c>
      <c r="D888" s="1" t="s">
        <v>28</v>
      </c>
      <c r="E888" s="1">
        <v>36</v>
      </c>
      <c r="F888" s="7">
        <v>44217</v>
      </c>
      <c r="G888" s="8">
        <v>90333</v>
      </c>
      <c r="H888" s="9">
        <v>0</v>
      </c>
      <c r="I888" s="1" t="s">
        <v>59</v>
      </c>
      <c r="J888" s="1" t="s">
        <v>61</v>
      </c>
      <c r="K888" s="10" t="s">
        <v>36</v>
      </c>
    </row>
    <row r="889" spans="1:11" x14ac:dyDescent="0.3">
      <c r="A889" s="6" t="s">
        <v>70</v>
      </c>
      <c r="B889" s="1" t="s">
        <v>52</v>
      </c>
      <c r="C889" s="1" t="s">
        <v>39</v>
      </c>
      <c r="D889" s="1" t="s">
        <v>33</v>
      </c>
      <c r="E889" s="1">
        <v>25</v>
      </c>
      <c r="F889" s="7">
        <v>44217</v>
      </c>
      <c r="G889" s="8">
        <v>67299</v>
      </c>
      <c r="H889" s="9">
        <v>0</v>
      </c>
      <c r="I889" s="1" t="s">
        <v>29</v>
      </c>
      <c r="J889" s="1" t="s">
        <v>43</v>
      </c>
      <c r="K889" s="10" t="s">
        <v>36</v>
      </c>
    </row>
    <row r="890" spans="1:11" x14ac:dyDescent="0.3">
      <c r="A890" s="6" t="s">
        <v>83</v>
      </c>
      <c r="B890" s="1" t="s">
        <v>26</v>
      </c>
      <c r="C890" s="1" t="s">
        <v>27</v>
      </c>
      <c r="D890" s="1" t="s">
        <v>28</v>
      </c>
      <c r="E890" s="1">
        <v>52</v>
      </c>
      <c r="F890" s="7">
        <v>38406</v>
      </c>
      <c r="G890" s="8">
        <v>45286</v>
      </c>
      <c r="H890" s="9">
        <v>0</v>
      </c>
      <c r="I890" s="1" t="s">
        <v>29</v>
      </c>
      <c r="J890" s="1" t="s">
        <v>40</v>
      </c>
      <c r="K890" s="10" t="s">
        <v>36</v>
      </c>
    </row>
    <row r="891" spans="1:11" x14ac:dyDescent="0.3">
      <c r="A891" s="6" t="s">
        <v>37</v>
      </c>
      <c r="B891" s="1" t="s">
        <v>57</v>
      </c>
      <c r="C891" s="1" t="s">
        <v>27</v>
      </c>
      <c r="D891" s="1" t="s">
        <v>33</v>
      </c>
      <c r="E891" s="1">
        <v>48</v>
      </c>
      <c r="F891" s="7">
        <v>39302</v>
      </c>
      <c r="G891" s="8">
        <v>194723</v>
      </c>
      <c r="H891" s="9">
        <v>0.25</v>
      </c>
      <c r="I891" s="1" t="s">
        <v>29</v>
      </c>
      <c r="J891" s="1" t="s">
        <v>43</v>
      </c>
      <c r="K891" s="10" t="s">
        <v>36</v>
      </c>
    </row>
    <row r="892" spans="1:11" x14ac:dyDescent="0.3">
      <c r="A892" s="6" t="s">
        <v>47</v>
      </c>
      <c r="B892" s="1" t="s">
        <v>45</v>
      </c>
      <c r="C892" s="1" t="s">
        <v>27</v>
      </c>
      <c r="D892" s="1" t="s">
        <v>33</v>
      </c>
      <c r="E892" s="1">
        <v>49</v>
      </c>
      <c r="F892" s="7">
        <v>41131</v>
      </c>
      <c r="G892" s="8">
        <v>109850</v>
      </c>
      <c r="H892" s="9">
        <v>7.0000000000000007E-2</v>
      </c>
      <c r="I892" s="1" t="s">
        <v>34</v>
      </c>
      <c r="J892" s="1" t="s">
        <v>64</v>
      </c>
      <c r="K892" s="10">
        <v>43865</v>
      </c>
    </row>
    <row r="893" spans="1:11" x14ac:dyDescent="0.3">
      <c r="A893" s="6" t="s">
        <v>74</v>
      </c>
      <c r="B893" s="1" t="s">
        <v>52</v>
      </c>
      <c r="C893" s="1" t="s">
        <v>27</v>
      </c>
      <c r="D893" s="1" t="s">
        <v>28</v>
      </c>
      <c r="E893" s="1">
        <v>62</v>
      </c>
      <c r="F893" s="7">
        <v>41748</v>
      </c>
      <c r="G893" s="8">
        <v>45295</v>
      </c>
      <c r="H893" s="9">
        <v>0</v>
      </c>
      <c r="I893" s="1" t="s">
        <v>59</v>
      </c>
      <c r="J893" s="1" t="s">
        <v>76</v>
      </c>
      <c r="K893" s="10" t="s">
        <v>36</v>
      </c>
    </row>
    <row r="894" spans="1:11" x14ac:dyDescent="0.3">
      <c r="A894" s="6" t="s">
        <v>87</v>
      </c>
      <c r="B894" s="1" t="s">
        <v>26</v>
      </c>
      <c r="C894" s="1" t="s">
        <v>32</v>
      </c>
      <c r="D894" s="1" t="s">
        <v>28</v>
      </c>
      <c r="E894" s="1">
        <v>36</v>
      </c>
      <c r="F894" s="7">
        <v>40413</v>
      </c>
      <c r="G894" s="8">
        <v>61310</v>
      </c>
      <c r="H894" s="9">
        <v>0</v>
      </c>
      <c r="I894" s="1" t="s">
        <v>29</v>
      </c>
      <c r="J894" s="1" t="s">
        <v>43</v>
      </c>
      <c r="K894" s="10" t="s">
        <v>36</v>
      </c>
    </row>
    <row r="895" spans="1:11" x14ac:dyDescent="0.3">
      <c r="A895" s="6" t="s">
        <v>82</v>
      </c>
      <c r="B895" s="1" t="s">
        <v>26</v>
      </c>
      <c r="C895" s="1" t="s">
        <v>27</v>
      </c>
      <c r="D895" s="1" t="s">
        <v>33</v>
      </c>
      <c r="E895" s="1">
        <v>55</v>
      </c>
      <c r="F895" s="7">
        <v>42683</v>
      </c>
      <c r="G895" s="8">
        <v>87851</v>
      </c>
      <c r="H895" s="9">
        <v>0</v>
      </c>
      <c r="I895" s="1" t="s">
        <v>34</v>
      </c>
      <c r="J895" s="1" t="s">
        <v>35</v>
      </c>
      <c r="K895" s="10" t="s">
        <v>36</v>
      </c>
    </row>
    <row r="896" spans="1:11" x14ac:dyDescent="0.3">
      <c r="A896" s="6" t="s">
        <v>74</v>
      </c>
      <c r="B896" s="1" t="s">
        <v>52</v>
      </c>
      <c r="C896" s="1" t="s">
        <v>39</v>
      </c>
      <c r="D896" s="1" t="s">
        <v>28</v>
      </c>
      <c r="E896" s="1">
        <v>31</v>
      </c>
      <c r="F896" s="7">
        <v>43171</v>
      </c>
      <c r="G896" s="8">
        <v>47913</v>
      </c>
      <c r="H896" s="9">
        <v>0</v>
      </c>
      <c r="I896" s="1" t="s">
        <v>29</v>
      </c>
      <c r="J896" s="1" t="s">
        <v>30</v>
      </c>
      <c r="K896" s="10" t="s">
        <v>36</v>
      </c>
    </row>
    <row r="897" spans="1:11" x14ac:dyDescent="0.3">
      <c r="A897" s="6" t="s">
        <v>74</v>
      </c>
      <c r="B897" s="1" t="s">
        <v>52</v>
      </c>
      <c r="C897" s="1" t="s">
        <v>39</v>
      </c>
      <c r="D897" s="1" t="s">
        <v>28</v>
      </c>
      <c r="E897" s="1">
        <v>53</v>
      </c>
      <c r="F897" s="7">
        <v>42985</v>
      </c>
      <c r="G897" s="8">
        <v>46727</v>
      </c>
      <c r="H897" s="9">
        <v>0</v>
      </c>
      <c r="I897" s="1" t="s">
        <v>29</v>
      </c>
      <c r="J897" s="1" t="s">
        <v>58</v>
      </c>
      <c r="K897" s="10">
        <v>43251</v>
      </c>
    </row>
    <row r="898" spans="1:11" x14ac:dyDescent="0.3">
      <c r="A898" s="6" t="s">
        <v>25</v>
      </c>
      <c r="B898" s="1" t="s">
        <v>52</v>
      </c>
      <c r="C898" s="1" t="s">
        <v>39</v>
      </c>
      <c r="D898" s="1" t="s">
        <v>33</v>
      </c>
      <c r="E898" s="1">
        <v>27</v>
      </c>
      <c r="F898" s="7">
        <v>44302</v>
      </c>
      <c r="G898" s="8">
        <v>133400</v>
      </c>
      <c r="H898" s="9">
        <v>0.11</v>
      </c>
      <c r="I898" s="1" t="s">
        <v>29</v>
      </c>
      <c r="J898" s="1" t="s">
        <v>43</v>
      </c>
      <c r="K898" s="10" t="s">
        <v>36</v>
      </c>
    </row>
    <row r="899" spans="1:11" x14ac:dyDescent="0.3">
      <c r="A899" s="6" t="s">
        <v>84</v>
      </c>
      <c r="B899" s="1" t="s">
        <v>26</v>
      </c>
      <c r="C899" s="1" t="s">
        <v>39</v>
      </c>
      <c r="D899" s="1" t="s">
        <v>28</v>
      </c>
      <c r="E899" s="1">
        <v>39</v>
      </c>
      <c r="F899" s="7">
        <v>43943</v>
      </c>
      <c r="G899" s="8">
        <v>90535</v>
      </c>
      <c r="H899" s="9">
        <v>0</v>
      </c>
      <c r="I899" s="1" t="s">
        <v>29</v>
      </c>
      <c r="J899" s="1" t="s">
        <v>49</v>
      </c>
      <c r="K899" s="10" t="s">
        <v>36</v>
      </c>
    </row>
    <row r="900" spans="1:11" x14ac:dyDescent="0.3">
      <c r="A900" s="6" t="s">
        <v>42</v>
      </c>
      <c r="B900" s="1" t="s">
        <v>57</v>
      </c>
      <c r="C900" s="1" t="s">
        <v>39</v>
      </c>
      <c r="D900" s="1" t="s">
        <v>33</v>
      </c>
      <c r="E900" s="1">
        <v>55</v>
      </c>
      <c r="F900" s="7">
        <v>38909</v>
      </c>
      <c r="G900" s="8">
        <v>93343</v>
      </c>
      <c r="H900" s="9">
        <v>0</v>
      </c>
      <c r="I900" s="1" t="s">
        <v>34</v>
      </c>
      <c r="J900" s="1" t="s">
        <v>35</v>
      </c>
      <c r="K900" s="10" t="s">
        <v>36</v>
      </c>
    </row>
    <row r="901" spans="1:11" x14ac:dyDescent="0.3">
      <c r="A901" s="6" t="s">
        <v>70</v>
      </c>
      <c r="B901" s="1" t="s">
        <v>52</v>
      </c>
      <c r="C901" s="1" t="s">
        <v>46</v>
      </c>
      <c r="D901" s="1" t="s">
        <v>28</v>
      </c>
      <c r="E901" s="1">
        <v>44</v>
      </c>
      <c r="F901" s="7">
        <v>38771</v>
      </c>
      <c r="G901" s="8">
        <v>63705</v>
      </c>
      <c r="H901" s="9">
        <v>0</v>
      </c>
      <c r="I901" s="1" t="s">
        <v>29</v>
      </c>
      <c r="J901" s="1" t="s">
        <v>49</v>
      </c>
      <c r="K901" s="10" t="s">
        <v>36</v>
      </c>
    </row>
    <row r="902" spans="1:11" x14ac:dyDescent="0.3">
      <c r="A902" s="6" t="s">
        <v>56</v>
      </c>
      <c r="B902" s="1" t="s">
        <v>45</v>
      </c>
      <c r="C902" s="1" t="s">
        <v>46</v>
      </c>
      <c r="D902" s="1" t="s">
        <v>33</v>
      </c>
      <c r="E902" s="1">
        <v>48</v>
      </c>
      <c r="F902" s="7">
        <v>36584</v>
      </c>
      <c r="G902" s="8">
        <v>258081</v>
      </c>
      <c r="H902" s="9">
        <v>0.3</v>
      </c>
      <c r="I902" s="1" t="s">
        <v>29</v>
      </c>
      <c r="J902" s="1" t="s">
        <v>40</v>
      </c>
      <c r="K902" s="10" t="s">
        <v>36</v>
      </c>
    </row>
    <row r="903" spans="1:11" x14ac:dyDescent="0.3">
      <c r="A903" s="6" t="s">
        <v>74</v>
      </c>
      <c r="B903" s="1" t="s">
        <v>52</v>
      </c>
      <c r="C903" s="1" t="s">
        <v>27</v>
      </c>
      <c r="D903" s="1" t="s">
        <v>33</v>
      </c>
      <c r="E903" s="1">
        <v>48</v>
      </c>
      <c r="F903" s="7">
        <v>44095</v>
      </c>
      <c r="G903" s="8">
        <v>54654</v>
      </c>
      <c r="H903" s="9">
        <v>0</v>
      </c>
      <c r="I903" s="1" t="s">
        <v>29</v>
      </c>
      <c r="J903" s="1" t="s">
        <v>43</v>
      </c>
      <c r="K903" s="10" t="s">
        <v>36</v>
      </c>
    </row>
    <row r="904" spans="1:11" x14ac:dyDescent="0.3">
      <c r="A904" s="6" t="s">
        <v>48</v>
      </c>
      <c r="B904" s="1" t="s">
        <v>45</v>
      </c>
      <c r="C904" s="1" t="s">
        <v>32</v>
      </c>
      <c r="D904" s="1" t="s">
        <v>33</v>
      </c>
      <c r="E904" s="1">
        <v>54</v>
      </c>
      <c r="F904" s="7">
        <v>36062</v>
      </c>
      <c r="G904" s="8">
        <v>58006</v>
      </c>
      <c r="H904" s="9">
        <v>0</v>
      </c>
      <c r="I904" s="1" t="s">
        <v>29</v>
      </c>
      <c r="J904" s="1" t="s">
        <v>30</v>
      </c>
      <c r="K904" s="10" t="s">
        <v>36</v>
      </c>
    </row>
    <row r="905" spans="1:11" x14ac:dyDescent="0.3">
      <c r="A905" s="6" t="s">
        <v>25</v>
      </c>
      <c r="B905" s="1" t="s">
        <v>38</v>
      </c>
      <c r="C905" s="1" t="s">
        <v>32</v>
      </c>
      <c r="D905" s="1" t="s">
        <v>28</v>
      </c>
      <c r="E905" s="1">
        <v>42</v>
      </c>
      <c r="F905" s="7">
        <v>40620</v>
      </c>
      <c r="G905" s="8">
        <v>150034</v>
      </c>
      <c r="H905" s="9">
        <v>0.12</v>
      </c>
      <c r="I905" s="1" t="s">
        <v>34</v>
      </c>
      <c r="J905" s="1" t="s">
        <v>64</v>
      </c>
      <c r="K905" s="10" t="s">
        <v>36</v>
      </c>
    </row>
    <row r="906" spans="1:11" x14ac:dyDescent="0.3">
      <c r="A906" s="6" t="s">
        <v>37</v>
      </c>
      <c r="B906" s="1" t="s">
        <v>52</v>
      </c>
      <c r="C906" s="1" t="s">
        <v>39</v>
      </c>
      <c r="D906" s="1" t="s">
        <v>28</v>
      </c>
      <c r="E906" s="1">
        <v>38</v>
      </c>
      <c r="F906" s="7">
        <v>39232</v>
      </c>
      <c r="G906" s="8">
        <v>198562</v>
      </c>
      <c r="H906" s="9">
        <v>0.22</v>
      </c>
      <c r="I906" s="1" t="s">
        <v>29</v>
      </c>
      <c r="J906" s="1" t="s">
        <v>30</v>
      </c>
      <c r="K906" s="10" t="s">
        <v>36</v>
      </c>
    </row>
    <row r="907" spans="1:11" x14ac:dyDescent="0.3">
      <c r="A907" s="6" t="s">
        <v>44</v>
      </c>
      <c r="B907" s="1" t="s">
        <v>45</v>
      </c>
      <c r="C907" s="1" t="s">
        <v>27</v>
      </c>
      <c r="D907" s="1" t="s">
        <v>28</v>
      </c>
      <c r="E907" s="1">
        <v>40</v>
      </c>
      <c r="F907" s="7">
        <v>39960</v>
      </c>
      <c r="G907" s="8">
        <v>62411</v>
      </c>
      <c r="H907" s="9">
        <v>0</v>
      </c>
      <c r="I907" s="1" t="s">
        <v>29</v>
      </c>
      <c r="J907" s="1" t="s">
        <v>49</v>
      </c>
      <c r="K907" s="10">
        <v>44422</v>
      </c>
    </row>
    <row r="908" spans="1:11" x14ac:dyDescent="0.3">
      <c r="A908" s="6" t="s">
        <v>63</v>
      </c>
      <c r="B908" s="1" t="s">
        <v>54</v>
      </c>
      <c r="C908" s="1" t="s">
        <v>27</v>
      </c>
      <c r="D908" s="1" t="s">
        <v>33</v>
      </c>
      <c r="E908" s="1">
        <v>57</v>
      </c>
      <c r="F908" s="7">
        <v>33612</v>
      </c>
      <c r="G908" s="8">
        <v>111299</v>
      </c>
      <c r="H908" s="9">
        <v>0.12</v>
      </c>
      <c r="I908" s="1" t="s">
        <v>29</v>
      </c>
      <c r="J908" s="1" t="s">
        <v>49</v>
      </c>
      <c r="K908" s="10" t="s">
        <v>36</v>
      </c>
    </row>
    <row r="909" spans="1:11" x14ac:dyDescent="0.3">
      <c r="A909" s="6" t="s">
        <v>48</v>
      </c>
      <c r="B909" s="1" t="s">
        <v>57</v>
      </c>
      <c r="C909" s="1" t="s">
        <v>27</v>
      </c>
      <c r="D909" s="1" t="s">
        <v>28</v>
      </c>
      <c r="E909" s="1">
        <v>43</v>
      </c>
      <c r="F909" s="7">
        <v>43659</v>
      </c>
      <c r="G909" s="8">
        <v>41545</v>
      </c>
      <c r="H909" s="9">
        <v>0</v>
      </c>
      <c r="I909" s="1" t="s">
        <v>29</v>
      </c>
      <c r="J909" s="1" t="s">
        <v>49</v>
      </c>
      <c r="K909" s="10" t="s">
        <v>36</v>
      </c>
    </row>
    <row r="910" spans="1:11" x14ac:dyDescent="0.3">
      <c r="A910" s="6" t="s">
        <v>79</v>
      </c>
      <c r="B910" s="1" t="s">
        <v>26</v>
      </c>
      <c r="C910" s="1" t="s">
        <v>32</v>
      </c>
      <c r="D910" s="1" t="s">
        <v>33</v>
      </c>
      <c r="E910" s="1">
        <v>26</v>
      </c>
      <c r="F910" s="7">
        <v>43569</v>
      </c>
      <c r="G910" s="8">
        <v>74467</v>
      </c>
      <c r="H910" s="9">
        <v>0</v>
      </c>
      <c r="I910" s="1" t="s">
        <v>29</v>
      </c>
      <c r="J910" s="1" t="s">
        <v>58</v>
      </c>
      <c r="K910" s="10">
        <v>44211</v>
      </c>
    </row>
    <row r="911" spans="1:11" x14ac:dyDescent="0.3">
      <c r="A911" s="6" t="s">
        <v>47</v>
      </c>
      <c r="B911" s="1" t="s">
        <v>50</v>
      </c>
      <c r="C911" s="1" t="s">
        <v>27</v>
      </c>
      <c r="D911" s="1" t="s">
        <v>33</v>
      </c>
      <c r="E911" s="1">
        <v>44</v>
      </c>
      <c r="F911" s="7">
        <v>37296</v>
      </c>
      <c r="G911" s="8">
        <v>117545</v>
      </c>
      <c r="H911" s="9">
        <v>0.06</v>
      </c>
      <c r="I911" s="1" t="s">
        <v>29</v>
      </c>
      <c r="J911" s="1" t="s">
        <v>43</v>
      </c>
      <c r="K911" s="10" t="s">
        <v>36</v>
      </c>
    </row>
    <row r="912" spans="1:11" x14ac:dyDescent="0.3">
      <c r="A912" s="6" t="s">
        <v>47</v>
      </c>
      <c r="B912" s="1" t="s">
        <v>52</v>
      </c>
      <c r="C912" s="1" t="s">
        <v>39</v>
      </c>
      <c r="D912" s="1" t="s">
        <v>33</v>
      </c>
      <c r="E912" s="1">
        <v>50</v>
      </c>
      <c r="F912" s="7">
        <v>40983</v>
      </c>
      <c r="G912" s="8">
        <v>117226</v>
      </c>
      <c r="H912" s="9">
        <v>0.08</v>
      </c>
      <c r="I912" s="1" t="s">
        <v>29</v>
      </c>
      <c r="J912" s="1" t="s">
        <v>43</v>
      </c>
      <c r="K912" s="10" t="s">
        <v>36</v>
      </c>
    </row>
    <row r="913" spans="1:11" x14ac:dyDescent="0.3">
      <c r="A913" s="6" t="s">
        <v>48</v>
      </c>
      <c r="B913" s="1" t="s">
        <v>50</v>
      </c>
      <c r="C913" s="1" t="s">
        <v>46</v>
      </c>
      <c r="D913" s="1" t="s">
        <v>28</v>
      </c>
      <c r="E913" s="1">
        <v>26</v>
      </c>
      <c r="F913" s="7">
        <v>43489</v>
      </c>
      <c r="G913" s="8">
        <v>55767</v>
      </c>
      <c r="H913" s="9">
        <v>0</v>
      </c>
      <c r="I913" s="1" t="s">
        <v>29</v>
      </c>
      <c r="J913" s="1" t="s">
        <v>43</v>
      </c>
      <c r="K913" s="10" t="s">
        <v>36</v>
      </c>
    </row>
    <row r="914" spans="1:11" x14ac:dyDescent="0.3">
      <c r="A914" s="6" t="s">
        <v>66</v>
      </c>
      <c r="B914" s="1" t="s">
        <v>45</v>
      </c>
      <c r="C914" s="1" t="s">
        <v>32</v>
      </c>
      <c r="D914" s="1" t="s">
        <v>28</v>
      </c>
      <c r="E914" s="1">
        <v>29</v>
      </c>
      <c r="F914" s="7">
        <v>42691</v>
      </c>
      <c r="G914" s="8">
        <v>60930</v>
      </c>
      <c r="H914" s="9">
        <v>0</v>
      </c>
      <c r="I914" s="1" t="s">
        <v>29</v>
      </c>
      <c r="J914" s="1" t="s">
        <v>51</v>
      </c>
      <c r="K914" s="10" t="s">
        <v>36</v>
      </c>
    </row>
    <row r="915" spans="1:11" x14ac:dyDescent="0.3">
      <c r="A915" s="6" t="s">
        <v>37</v>
      </c>
      <c r="B915" s="1" t="s">
        <v>45</v>
      </c>
      <c r="C915" s="1" t="s">
        <v>39</v>
      </c>
      <c r="D915" s="1" t="s">
        <v>28</v>
      </c>
      <c r="E915" s="1">
        <v>27</v>
      </c>
      <c r="F915" s="7">
        <v>43397</v>
      </c>
      <c r="G915" s="8">
        <v>154973</v>
      </c>
      <c r="H915" s="9">
        <v>0.28999999999999998</v>
      </c>
      <c r="I915" s="1" t="s">
        <v>59</v>
      </c>
      <c r="J915" s="1" t="s">
        <v>76</v>
      </c>
      <c r="K915" s="10" t="s">
        <v>36</v>
      </c>
    </row>
    <row r="916" spans="1:11" x14ac:dyDescent="0.3">
      <c r="A916" s="6" t="s">
        <v>75</v>
      </c>
      <c r="B916" s="1" t="s">
        <v>26</v>
      </c>
      <c r="C916" s="1" t="s">
        <v>32</v>
      </c>
      <c r="D916" s="1" t="s">
        <v>28</v>
      </c>
      <c r="E916" s="1">
        <v>33</v>
      </c>
      <c r="F916" s="7">
        <v>43029</v>
      </c>
      <c r="G916" s="8">
        <v>69332</v>
      </c>
      <c r="H916" s="9">
        <v>0</v>
      </c>
      <c r="I916" s="1" t="s">
        <v>29</v>
      </c>
      <c r="J916" s="1" t="s">
        <v>58</v>
      </c>
      <c r="K916" s="10" t="s">
        <v>36</v>
      </c>
    </row>
    <row r="917" spans="1:11" x14ac:dyDescent="0.3">
      <c r="A917" s="6" t="s">
        <v>53</v>
      </c>
      <c r="B917" s="1" t="s">
        <v>54</v>
      </c>
      <c r="C917" s="1" t="s">
        <v>27</v>
      </c>
      <c r="D917" s="1" t="s">
        <v>28</v>
      </c>
      <c r="E917" s="1">
        <v>59</v>
      </c>
      <c r="F917" s="7">
        <v>36990</v>
      </c>
      <c r="G917" s="8">
        <v>119699</v>
      </c>
      <c r="H917" s="9">
        <v>0</v>
      </c>
      <c r="I917" s="1" t="s">
        <v>34</v>
      </c>
      <c r="J917" s="1" t="s">
        <v>55</v>
      </c>
      <c r="K917" s="10" t="s">
        <v>36</v>
      </c>
    </row>
    <row r="918" spans="1:11" x14ac:dyDescent="0.3">
      <c r="A918" s="6" t="s">
        <v>37</v>
      </c>
      <c r="B918" s="1" t="s">
        <v>52</v>
      </c>
      <c r="C918" s="1" t="s">
        <v>39</v>
      </c>
      <c r="D918" s="1" t="s">
        <v>28</v>
      </c>
      <c r="E918" s="1">
        <v>40</v>
      </c>
      <c r="F918" s="7">
        <v>44094</v>
      </c>
      <c r="G918" s="8">
        <v>198176</v>
      </c>
      <c r="H918" s="9">
        <v>0.17</v>
      </c>
      <c r="I918" s="1" t="s">
        <v>59</v>
      </c>
      <c r="J918" s="1" t="s">
        <v>60</v>
      </c>
      <c r="K918" s="10" t="s">
        <v>36</v>
      </c>
    </row>
    <row r="919" spans="1:11" x14ac:dyDescent="0.3">
      <c r="A919" s="6" t="s">
        <v>66</v>
      </c>
      <c r="B919" s="1" t="s">
        <v>38</v>
      </c>
      <c r="C919" s="1" t="s">
        <v>27</v>
      </c>
      <c r="D919" s="1" t="s">
        <v>28</v>
      </c>
      <c r="E919" s="1">
        <v>45</v>
      </c>
      <c r="F919" s="7">
        <v>41127</v>
      </c>
      <c r="G919" s="8">
        <v>58586</v>
      </c>
      <c r="H919" s="9">
        <v>0</v>
      </c>
      <c r="I919" s="1" t="s">
        <v>59</v>
      </c>
      <c r="J919" s="1" t="s">
        <v>76</v>
      </c>
      <c r="K919" s="10" t="s">
        <v>36</v>
      </c>
    </row>
    <row r="920" spans="1:11" x14ac:dyDescent="0.3">
      <c r="A920" s="6" t="s">
        <v>81</v>
      </c>
      <c r="B920" s="1" t="s">
        <v>45</v>
      </c>
      <c r="C920" s="1" t="s">
        <v>46</v>
      </c>
      <c r="D920" s="1" t="s">
        <v>33</v>
      </c>
      <c r="E920" s="1">
        <v>38</v>
      </c>
      <c r="F920" s="7">
        <v>40875</v>
      </c>
      <c r="G920" s="8">
        <v>74010</v>
      </c>
      <c r="H920" s="9">
        <v>0</v>
      </c>
      <c r="I920" s="1" t="s">
        <v>29</v>
      </c>
      <c r="J920" s="1" t="s">
        <v>40</v>
      </c>
      <c r="K920" s="10" t="s">
        <v>36</v>
      </c>
    </row>
    <row r="921" spans="1:11" x14ac:dyDescent="0.3">
      <c r="A921" s="6" t="s">
        <v>81</v>
      </c>
      <c r="B921" s="1" t="s">
        <v>45</v>
      </c>
      <c r="C921" s="1" t="s">
        <v>39</v>
      </c>
      <c r="D921" s="1" t="s">
        <v>33</v>
      </c>
      <c r="E921" s="1">
        <v>32</v>
      </c>
      <c r="F921" s="7">
        <v>43864</v>
      </c>
      <c r="G921" s="8">
        <v>96598</v>
      </c>
      <c r="H921" s="9">
        <v>0</v>
      </c>
      <c r="I921" s="1" t="s">
        <v>29</v>
      </c>
      <c r="J921" s="1" t="s">
        <v>43</v>
      </c>
      <c r="K921" s="10" t="s">
        <v>36</v>
      </c>
    </row>
    <row r="922" spans="1:11" x14ac:dyDescent="0.3">
      <c r="A922" s="6" t="s">
        <v>47</v>
      </c>
      <c r="B922" s="1" t="s">
        <v>45</v>
      </c>
      <c r="C922" s="1" t="s">
        <v>39</v>
      </c>
      <c r="D922" s="1" t="s">
        <v>28</v>
      </c>
      <c r="E922" s="1">
        <v>64</v>
      </c>
      <c r="F922" s="7">
        <v>37762</v>
      </c>
      <c r="G922" s="8">
        <v>106444</v>
      </c>
      <c r="H922" s="9">
        <v>0.05</v>
      </c>
      <c r="I922" s="1" t="s">
        <v>29</v>
      </c>
      <c r="J922" s="1" t="s">
        <v>43</v>
      </c>
      <c r="K922" s="10" t="s">
        <v>36</v>
      </c>
    </row>
    <row r="923" spans="1:11" x14ac:dyDescent="0.3">
      <c r="A923" s="6" t="s">
        <v>37</v>
      </c>
      <c r="B923" s="1" t="s">
        <v>38</v>
      </c>
      <c r="C923" s="1" t="s">
        <v>46</v>
      </c>
      <c r="D923" s="1" t="s">
        <v>33</v>
      </c>
      <c r="E923" s="1">
        <v>31</v>
      </c>
      <c r="F923" s="7">
        <v>42957</v>
      </c>
      <c r="G923" s="8">
        <v>156931</v>
      </c>
      <c r="H923" s="9">
        <v>0.28000000000000003</v>
      </c>
      <c r="I923" s="1" t="s">
        <v>29</v>
      </c>
      <c r="J923" s="1" t="s">
        <v>30</v>
      </c>
      <c r="K923" s="10" t="s">
        <v>36</v>
      </c>
    </row>
    <row r="924" spans="1:11" x14ac:dyDescent="0.3">
      <c r="A924" s="6" t="s">
        <v>37</v>
      </c>
      <c r="B924" s="1" t="s">
        <v>57</v>
      </c>
      <c r="C924" s="1" t="s">
        <v>27</v>
      </c>
      <c r="D924" s="1" t="s">
        <v>28</v>
      </c>
      <c r="E924" s="1">
        <v>43</v>
      </c>
      <c r="F924" s="7">
        <v>41928</v>
      </c>
      <c r="G924" s="8">
        <v>171360</v>
      </c>
      <c r="H924" s="9">
        <v>0.23</v>
      </c>
      <c r="I924" s="1" t="s">
        <v>59</v>
      </c>
      <c r="J924" s="1" t="s">
        <v>60</v>
      </c>
      <c r="K924" s="10" t="s">
        <v>36</v>
      </c>
    </row>
    <row r="925" spans="1:11" x14ac:dyDescent="0.3">
      <c r="A925" s="6" t="s">
        <v>67</v>
      </c>
      <c r="B925" s="1" t="s">
        <v>26</v>
      </c>
      <c r="C925" s="1" t="s">
        <v>27</v>
      </c>
      <c r="D925" s="1" t="s">
        <v>28</v>
      </c>
      <c r="E925" s="1">
        <v>45</v>
      </c>
      <c r="F925" s="7">
        <v>39908</v>
      </c>
      <c r="G925" s="8">
        <v>64505</v>
      </c>
      <c r="H925" s="9">
        <v>0</v>
      </c>
      <c r="I925" s="1" t="s">
        <v>29</v>
      </c>
      <c r="J925" s="1" t="s">
        <v>49</v>
      </c>
      <c r="K925" s="10" t="s">
        <v>36</v>
      </c>
    </row>
    <row r="926" spans="1:11" x14ac:dyDescent="0.3">
      <c r="A926" s="6" t="s">
        <v>63</v>
      </c>
      <c r="B926" s="1" t="s">
        <v>54</v>
      </c>
      <c r="C926" s="1" t="s">
        <v>39</v>
      </c>
      <c r="D926" s="1" t="s">
        <v>33</v>
      </c>
      <c r="E926" s="1">
        <v>32</v>
      </c>
      <c r="F926" s="7">
        <v>44478</v>
      </c>
      <c r="G926" s="8">
        <v>102298</v>
      </c>
      <c r="H926" s="9">
        <v>0.13</v>
      </c>
      <c r="I926" s="1" t="s">
        <v>59</v>
      </c>
      <c r="J926" s="1" t="s">
        <v>61</v>
      </c>
      <c r="K926" s="10" t="s">
        <v>36</v>
      </c>
    </row>
    <row r="927" spans="1:11" x14ac:dyDescent="0.3">
      <c r="A927" s="6" t="s">
        <v>25</v>
      </c>
      <c r="B927" s="1" t="s">
        <v>45</v>
      </c>
      <c r="C927" s="1" t="s">
        <v>46</v>
      </c>
      <c r="D927" s="1" t="s">
        <v>28</v>
      </c>
      <c r="E927" s="1">
        <v>27</v>
      </c>
      <c r="F927" s="7">
        <v>43721</v>
      </c>
      <c r="G927" s="8">
        <v>133297</v>
      </c>
      <c r="H927" s="9">
        <v>0.13</v>
      </c>
      <c r="I927" s="1" t="s">
        <v>59</v>
      </c>
      <c r="J927" s="1" t="s">
        <v>61</v>
      </c>
      <c r="K927" s="10" t="s">
        <v>36</v>
      </c>
    </row>
    <row r="928" spans="1:11" x14ac:dyDescent="0.3">
      <c r="A928" s="6" t="s">
        <v>25</v>
      </c>
      <c r="B928" s="1" t="s">
        <v>52</v>
      </c>
      <c r="C928" s="1" t="s">
        <v>39</v>
      </c>
      <c r="D928" s="1" t="s">
        <v>28</v>
      </c>
      <c r="E928" s="1">
        <v>25</v>
      </c>
      <c r="F928" s="7">
        <v>44272</v>
      </c>
      <c r="G928" s="8">
        <v>155080</v>
      </c>
      <c r="H928" s="9">
        <v>0.1</v>
      </c>
      <c r="I928" s="1" t="s">
        <v>29</v>
      </c>
      <c r="J928" s="1" t="s">
        <v>51</v>
      </c>
      <c r="K928" s="10" t="s">
        <v>36</v>
      </c>
    </row>
    <row r="929" spans="1:11" x14ac:dyDescent="0.3">
      <c r="A929" s="6" t="s">
        <v>42</v>
      </c>
      <c r="B929" s="1" t="s">
        <v>45</v>
      </c>
      <c r="C929" s="1" t="s">
        <v>39</v>
      </c>
      <c r="D929" s="1" t="s">
        <v>33</v>
      </c>
      <c r="E929" s="1">
        <v>31</v>
      </c>
      <c r="F929" s="7">
        <v>43325</v>
      </c>
      <c r="G929" s="8">
        <v>81828</v>
      </c>
      <c r="H929" s="9">
        <v>0</v>
      </c>
      <c r="I929" s="1" t="s">
        <v>29</v>
      </c>
      <c r="J929" s="1" t="s">
        <v>49</v>
      </c>
      <c r="K929" s="10" t="s">
        <v>36</v>
      </c>
    </row>
    <row r="930" spans="1:11" x14ac:dyDescent="0.3">
      <c r="A930" s="6" t="s">
        <v>25</v>
      </c>
      <c r="B930" s="1" t="s">
        <v>57</v>
      </c>
      <c r="C930" s="1" t="s">
        <v>46</v>
      </c>
      <c r="D930" s="1" t="s">
        <v>28</v>
      </c>
      <c r="E930" s="1">
        <v>65</v>
      </c>
      <c r="F930" s="7">
        <v>36823</v>
      </c>
      <c r="G930" s="8">
        <v>149417</v>
      </c>
      <c r="H930" s="9">
        <v>0.13</v>
      </c>
      <c r="I930" s="1" t="s">
        <v>34</v>
      </c>
      <c r="J930" s="1" t="s">
        <v>68</v>
      </c>
      <c r="K930" s="10" t="s">
        <v>36</v>
      </c>
    </row>
    <row r="931" spans="1:11" x14ac:dyDescent="0.3">
      <c r="A931" s="6" t="s">
        <v>47</v>
      </c>
      <c r="B931" s="1" t="s">
        <v>45</v>
      </c>
      <c r="C931" s="1" t="s">
        <v>46</v>
      </c>
      <c r="D931" s="1" t="s">
        <v>33</v>
      </c>
      <c r="E931" s="1">
        <v>50</v>
      </c>
      <c r="F931" s="7">
        <v>41024</v>
      </c>
      <c r="G931" s="8">
        <v>113269</v>
      </c>
      <c r="H931" s="9">
        <v>0.09</v>
      </c>
      <c r="I931" s="1" t="s">
        <v>59</v>
      </c>
      <c r="J931" s="1" t="s">
        <v>76</v>
      </c>
      <c r="K931" s="10" t="s">
        <v>36</v>
      </c>
    </row>
    <row r="932" spans="1:11" x14ac:dyDescent="0.3">
      <c r="A932" s="6" t="s">
        <v>25</v>
      </c>
      <c r="B932" s="1" t="s">
        <v>26</v>
      </c>
      <c r="C932" s="1" t="s">
        <v>32</v>
      </c>
      <c r="D932" s="1" t="s">
        <v>33</v>
      </c>
      <c r="E932" s="1">
        <v>46</v>
      </c>
      <c r="F932" s="7">
        <v>43085</v>
      </c>
      <c r="G932" s="8">
        <v>136716</v>
      </c>
      <c r="H932" s="9">
        <v>0.12</v>
      </c>
      <c r="I932" s="1" t="s">
        <v>29</v>
      </c>
      <c r="J932" s="1" t="s">
        <v>51</v>
      </c>
      <c r="K932" s="10" t="s">
        <v>36</v>
      </c>
    </row>
    <row r="933" spans="1:11" x14ac:dyDescent="0.3">
      <c r="A933" s="6" t="s">
        <v>25</v>
      </c>
      <c r="B933" s="1" t="s">
        <v>45</v>
      </c>
      <c r="C933" s="1" t="s">
        <v>39</v>
      </c>
      <c r="D933" s="1" t="s">
        <v>33</v>
      </c>
      <c r="E933" s="1">
        <v>54</v>
      </c>
      <c r="F933" s="7">
        <v>40836</v>
      </c>
      <c r="G933" s="8">
        <v>122644</v>
      </c>
      <c r="H933" s="9">
        <v>0.12</v>
      </c>
      <c r="I933" s="1" t="s">
        <v>29</v>
      </c>
      <c r="J933" s="1" t="s">
        <v>51</v>
      </c>
      <c r="K933" s="10" t="s">
        <v>36</v>
      </c>
    </row>
    <row r="934" spans="1:11" x14ac:dyDescent="0.3">
      <c r="A934" s="6" t="s">
        <v>47</v>
      </c>
      <c r="B934" s="1" t="s">
        <v>45</v>
      </c>
      <c r="C934" s="1" t="s">
        <v>27</v>
      </c>
      <c r="D934" s="1" t="s">
        <v>28</v>
      </c>
      <c r="E934" s="1">
        <v>50</v>
      </c>
      <c r="F934" s="7">
        <v>36653</v>
      </c>
      <c r="G934" s="8">
        <v>106428</v>
      </c>
      <c r="H934" s="9">
        <v>7.0000000000000007E-2</v>
      </c>
      <c r="I934" s="1" t="s">
        <v>29</v>
      </c>
      <c r="J934" s="1" t="s">
        <v>40</v>
      </c>
      <c r="K934" s="10" t="s">
        <v>36</v>
      </c>
    </row>
    <row r="935" spans="1:11" x14ac:dyDescent="0.3">
      <c r="A935" s="6" t="s">
        <v>56</v>
      </c>
      <c r="B935" s="1" t="s">
        <v>38</v>
      </c>
      <c r="C935" s="1" t="s">
        <v>46</v>
      </c>
      <c r="D935" s="1" t="s">
        <v>33</v>
      </c>
      <c r="E935" s="1">
        <v>36</v>
      </c>
      <c r="F935" s="7">
        <v>39830</v>
      </c>
      <c r="G935" s="8">
        <v>238236</v>
      </c>
      <c r="H935" s="9">
        <v>0.31</v>
      </c>
      <c r="I935" s="1" t="s">
        <v>29</v>
      </c>
      <c r="J935" s="1" t="s">
        <v>30</v>
      </c>
      <c r="K935" s="10" t="s">
        <v>36</v>
      </c>
    </row>
    <row r="936" spans="1:11" x14ac:dyDescent="0.3">
      <c r="A936" s="6" t="s">
        <v>37</v>
      </c>
      <c r="B936" s="1" t="s">
        <v>38</v>
      </c>
      <c r="C936" s="1" t="s">
        <v>46</v>
      </c>
      <c r="D936" s="1" t="s">
        <v>28</v>
      </c>
      <c r="E936" s="1">
        <v>64</v>
      </c>
      <c r="F936" s="7">
        <v>41264</v>
      </c>
      <c r="G936" s="8">
        <v>153253</v>
      </c>
      <c r="H936" s="9">
        <v>0.24</v>
      </c>
      <c r="I936" s="1" t="s">
        <v>29</v>
      </c>
      <c r="J936" s="1" t="s">
        <v>51</v>
      </c>
      <c r="K936" s="10" t="s">
        <v>36</v>
      </c>
    </row>
    <row r="937" spans="1:11" x14ac:dyDescent="0.3">
      <c r="A937" s="6" t="s">
        <v>47</v>
      </c>
      <c r="B937" s="1" t="s">
        <v>50</v>
      </c>
      <c r="C937" s="1" t="s">
        <v>32</v>
      </c>
      <c r="D937" s="1" t="s">
        <v>28</v>
      </c>
      <c r="E937" s="1">
        <v>34</v>
      </c>
      <c r="F937" s="7">
        <v>41915</v>
      </c>
      <c r="G937" s="8">
        <v>103707</v>
      </c>
      <c r="H937" s="9">
        <v>0.09</v>
      </c>
      <c r="I937" s="1" t="s">
        <v>29</v>
      </c>
      <c r="J937" s="1" t="s">
        <v>58</v>
      </c>
      <c r="K937" s="10" t="s">
        <v>36</v>
      </c>
    </row>
    <row r="938" spans="1:11" x14ac:dyDescent="0.3">
      <c r="A938" s="6" t="s">
        <v>56</v>
      </c>
      <c r="B938" s="1" t="s">
        <v>50</v>
      </c>
      <c r="C938" s="1" t="s">
        <v>39</v>
      </c>
      <c r="D938" s="1" t="s">
        <v>28</v>
      </c>
      <c r="E938" s="1">
        <v>41</v>
      </c>
      <c r="F938" s="7">
        <v>41130</v>
      </c>
      <c r="G938" s="8">
        <v>245360</v>
      </c>
      <c r="H938" s="9">
        <v>0.37</v>
      </c>
      <c r="I938" s="1" t="s">
        <v>29</v>
      </c>
      <c r="J938" s="1" t="s">
        <v>51</v>
      </c>
      <c r="K938" s="10" t="s">
        <v>36</v>
      </c>
    </row>
    <row r="939" spans="1:11" x14ac:dyDescent="0.3">
      <c r="A939" s="6" t="s">
        <v>80</v>
      </c>
      <c r="B939" s="1" t="s">
        <v>54</v>
      </c>
      <c r="C939" s="1" t="s">
        <v>39</v>
      </c>
      <c r="D939" s="1" t="s">
        <v>33</v>
      </c>
      <c r="E939" s="1">
        <v>25</v>
      </c>
      <c r="F939" s="7">
        <v>44385</v>
      </c>
      <c r="G939" s="8">
        <v>67275</v>
      </c>
      <c r="H939" s="9">
        <v>0</v>
      </c>
      <c r="I939" s="1" t="s">
        <v>29</v>
      </c>
      <c r="J939" s="1" t="s">
        <v>58</v>
      </c>
      <c r="K939" s="10" t="s">
        <v>36</v>
      </c>
    </row>
    <row r="940" spans="1:11" x14ac:dyDescent="0.3">
      <c r="A940" s="6" t="s">
        <v>47</v>
      </c>
      <c r="B940" s="1" t="s">
        <v>26</v>
      </c>
      <c r="C940" s="1" t="s">
        <v>32</v>
      </c>
      <c r="D940" s="1" t="s">
        <v>33</v>
      </c>
      <c r="E940" s="1">
        <v>45</v>
      </c>
      <c r="F940" s="7">
        <v>42026</v>
      </c>
      <c r="G940" s="8">
        <v>101288</v>
      </c>
      <c r="H940" s="9">
        <v>0.1</v>
      </c>
      <c r="I940" s="1" t="s">
        <v>29</v>
      </c>
      <c r="J940" s="1" t="s">
        <v>43</v>
      </c>
      <c r="K940" s="10" t="s">
        <v>36</v>
      </c>
    </row>
    <row r="941" spans="1:11" x14ac:dyDescent="0.3">
      <c r="A941" s="6" t="s">
        <v>37</v>
      </c>
      <c r="B941" s="1" t="s">
        <v>52</v>
      </c>
      <c r="C941" s="1" t="s">
        <v>39</v>
      </c>
      <c r="D941" s="1" t="s">
        <v>28</v>
      </c>
      <c r="E941" s="1">
        <v>52</v>
      </c>
      <c r="F941" s="7">
        <v>34209</v>
      </c>
      <c r="G941" s="8">
        <v>177443</v>
      </c>
      <c r="H941" s="9">
        <v>0.25</v>
      </c>
      <c r="I941" s="1" t="s">
        <v>59</v>
      </c>
      <c r="J941" s="1" t="s">
        <v>76</v>
      </c>
      <c r="K941" s="10" t="s">
        <v>36</v>
      </c>
    </row>
    <row r="942" spans="1:11" x14ac:dyDescent="0.3">
      <c r="A942" s="6" t="s">
        <v>75</v>
      </c>
      <c r="B942" s="1" t="s">
        <v>26</v>
      </c>
      <c r="C942" s="1" t="s">
        <v>32</v>
      </c>
      <c r="D942" s="1" t="s">
        <v>28</v>
      </c>
      <c r="E942" s="1">
        <v>37</v>
      </c>
      <c r="F942" s="7">
        <v>42487</v>
      </c>
      <c r="G942" s="8">
        <v>91400</v>
      </c>
      <c r="H942" s="9">
        <v>0</v>
      </c>
      <c r="I942" s="1" t="s">
        <v>29</v>
      </c>
      <c r="J942" s="1" t="s">
        <v>40</v>
      </c>
      <c r="K942" s="10" t="s">
        <v>36</v>
      </c>
    </row>
    <row r="943" spans="1:11" x14ac:dyDescent="0.3">
      <c r="A943" s="6" t="s">
        <v>56</v>
      </c>
      <c r="B943" s="1" t="s">
        <v>52</v>
      </c>
      <c r="C943" s="1" t="s">
        <v>46</v>
      </c>
      <c r="D943" s="1" t="s">
        <v>33</v>
      </c>
      <c r="E943" s="1">
        <v>44</v>
      </c>
      <c r="F943" s="7">
        <v>39335</v>
      </c>
      <c r="G943" s="8">
        <v>181247</v>
      </c>
      <c r="H943" s="9">
        <v>0.33</v>
      </c>
      <c r="I943" s="1" t="s">
        <v>59</v>
      </c>
      <c r="J943" s="1" t="s">
        <v>76</v>
      </c>
      <c r="K943" s="10" t="s">
        <v>36</v>
      </c>
    </row>
    <row r="944" spans="1:11" x14ac:dyDescent="0.3">
      <c r="A944" s="6" t="s">
        <v>25</v>
      </c>
      <c r="B944" s="1" t="s">
        <v>52</v>
      </c>
      <c r="C944" s="1" t="s">
        <v>27</v>
      </c>
      <c r="D944" s="1" t="s">
        <v>33</v>
      </c>
      <c r="E944" s="1">
        <v>42</v>
      </c>
      <c r="F944" s="7">
        <v>37914</v>
      </c>
      <c r="G944" s="8">
        <v>135558</v>
      </c>
      <c r="H944" s="9">
        <v>0.14000000000000001</v>
      </c>
      <c r="I944" s="1" t="s">
        <v>29</v>
      </c>
      <c r="J944" s="1" t="s">
        <v>43</v>
      </c>
      <c r="K944" s="10" t="s">
        <v>36</v>
      </c>
    </row>
    <row r="945" spans="1:11" x14ac:dyDescent="0.3">
      <c r="A945" s="6" t="s">
        <v>48</v>
      </c>
      <c r="B945" s="1" t="s">
        <v>50</v>
      </c>
      <c r="C945" s="1" t="s">
        <v>39</v>
      </c>
      <c r="D945" s="1" t="s">
        <v>33</v>
      </c>
      <c r="E945" s="1">
        <v>49</v>
      </c>
      <c r="F945" s="7">
        <v>40894</v>
      </c>
      <c r="G945" s="8">
        <v>56878</v>
      </c>
      <c r="H945" s="9">
        <v>0</v>
      </c>
      <c r="I945" s="1" t="s">
        <v>29</v>
      </c>
      <c r="J945" s="1" t="s">
        <v>30</v>
      </c>
      <c r="K945" s="10" t="s">
        <v>36</v>
      </c>
    </row>
    <row r="946" spans="1:11" x14ac:dyDescent="0.3">
      <c r="A946" s="6" t="s">
        <v>85</v>
      </c>
      <c r="B946" s="1" t="s">
        <v>26</v>
      </c>
      <c r="C946" s="1" t="s">
        <v>39</v>
      </c>
      <c r="D946" s="1" t="s">
        <v>33</v>
      </c>
      <c r="E946" s="1">
        <v>34</v>
      </c>
      <c r="F946" s="7">
        <v>43728</v>
      </c>
      <c r="G946" s="8">
        <v>94735</v>
      </c>
      <c r="H946" s="9">
        <v>0</v>
      </c>
      <c r="I946" s="1" t="s">
        <v>34</v>
      </c>
      <c r="J946" s="1" t="s">
        <v>64</v>
      </c>
      <c r="K946" s="10" t="s">
        <v>36</v>
      </c>
    </row>
    <row r="947" spans="1:11" x14ac:dyDescent="0.3">
      <c r="A947" s="6" t="s">
        <v>66</v>
      </c>
      <c r="B947" s="1" t="s">
        <v>45</v>
      </c>
      <c r="C947" s="1" t="s">
        <v>32</v>
      </c>
      <c r="D947" s="1" t="s">
        <v>33</v>
      </c>
      <c r="E947" s="1">
        <v>39</v>
      </c>
      <c r="F947" s="7">
        <v>39229</v>
      </c>
      <c r="G947" s="8">
        <v>51234</v>
      </c>
      <c r="H947" s="9">
        <v>0</v>
      </c>
      <c r="I947" s="1" t="s">
        <v>29</v>
      </c>
      <c r="J947" s="1" t="s">
        <v>30</v>
      </c>
      <c r="K947" s="10" t="s">
        <v>36</v>
      </c>
    </row>
    <row r="948" spans="1:11" x14ac:dyDescent="0.3">
      <c r="A948" s="6" t="s">
        <v>56</v>
      </c>
      <c r="B948" s="1" t="s">
        <v>52</v>
      </c>
      <c r="C948" s="1" t="s">
        <v>39</v>
      </c>
      <c r="D948" s="1" t="s">
        <v>33</v>
      </c>
      <c r="E948" s="1">
        <v>31</v>
      </c>
      <c r="F948" s="7">
        <v>42018</v>
      </c>
      <c r="G948" s="8">
        <v>230025</v>
      </c>
      <c r="H948" s="9">
        <v>0.34</v>
      </c>
      <c r="I948" s="1" t="s">
        <v>29</v>
      </c>
      <c r="J948" s="1" t="s">
        <v>43</v>
      </c>
      <c r="K948" s="10" t="s">
        <v>36</v>
      </c>
    </row>
    <row r="949" spans="1:11" x14ac:dyDescent="0.3">
      <c r="A949" s="6" t="s">
        <v>25</v>
      </c>
      <c r="B949" s="1" t="s">
        <v>52</v>
      </c>
      <c r="C949" s="1" t="s">
        <v>39</v>
      </c>
      <c r="D949" s="1" t="s">
        <v>28</v>
      </c>
      <c r="E949" s="1">
        <v>36</v>
      </c>
      <c r="F949" s="7">
        <v>40248</v>
      </c>
      <c r="G949" s="8">
        <v>134006</v>
      </c>
      <c r="H949" s="9">
        <v>0.13</v>
      </c>
      <c r="I949" s="1" t="s">
        <v>34</v>
      </c>
      <c r="J949" s="1" t="s">
        <v>64</v>
      </c>
      <c r="K949" s="10" t="s">
        <v>36</v>
      </c>
    </row>
    <row r="950" spans="1:11" x14ac:dyDescent="0.3">
      <c r="A950" s="6" t="s">
        <v>47</v>
      </c>
      <c r="B950" s="1" t="s">
        <v>38</v>
      </c>
      <c r="C950" s="1" t="s">
        <v>46</v>
      </c>
      <c r="D950" s="1" t="s">
        <v>28</v>
      </c>
      <c r="E950" s="1">
        <v>61</v>
      </c>
      <c r="F950" s="7">
        <v>40092</v>
      </c>
      <c r="G950" s="8">
        <v>103096</v>
      </c>
      <c r="H950" s="9">
        <v>7.0000000000000007E-2</v>
      </c>
      <c r="I950" s="1" t="s">
        <v>34</v>
      </c>
      <c r="J950" s="1" t="s">
        <v>64</v>
      </c>
      <c r="K950" s="10" t="s">
        <v>36</v>
      </c>
    </row>
    <row r="951" spans="1:11" x14ac:dyDescent="0.3">
      <c r="A951" s="6" t="s">
        <v>48</v>
      </c>
      <c r="B951" s="1" t="s">
        <v>50</v>
      </c>
      <c r="C951" s="1" t="s">
        <v>32</v>
      </c>
      <c r="D951" s="1" t="s">
        <v>33</v>
      </c>
      <c r="E951" s="1">
        <v>29</v>
      </c>
      <c r="F951" s="7">
        <v>42602</v>
      </c>
      <c r="G951" s="8">
        <v>58703</v>
      </c>
      <c r="H951" s="9">
        <v>0</v>
      </c>
      <c r="I951" s="1" t="s">
        <v>29</v>
      </c>
      <c r="J951" s="1" t="s">
        <v>58</v>
      </c>
      <c r="K951" s="10" t="s">
        <v>36</v>
      </c>
    </row>
    <row r="952" spans="1:11" x14ac:dyDescent="0.3">
      <c r="A952" s="6" t="s">
        <v>25</v>
      </c>
      <c r="B952" s="1" t="s">
        <v>26</v>
      </c>
      <c r="C952" s="1" t="s">
        <v>39</v>
      </c>
      <c r="D952" s="1" t="s">
        <v>33</v>
      </c>
      <c r="E952" s="1">
        <v>33</v>
      </c>
      <c r="F952" s="7">
        <v>41267</v>
      </c>
      <c r="G952" s="8">
        <v>132544</v>
      </c>
      <c r="H952" s="9">
        <v>0.1</v>
      </c>
      <c r="I952" s="1" t="s">
        <v>59</v>
      </c>
      <c r="J952" s="1" t="s">
        <v>61</v>
      </c>
      <c r="K952" s="10" t="s">
        <v>36</v>
      </c>
    </row>
    <row r="953" spans="1:11" x14ac:dyDescent="0.3">
      <c r="A953" s="6" t="s">
        <v>47</v>
      </c>
      <c r="B953" s="1" t="s">
        <v>38</v>
      </c>
      <c r="C953" s="1" t="s">
        <v>32</v>
      </c>
      <c r="D953" s="1" t="s">
        <v>33</v>
      </c>
      <c r="E953" s="1">
        <v>32</v>
      </c>
      <c r="F953" s="7">
        <v>43936</v>
      </c>
      <c r="G953" s="8">
        <v>126671</v>
      </c>
      <c r="H953" s="9">
        <v>0.09</v>
      </c>
      <c r="I953" s="1" t="s">
        <v>29</v>
      </c>
      <c r="J953" s="1" t="s">
        <v>49</v>
      </c>
      <c r="K953" s="10" t="s">
        <v>36</v>
      </c>
    </row>
    <row r="954" spans="1:11" x14ac:dyDescent="0.3">
      <c r="A954" s="6" t="s">
        <v>44</v>
      </c>
      <c r="B954" s="1" t="s">
        <v>45</v>
      </c>
      <c r="C954" s="1" t="s">
        <v>27</v>
      </c>
      <c r="D954" s="1" t="s">
        <v>28</v>
      </c>
      <c r="E954" s="1">
        <v>33</v>
      </c>
      <c r="F954" s="7">
        <v>44218</v>
      </c>
      <c r="G954" s="8">
        <v>56405</v>
      </c>
      <c r="H954" s="9">
        <v>0</v>
      </c>
      <c r="I954" s="1" t="s">
        <v>29</v>
      </c>
      <c r="J954" s="1" t="s">
        <v>40</v>
      </c>
      <c r="K954" s="10" t="s">
        <v>36</v>
      </c>
    </row>
    <row r="955" spans="1:11" x14ac:dyDescent="0.3">
      <c r="A955" s="6" t="s">
        <v>41</v>
      </c>
      <c r="B955" s="1" t="s">
        <v>26</v>
      </c>
      <c r="C955" s="1" t="s">
        <v>39</v>
      </c>
      <c r="D955" s="1" t="s">
        <v>28</v>
      </c>
      <c r="E955" s="1">
        <v>36</v>
      </c>
      <c r="F955" s="7">
        <v>41972</v>
      </c>
      <c r="G955" s="8">
        <v>88730</v>
      </c>
      <c r="H955" s="9">
        <v>0.08</v>
      </c>
      <c r="I955" s="1" t="s">
        <v>34</v>
      </c>
      <c r="J955" s="1" t="s">
        <v>35</v>
      </c>
      <c r="K955" s="10" t="s">
        <v>36</v>
      </c>
    </row>
    <row r="956" spans="1:11" x14ac:dyDescent="0.3">
      <c r="A956" s="6" t="s">
        <v>66</v>
      </c>
      <c r="B956" s="1" t="s">
        <v>38</v>
      </c>
      <c r="C956" s="1" t="s">
        <v>32</v>
      </c>
      <c r="D956" s="1" t="s">
        <v>33</v>
      </c>
      <c r="E956" s="1">
        <v>39</v>
      </c>
      <c r="F956" s="7">
        <v>39708</v>
      </c>
      <c r="G956" s="8">
        <v>62861</v>
      </c>
      <c r="H956" s="9">
        <v>0</v>
      </c>
      <c r="I956" s="1" t="s">
        <v>29</v>
      </c>
      <c r="J956" s="1" t="s">
        <v>30</v>
      </c>
      <c r="K956" s="10" t="s">
        <v>36</v>
      </c>
    </row>
    <row r="957" spans="1:11" x14ac:dyDescent="0.3">
      <c r="A957" s="6" t="s">
        <v>37</v>
      </c>
      <c r="B957" s="1" t="s">
        <v>52</v>
      </c>
      <c r="C957" s="1" t="s">
        <v>46</v>
      </c>
      <c r="D957" s="1" t="s">
        <v>28</v>
      </c>
      <c r="E957" s="1">
        <v>53</v>
      </c>
      <c r="F957" s="7">
        <v>38919</v>
      </c>
      <c r="G957" s="8">
        <v>151246</v>
      </c>
      <c r="H957" s="9">
        <v>0.21</v>
      </c>
      <c r="I957" s="1" t="s">
        <v>59</v>
      </c>
      <c r="J957" s="1" t="s">
        <v>76</v>
      </c>
      <c r="K957" s="10" t="s">
        <v>36</v>
      </c>
    </row>
    <row r="958" spans="1:11" x14ac:dyDescent="0.3">
      <c r="A958" s="6" t="s">
        <v>25</v>
      </c>
      <c r="B958" s="1" t="s">
        <v>26</v>
      </c>
      <c r="C958" s="1" t="s">
        <v>32</v>
      </c>
      <c r="D958" s="1" t="s">
        <v>28</v>
      </c>
      <c r="E958" s="1">
        <v>53</v>
      </c>
      <c r="F958" s="7">
        <v>35532</v>
      </c>
      <c r="G958" s="8">
        <v>154388</v>
      </c>
      <c r="H958" s="9">
        <v>0.1</v>
      </c>
      <c r="I958" s="1" t="s">
        <v>29</v>
      </c>
      <c r="J958" s="1" t="s">
        <v>30</v>
      </c>
      <c r="K958" s="10" t="s">
        <v>36</v>
      </c>
    </row>
    <row r="959" spans="1:11" x14ac:dyDescent="0.3">
      <c r="A959" s="6" t="s">
        <v>37</v>
      </c>
      <c r="B959" s="1" t="s">
        <v>52</v>
      </c>
      <c r="C959" s="1" t="s">
        <v>32</v>
      </c>
      <c r="D959" s="1" t="s">
        <v>28</v>
      </c>
      <c r="E959" s="1">
        <v>54</v>
      </c>
      <c r="F959" s="7">
        <v>34603</v>
      </c>
      <c r="G959" s="8">
        <v>162978</v>
      </c>
      <c r="H959" s="9">
        <v>0.17</v>
      </c>
      <c r="I959" s="1" t="s">
        <v>29</v>
      </c>
      <c r="J959" s="1" t="s">
        <v>49</v>
      </c>
      <c r="K959" s="10">
        <v>38131</v>
      </c>
    </row>
    <row r="960" spans="1:11" x14ac:dyDescent="0.3">
      <c r="A960" s="6" t="s">
        <v>84</v>
      </c>
      <c r="B960" s="1" t="s">
        <v>26</v>
      </c>
      <c r="C960" s="1" t="s">
        <v>39</v>
      </c>
      <c r="D960" s="1" t="s">
        <v>33</v>
      </c>
      <c r="E960" s="1">
        <v>55</v>
      </c>
      <c r="F960" s="7">
        <v>34290</v>
      </c>
      <c r="G960" s="8">
        <v>80170</v>
      </c>
      <c r="H960" s="9">
        <v>0</v>
      </c>
      <c r="I960" s="1" t="s">
        <v>29</v>
      </c>
      <c r="J960" s="1" t="s">
        <v>49</v>
      </c>
      <c r="K960" s="10" t="s">
        <v>36</v>
      </c>
    </row>
    <row r="961" spans="1:11" x14ac:dyDescent="0.3">
      <c r="A961" s="6" t="s">
        <v>42</v>
      </c>
      <c r="B961" s="1" t="s">
        <v>50</v>
      </c>
      <c r="C961" s="1" t="s">
        <v>32</v>
      </c>
      <c r="D961" s="1" t="s">
        <v>28</v>
      </c>
      <c r="E961" s="1">
        <v>44</v>
      </c>
      <c r="F961" s="7">
        <v>44314</v>
      </c>
      <c r="G961" s="8">
        <v>98520</v>
      </c>
      <c r="H961" s="9">
        <v>0</v>
      </c>
      <c r="I961" s="1" t="s">
        <v>29</v>
      </c>
      <c r="J961" s="1" t="s">
        <v>49</v>
      </c>
      <c r="K961" s="10" t="s">
        <v>36</v>
      </c>
    </row>
    <row r="962" spans="1:11" x14ac:dyDescent="0.3">
      <c r="A962" s="6" t="s">
        <v>47</v>
      </c>
      <c r="B962" s="1" t="s">
        <v>38</v>
      </c>
      <c r="C962" s="1" t="s">
        <v>32</v>
      </c>
      <c r="D962" s="1" t="s">
        <v>33</v>
      </c>
      <c r="E962" s="1">
        <v>52</v>
      </c>
      <c r="F962" s="7">
        <v>36523</v>
      </c>
      <c r="G962" s="8">
        <v>116527</v>
      </c>
      <c r="H962" s="9">
        <v>7.0000000000000007E-2</v>
      </c>
      <c r="I962" s="1" t="s">
        <v>29</v>
      </c>
      <c r="J962" s="1" t="s">
        <v>43</v>
      </c>
      <c r="K962" s="10" t="s">
        <v>36</v>
      </c>
    </row>
    <row r="963" spans="1:11" x14ac:dyDescent="0.3">
      <c r="A963" s="6" t="s">
        <v>37</v>
      </c>
      <c r="B963" s="1" t="s">
        <v>45</v>
      </c>
      <c r="C963" s="1" t="s">
        <v>27</v>
      </c>
      <c r="D963" s="1" t="s">
        <v>33</v>
      </c>
      <c r="E963" s="1">
        <v>27</v>
      </c>
      <c r="F963" s="7">
        <v>43776</v>
      </c>
      <c r="G963" s="8">
        <v>174607</v>
      </c>
      <c r="H963" s="9">
        <v>0.28999999999999998</v>
      </c>
      <c r="I963" s="1" t="s">
        <v>29</v>
      </c>
      <c r="J963" s="1" t="s">
        <v>58</v>
      </c>
      <c r="K963" s="10" t="s">
        <v>36</v>
      </c>
    </row>
    <row r="964" spans="1:11" x14ac:dyDescent="0.3">
      <c r="A964" s="6" t="s">
        <v>66</v>
      </c>
      <c r="B964" s="1" t="s">
        <v>50</v>
      </c>
      <c r="C964" s="1" t="s">
        <v>27</v>
      </c>
      <c r="D964" s="1" t="s">
        <v>33</v>
      </c>
      <c r="E964" s="1">
        <v>58</v>
      </c>
      <c r="F964" s="7">
        <v>38819</v>
      </c>
      <c r="G964" s="8">
        <v>64202</v>
      </c>
      <c r="H964" s="9">
        <v>0</v>
      </c>
      <c r="I964" s="1" t="s">
        <v>29</v>
      </c>
      <c r="J964" s="1" t="s">
        <v>58</v>
      </c>
      <c r="K964" s="10" t="s">
        <v>36</v>
      </c>
    </row>
    <row r="965" spans="1:11" x14ac:dyDescent="0.3">
      <c r="A965" s="6" t="s">
        <v>66</v>
      </c>
      <c r="B965" s="1" t="s">
        <v>50</v>
      </c>
      <c r="C965" s="1" t="s">
        <v>46</v>
      </c>
      <c r="D965" s="1" t="s">
        <v>33</v>
      </c>
      <c r="E965" s="1">
        <v>49</v>
      </c>
      <c r="F965" s="7">
        <v>43671</v>
      </c>
      <c r="G965" s="8">
        <v>50883</v>
      </c>
      <c r="H965" s="9">
        <v>0</v>
      </c>
      <c r="I965" s="1" t="s">
        <v>34</v>
      </c>
      <c r="J965" s="1" t="s">
        <v>35</v>
      </c>
      <c r="K965" s="10">
        <v>44257</v>
      </c>
    </row>
    <row r="966" spans="1:11" x14ac:dyDescent="0.3">
      <c r="A966" s="6" t="s">
        <v>78</v>
      </c>
      <c r="B966" s="1" t="s">
        <v>26</v>
      </c>
      <c r="C966" s="1" t="s">
        <v>39</v>
      </c>
      <c r="D966" s="1" t="s">
        <v>28</v>
      </c>
      <c r="E966" s="1">
        <v>36</v>
      </c>
      <c r="F966" s="7">
        <v>42677</v>
      </c>
      <c r="G966" s="8">
        <v>94618</v>
      </c>
      <c r="H966" s="9">
        <v>0</v>
      </c>
      <c r="I966" s="1" t="s">
        <v>29</v>
      </c>
      <c r="J966" s="1" t="s">
        <v>58</v>
      </c>
      <c r="K966" s="10" t="s">
        <v>36</v>
      </c>
    </row>
    <row r="967" spans="1:11" x14ac:dyDescent="0.3">
      <c r="A967" s="6" t="s">
        <v>37</v>
      </c>
      <c r="B967" s="1" t="s">
        <v>57</v>
      </c>
      <c r="C967" s="1" t="s">
        <v>27</v>
      </c>
      <c r="D967" s="1" t="s">
        <v>33</v>
      </c>
      <c r="E967" s="1">
        <v>26</v>
      </c>
      <c r="F967" s="7">
        <v>43753</v>
      </c>
      <c r="G967" s="8">
        <v>151556</v>
      </c>
      <c r="H967" s="9">
        <v>0.2</v>
      </c>
      <c r="I967" s="1" t="s">
        <v>29</v>
      </c>
      <c r="J967" s="1" t="s">
        <v>49</v>
      </c>
      <c r="K967" s="10" t="s">
        <v>36</v>
      </c>
    </row>
    <row r="968" spans="1:11" x14ac:dyDescent="0.3">
      <c r="A968" s="6" t="s">
        <v>80</v>
      </c>
      <c r="B968" s="1" t="s">
        <v>54</v>
      </c>
      <c r="C968" s="1" t="s">
        <v>27</v>
      </c>
      <c r="D968" s="1" t="s">
        <v>28</v>
      </c>
      <c r="E968" s="1">
        <v>37</v>
      </c>
      <c r="F968" s="7">
        <v>43898</v>
      </c>
      <c r="G968" s="8">
        <v>80659</v>
      </c>
      <c r="H968" s="9">
        <v>0</v>
      </c>
      <c r="I968" s="1" t="s">
        <v>29</v>
      </c>
      <c r="J968" s="1" t="s">
        <v>43</v>
      </c>
      <c r="K968" s="10" t="s">
        <v>36</v>
      </c>
    </row>
    <row r="969" spans="1:11" x14ac:dyDescent="0.3">
      <c r="A969" s="6" t="s">
        <v>37</v>
      </c>
      <c r="B969" s="1" t="s">
        <v>52</v>
      </c>
      <c r="C969" s="1" t="s">
        <v>39</v>
      </c>
      <c r="D969" s="1" t="s">
        <v>33</v>
      </c>
      <c r="E969" s="1">
        <v>47</v>
      </c>
      <c r="F969" s="7">
        <v>43772</v>
      </c>
      <c r="G969" s="8">
        <v>195385</v>
      </c>
      <c r="H969" s="9">
        <v>0.21</v>
      </c>
      <c r="I969" s="1" t="s">
        <v>34</v>
      </c>
      <c r="J969" s="1" t="s">
        <v>68</v>
      </c>
      <c r="K969" s="10" t="s">
        <v>36</v>
      </c>
    </row>
    <row r="970" spans="1:11" x14ac:dyDescent="0.3">
      <c r="A970" s="6" t="s">
        <v>83</v>
      </c>
      <c r="B970" s="1" t="s">
        <v>26</v>
      </c>
      <c r="C970" s="1" t="s">
        <v>39</v>
      </c>
      <c r="D970" s="1" t="s">
        <v>33</v>
      </c>
      <c r="E970" s="1">
        <v>29</v>
      </c>
      <c r="F970" s="7">
        <v>42509</v>
      </c>
      <c r="G970" s="8">
        <v>52693</v>
      </c>
      <c r="H970" s="9">
        <v>0</v>
      </c>
      <c r="I970" s="1" t="s">
        <v>59</v>
      </c>
      <c r="J970" s="1" t="s">
        <v>61</v>
      </c>
      <c r="K970" s="10" t="s">
        <v>36</v>
      </c>
    </row>
    <row r="971" spans="1:11" x14ac:dyDescent="0.3">
      <c r="A971" s="6" t="s">
        <v>87</v>
      </c>
      <c r="B971" s="1" t="s">
        <v>26</v>
      </c>
      <c r="C971" s="1" t="s">
        <v>27</v>
      </c>
      <c r="D971" s="1" t="s">
        <v>28</v>
      </c>
      <c r="E971" s="1">
        <v>58</v>
      </c>
      <c r="F971" s="7">
        <v>42486</v>
      </c>
      <c r="G971" s="8">
        <v>72045</v>
      </c>
      <c r="H971" s="9">
        <v>0</v>
      </c>
      <c r="I971" s="1" t="s">
        <v>29</v>
      </c>
      <c r="J971" s="1" t="s">
        <v>43</v>
      </c>
      <c r="K971" s="10" t="s">
        <v>36</v>
      </c>
    </row>
    <row r="972" spans="1:11" x14ac:dyDescent="0.3">
      <c r="A972" s="6" t="s">
        <v>66</v>
      </c>
      <c r="B972" s="1" t="s">
        <v>57</v>
      </c>
      <c r="C972" s="1" t="s">
        <v>32</v>
      </c>
      <c r="D972" s="1" t="s">
        <v>33</v>
      </c>
      <c r="E972" s="1">
        <v>47</v>
      </c>
      <c r="F972" s="7">
        <v>38684</v>
      </c>
      <c r="G972" s="8">
        <v>62749</v>
      </c>
      <c r="H972" s="9">
        <v>0</v>
      </c>
      <c r="I972" s="1" t="s">
        <v>59</v>
      </c>
      <c r="J972" s="1" t="s">
        <v>60</v>
      </c>
      <c r="K972" s="10" t="s">
        <v>36</v>
      </c>
    </row>
    <row r="973" spans="1:11" x14ac:dyDescent="0.3">
      <c r="A973" s="6" t="s">
        <v>25</v>
      </c>
      <c r="B973" s="1" t="s">
        <v>57</v>
      </c>
      <c r="C973" s="1" t="s">
        <v>39</v>
      </c>
      <c r="D973" s="1" t="s">
        <v>33</v>
      </c>
      <c r="E973" s="1">
        <v>52</v>
      </c>
      <c r="F973" s="7">
        <v>43255</v>
      </c>
      <c r="G973" s="8">
        <v>154884</v>
      </c>
      <c r="H973" s="9">
        <v>0.1</v>
      </c>
      <c r="I973" s="1" t="s">
        <v>34</v>
      </c>
      <c r="J973" s="1" t="s">
        <v>55</v>
      </c>
      <c r="K973" s="10" t="s">
        <v>36</v>
      </c>
    </row>
    <row r="974" spans="1:11" x14ac:dyDescent="0.3">
      <c r="A974" s="6" t="s">
        <v>78</v>
      </c>
      <c r="B974" s="1" t="s">
        <v>26</v>
      </c>
      <c r="C974" s="1" t="s">
        <v>27</v>
      </c>
      <c r="D974" s="1" t="s">
        <v>33</v>
      </c>
      <c r="E974" s="1">
        <v>61</v>
      </c>
      <c r="F974" s="7">
        <v>42437</v>
      </c>
      <c r="G974" s="8">
        <v>96566</v>
      </c>
      <c r="H974" s="9">
        <v>0</v>
      </c>
      <c r="I974" s="1" t="s">
        <v>29</v>
      </c>
      <c r="J974" s="1" t="s">
        <v>58</v>
      </c>
      <c r="K974" s="10" t="s">
        <v>36</v>
      </c>
    </row>
    <row r="975" spans="1:11" x14ac:dyDescent="0.3">
      <c r="A975" s="6" t="s">
        <v>83</v>
      </c>
      <c r="B975" s="1" t="s">
        <v>26</v>
      </c>
      <c r="C975" s="1" t="s">
        <v>27</v>
      </c>
      <c r="D975" s="1" t="s">
        <v>33</v>
      </c>
      <c r="E975" s="1">
        <v>45</v>
      </c>
      <c r="F975" s="7">
        <v>37126</v>
      </c>
      <c r="G975" s="8">
        <v>54994</v>
      </c>
      <c r="H975" s="9">
        <v>0</v>
      </c>
      <c r="I975" s="1" t="s">
        <v>29</v>
      </c>
      <c r="J975" s="1" t="s">
        <v>58</v>
      </c>
      <c r="K975" s="10" t="s">
        <v>36</v>
      </c>
    </row>
    <row r="976" spans="1:11" x14ac:dyDescent="0.3">
      <c r="A976" s="6" t="s">
        <v>87</v>
      </c>
      <c r="B976" s="1" t="s">
        <v>26</v>
      </c>
      <c r="C976" s="1" t="s">
        <v>46</v>
      </c>
      <c r="D976" s="1" t="s">
        <v>28</v>
      </c>
      <c r="E976" s="1">
        <v>40</v>
      </c>
      <c r="F976" s="7">
        <v>40944</v>
      </c>
      <c r="G976" s="8">
        <v>61523</v>
      </c>
      <c r="H976" s="9">
        <v>0</v>
      </c>
      <c r="I976" s="1" t="s">
        <v>29</v>
      </c>
      <c r="J976" s="1" t="s">
        <v>58</v>
      </c>
      <c r="K976" s="10" t="s">
        <v>36</v>
      </c>
    </row>
    <row r="977" spans="1:11" x14ac:dyDescent="0.3">
      <c r="A977" s="6" t="s">
        <v>56</v>
      </c>
      <c r="B977" s="1" t="s">
        <v>52</v>
      </c>
      <c r="C977" s="1" t="s">
        <v>46</v>
      </c>
      <c r="D977" s="1" t="s">
        <v>33</v>
      </c>
      <c r="E977" s="1">
        <v>45</v>
      </c>
      <c r="F977" s="7">
        <v>40524</v>
      </c>
      <c r="G977" s="8">
        <v>190512</v>
      </c>
      <c r="H977" s="9">
        <v>0.32</v>
      </c>
      <c r="I977" s="1" t="s">
        <v>29</v>
      </c>
      <c r="J977" s="1" t="s">
        <v>58</v>
      </c>
      <c r="K977" s="10" t="s">
        <v>36</v>
      </c>
    </row>
    <row r="978" spans="1:11" x14ac:dyDescent="0.3">
      <c r="A978" s="6" t="s">
        <v>53</v>
      </c>
      <c r="B978" s="1" t="s">
        <v>54</v>
      </c>
      <c r="C978" s="1" t="s">
        <v>39</v>
      </c>
      <c r="D978" s="1" t="s">
        <v>28</v>
      </c>
      <c r="E978" s="1">
        <v>37</v>
      </c>
      <c r="F978" s="7">
        <v>41318</v>
      </c>
      <c r="G978" s="8">
        <v>124827</v>
      </c>
      <c r="H978" s="9">
        <v>0</v>
      </c>
      <c r="I978" s="1" t="s">
        <v>34</v>
      </c>
      <c r="J978" s="1" t="s">
        <v>64</v>
      </c>
      <c r="K978" s="10" t="s">
        <v>36</v>
      </c>
    </row>
    <row r="979" spans="1:11" x14ac:dyDescent="0.3">
      <c r="A979" s="6" t="s">
        <v>47</v>
      </c>
      <c r="B979" s="1" t="s">
        <v>50</v>
      </c>
      <c r="C979" s="1" t="s">
        <v>32</v>
      </c>
      <c r="D979" s="1" t="s">
        <v>33</v>
      </c>
      <c r="E979" s="1">
        <v>57</v>
      </c>
      <c r="F979" s="7">
        <v>43484</v>
      </c>
      <c r="G979" s="8">
        <v>101577</v>
      </c>
      <c r="H979" s="9">
        <v>0.05</v>
      </c>
      <c r="I979" s="1" t="s">
        <v>29</v>
      </c>
      <c r="J979" s="1" t="s">
        <v>40</v>
      </c>
      <c r="K979" s="10" t="s">
        <v>36</v>
      </c>
    </row>
    <row r="980" spans="1:11" x14ac:dyDescent="0.3">
      <c r="A980" s="6" t="s">
        <v>47</v>
      </c>
      <c r="B980" s="1" t="s">
        <v>50</v>
      </c>
      <c r="C980" s="1" t="s">
        <v>32</v>
      </c>
      <c r="D980" s="1" t="s">
        <v>28</v>
      </c>
      <c r="E980" s="1">
        <v>44</v>
      </c>
      <c r="F980" s="7">
        <v>38642</v>
      </c>
      <c r="G980" s="8">
        <v>105223</v>
      </c>
      <c r="H980" s="9">
        <v>0.1</v>
      </c>
      <c r="I980" s="1" t="s">
        <v>29</v>
      </c>
      <c r="J980" s="1" t="s">
        <v>43</v>
      </c>
      <c r="K980" s="10" t="s">
        <v>36</v>
      </c>
    </row>
    <row r="981" spans="1:11" x14ac:dyDescent="0.3">
      <c r="A981" s="6" t="s">
        <v>85</v>
      </c>
      <c r="B981" s="1" t="s">
        <v>26</v>
      </c>
      <c r="C981" s="1" t="s">
        <v>46</v>
      </c>
      <c r="D981" s="1" t="s">
        <v>33</v>
      </c>
      <c r="E981" s="1">
        <v>48</v>
      </c>
      <c r="F981" s="7">
        <v>39635</v>
      </c>
      <c r="G981" s="8">
        <v>94815</v>
      </c>
      <c r="H981" s="9">
        <v>0</v>
      </c>
      <c r="I981" s="1" t="s">
        <v>29</v>
      </c>
      <c r="J981" s="1" t="s">
        <v>40</v>
      </c>
      <c r="K981" s="10" t="s">
        <v>36</v>
      </c>
    </row>
    <row r="982" spans="1:11" x14ac:dyDescent="0.3">
      <c r="A982" s="6" t="s">
        <v>47</v>
      </c>
      <c r="B982" s="1" t="s">
        <v>50</v>
      </c>
      <c r="C982" s="1" t="s">
        <v>39</v>
      </c>
      <c r="D982" s="1" t="s">
        <v>28</v>
      </c>
      <c r="E982" s="1">
        <v>25</v>
      </c>
      <c r="F982" s="7">
        <v>44545</v>
      </c>
      <c r="G982" s="8">
        <v>114893</v>
      </c>
      <c r="H982" s="9">
        <v>0.06</v>
      </c>
      <c r="I982" s="1" t="s">
        <v>34</v>
      </c>
      <c r="J982" s="1" t="s">
        <v>68</v>
      </c>
      <c r="K982" s="10" t="s">
        <v>36</v>
      </c>
    </row>
    <row r="983" spans="1:11" x14ac:dyDescent="0.3">
      <c r="A983" s="6" t="s">
        <v>42</v>
      </c>
      <c r="B983" s="1" t="s">
        <v>57</v>
      </c>
      <c r="C983" s="1" t="s">
        <v>39</v>
      </c>
      <c r="D983" s="1" t="s">
        <v>28</v>
      </c>
      <c r="E983" s="1">
        <v>35</v>
      </c>
      <c r="F983" s="7">
        <v>42745</v>
      </c>
      <c r="G983" s="8">
        <v>80622</v>
      </c>
      <c r="H983" s="9">
        <v>0</v>
      </c>
      <c r="I983" s="1" t="s">
        <v>29</v>
      </c>
      <c r="J983" s="1" t="s">
        <v>51</v>
      </c>
      <c r="K983" s="10" t="s">
        <v>36</v>
      </c>
    </row>
    <row r="984" spans="1:11" x14ac:dyDescent="0.3">
      <c r="A984" s="6" t="s">
        <v>56</v>
      </c>
      <c r="B984" s="1" t="s">
        <v>26</v>
      </c>
      <c r="C984" s="1" t="s">
        <v>39</v>
      </c>
      <c r="D984" s="1" t="s">
        <v>28</v>
      </c>
      <c r="E984" s="1">
        <v>57</v>
      </c>
      <c r="F984" s="7">
        <v>42685</v>
      </c>
      <c r="G984" s="8">
        <v>246589</v>
      </c>
      <c r="H984" s="9">
        <v>0.33</v>
      </c>
      <c r="I984" s="1" t="s">
        <v>29</v>
      </c>
      <c r="J984" s="1" t="s">
        <v>43</v>
      </c>
      <c r="K984" s="10">
        <v>42820</v>
      </c>
    </row>
    <row r="985" spans="1:11" x14ac:dyDescent="0.3">
      <c r="A985" s="6" t="s">
        <v>47</v>
      </c>
      <c r="B985" s="1" t="s">
        <v>57</v>
      </c>
      <c r="C985" s="1" t="s">
        <v>39</v>
      </c>
      <c r="D985" s="1" t="s">
        <v>33</v>
      </c>
      <c r="E985" s="1">
        <v>49</v>
      </c>
      <c r="F985" s="7">
        <v>43240</v>
      </c>
      <c r="G985" s="8">
        <v>119397</v>
      </c>
      <c r="H985" s="9">
        <v>0.09</v>
      </c>
      <c r="I985" s="1" t="s">
        <v>34</v>
      </c>
      <c r="J985" s="1" t="s">
        <v>64</v>
      </c>
      <c r="K985" s="10">
        <v>43538</v>
      </c>
    </row>
    <row r="986" spans="1:11" x14ac:dyDescent="0.3">
      <c r="A986" s="6" t="s">
        <v>37</v>
      </c>
      <c r="B986" s="1" t="s">
        <v>45</v>
      </c>
      <c r="C986" s="1" t="s">
        <v>46</v>
      </c>
      <c r="D986" s="1" t="s">
        <v>28</v>
      </c>
      <c r="E986" s="1">
        <v>25</v>
      </c>
      <c r="F986" s="7">
        <v>44549</v>
      </c>
      <c r="G986" s="8">
        <v>150666</v>
      </c>
      <c r="H986" s="9">
        <v>0.23</v>
      </c>
      <c r="I986" s="1" t="s">
        <v>34</v>
      </c>
      <c r="J986" s="1" t="s">
        <v>68</v>
      </c>
      <c r="K986" s="10" t="s">
        <v>36</v>
      </c>
    </row>
    <row r="987" spans="1:11" x14ac:dyDescent="0.3">
      <c r="A987" s="6" t="s">
        <v>25</v>
      </c>
      <c r="B987" s="1" t="s">
        <v>26</v>
      </c>
      <c r="C987" s="1" t="s">
        <v>27</v>
      </c>
      <c r="D987" s="1" t="s">
        <v>28</v>
      </c>
      <c r="E987" s="1">
        <v>46</v>
      </c>
      <c r="F987" s="7">
        <v>37265</v>
      </c>
      <c r="G987" s="8">
        <v>148035</v>
      </c>
      <c r="H987" s="9">
        <v>0.14000000000000001</v>
      </c>
      <c r="I987" s="1" t="s">
        <v>29</v>
      </c>
      <c r="J987" s="1" t="s">
        <v>43</v>
      </c>
      <c r="K987" s="10" t="s">
        <v>36</v>
      </c>
    </row>
    <row r="988" spans="1:11" x14ac:dyDescent="0.3">
      <c r="A988" s="6" t="s">
        <v>37</v>
      </c>
      <c r="B988" s="1" t="s">
        <v>38</v>
      </c>
      <c r="C988" s="1" t="s">
        <v>46</v>
      </c>
      <c r="D988" s="1" t="s">
        <v>33</v>
      </c>
      <c r="E988" s="1">
        <v>60</v>
      </c>
      <c r="F988" s="7">
        <v>42891</v>
      </c>
      <c r="G988" s="8">
        <v>158898</v>
      </c>
      <c r="H988" s="9">
        <v>0.18</v>
      </c>
      <c r="I988" s="1" t="s">
        <v>29</v>
      </c>
      <c r="J988" s="1" t="s">
        <v>49</v>
      </c>
      <c r="K988" s="10" t="s">
        <v>36</v>
      </c>
    </row>
    <row r="989" spans="1:11" x14ac:dyDescent="0.3">
      <c r="A989" s="6" t="s">
        <v>71</v>
      </c>
      <c r="B989" s="1" t="s">
        <v>54</v>
      </c>
      <c r="C989" s="1" t="s">
        <v>46</v>
      </c>
      <c r="D989" s="1" t="s">
        <v>28</v>
      </c>
      <c r="E989" s="1">
        <v>45</v>
      </c>
      <c r="F989" s="7">
        <v>40967</v>
      </c>
      <c r="G989" s="8">
        <v>89659</v>
      </c>
      <c r="H989" s="9">
        <v>0</v>
      </c>
      <c r="I989" s="1" t="s">
        <v>34</v>
      </c>
      <c r="J989" s="1" t="s">
        <v>64</v>
      </c>
      <c r="K989" s="10" t="s">
        <v>36</v>
      </c>
    </row>
    <row r="990" spans="1:11" x14ac:dyDescent="0.3">
      <c r="A990" s="6" t="s">
        <v>37</v>
      </c>
      <c r="B990" s="1" t="s">
        <v>45</v>
      </c>
      <c r="C990" s="1" t="s">
        <v>39</v>
      </c>
      <c r="D990" s="1" t="s">
        <v>28</v>
      </c>
      <c r="E990" s="1">
        <v>39</v>
      </c>
      <c r="F990" s="7">
        <v>39201</v>
      </c>
      <c r="G990" s="8">
        <v>171487</v>
      </c>
      <c r="H990" s="9">
        <v>0.23</v>
      </c>
      <c r="I990" s="1" t="s">
        <v>29</v>
      </c>
      <c r="J990" s="1" t="s">
        <v>43</v>
      </c>
      <c r="K990" s="10" t="s">
        <v>36</v>
      </c>
    </row>
    <row r="991" spans="1:11" x14ac:dyDescent="0.3">
      <c r="A991" s="6" t="s">
        <v>56</v>
      </c>
      <c r="B991" s="1" t="s">
        <v>45</v>
      </c>
      <c r="C991" s="1" t="s">
        <v>32</v>
      </c>
      <c r="D991" s="1" t="s">
        <v>28</v>
      </c>
      <c r="E991" s="1">
        <v>43</v>
      </c>
      <c r="F991" s="7">
        <v>42603</v>
      </c>
      <c r="G991" s="8">
        <v>258498</v>
      </c>
      <c r="H991" s="9">
        <v>0.35</v>
      </c>
      <c r="I991" s="1" t="s">
        <v>29</v>
      </c>
      <c r="J991" s="1" t="s">
        <v>58</v>
      </c>
      <c r="K991" s="10" t="s">
        <v>36</v>
      </c>
    </row>
    <row r="992" spans="1:11" x14ac:dyDescent="0.3">
      <c r="A992" s="6" t="s">
        <v>25</v>
      </c>
      <c r="B992" s="1" t="s">
        <v>26</v>
      </c>
      <c r="C992" s="1" t="s">
        <v>27</v>
      </c>
      <c r="D992" s="1" t="s">
        <v>33</v>
      </c>
      <c r="E992" s="1">
        <v>37</v>
      </c>
      <c r="F992" s="7">
        <v>40511</v>
      </c>
      <c r="G992" s="8">
        <v>146961</v>
      </c>
      <c r="H992" s="9">
        <v>0.11</v>
      </c>
      <c r="I992" s="1" t="s">
        <v>29</v>
      </c>
      <c r="J992" s="1" t="s">
        <v>58</v>
      </c>
      <c r="K992" s="10" t="s">
        <v>36</v>
      </c>
    </row>
    <row r="993" spans="1:11" x14ac:dyDescent="0.3">
      <c r="A993" s="6" t="s">
        <v>69</v>
      </c>
      <c r="B993" s="1" t="s">
        <v>52</v>
      </c>
      <c r="C993" s="1" t="s">
        <v>27</v>
      </c>
      <c r="D993" s="1" t="s">
        <v>33</v>
      </c>
      <c r="E993" s="1">
        <v>48</v>
      </c>
      <c r="F993" s="7">
        <v>35907</v>
      </c>
      <c r="G993" s="8">
        <v>85369</v>
      </c>
      <c r="H993" s="9">
        <v>0</v>
      </c>
      <c r="I993" s="1" t="s">
        <v>59</v>
      </c>
      <c r="J993" s="1" t="s">
        <v>60</v>
      </c>
      <c r="K993" s="10">
        <v>38318</v>
      </c>
    </row>
    <row r="994" spans="1:11" x14ac:dyDescent="0.3">
      <c r="A994" s="6" t="s">
        <v>31</v>
      </c>
      <c r="B994" s="1" t="s">
        <v>26</v>
      </c>
      <c r="C994" s="1" t="s">
        <v>32</v>
      </c>
      <c r="D994" s="1" t="s">
        <v>33</v>
      </c>
      <c r="E994" s="1">
        <v>30</v>
      </c>
      <c r="F994" s="7">
        <v>42169</v>
      </c>
      <c r="G994" s="8">
        <v>67489</v>
      </c>
      <c r="H994" s="9">
        <v>0</v>
      </c>
      <c r="I994" s="1" t="s">
        <v>29</v>
      </c>
      <c r="J994" s="1" t="s">
        <v>40</v>
      </c>
      <c r="K994" s="10" t="s">
        <v>36</v>
      </c>
    </row>
    <row r="995" spans="1:11" x14ac:dyDescent="0.3">
      <c r="A995" s="6" t="s">
        <v>37</v>
      </c>
      <c r="B995" s="1" t="s">
        <v>26</v>
      </c>
      <c r="C995" s="1" t="s">
        <v>32</v>
      </c>
      <c r="D995" s="1" t="s">
        <v>28</v>
      </c>
      <c r="E995" s="1">
        <v>46</v>
      </c>
      <c r="F995" s="7">
        <v>43379</v>
      </c>
      <c r="G995" s="8">
        <v>166259</v>
      </c>
      <c r="H995" s="9">
        <v>0.17</v>
      </c>
      <c r="I995" s="1" t="s">
        <v>29</v>
      </c>
      <c r="J995" s="1" t="s">
        <v>40</v>
      </c>
      <c r="K995" s="10" t="s">
        <v>36</v>
      </c>
    </row>
    <row r="996" spans="1:11" x14ac:dyDescent="0.3">
      <c r="A996" s="6" t="s">
        <v>83</v>
      </c>
      <c r="B996" s="1" t="s">
        <v>26</v>
      </c>
      <c r="C996" s="1" t="s">
        <v>46</v>
      </c>
      <c r="D996" s="1" t="s">
        <v>28</v>
      </c>
      <c r="E996" s="1">
        <v>55</v>
      </c>
      <c r="F996" s="7">
        <v>39820</v>
      </c>
      <c r="G996" s="8">
        <v>47032</v>
      </c>
      <c r="H996" s="9">
        <v>0</v>
      </c>
      <c r="I996" s="1" t="s">
        <v>29</v>
      </c>
      <c r="J996" s="1" t="s">
        <v>58</v>
      </c>
      <c r="K996" s="10" t="s">
        <v>36</v>
      </c>
    </row>
    <row r="997" spans="1:11" x14ac:dyDescent="0.3">
      <c r="A997" s="6" t="s">
        <v>42</v>
      </c>
      <c r="B997" s="1" t="s">
        <v>57</v>
      </c>
      <c r="C997" s="1" t="s">
        <v>39</v>
      </c>
      <c r="D997" s="1" t="s">
        <v>33</v>
      </c>
      <c r="E997" s="1">
        <v>33</v>
      </c>
      <c r="F997" s="7">
        <v>42631</v>
      </c>
      <c r="G997" s="8">
        <v>98427</v>
      </c>
      <c r="H997" s="9">
        <v>0</v>
      </c>
      <c r="I997" s="1" t="s">
        <v>29</v>
      </c>
      <c r="J997" s="1" t="s">
        <v>58</v>
      </c>
      <c r="K997" s="10" t="s">
        <v>36</v>
      </c>
    </row>
    <row r="998" spans="1:11" x14ac:dyDescent="0.3">
      <c r="A998" s="6" t="s">
        <v>48</v>
      </c>
      <c r="B998" s="1" t="s">
        <v>38</v>
      </c>
      <c r="C998" s="1" t="s">
        <v>39</v>
      </c>
      <c r="D998" s="1" t="s">
        <v>28</v>
      </c>
      <c r="E998" s="1">
        <v>44</v>
      </c>
      <c r="F998" s="7">
        <v>40329</v>
      </c>
      <c r="G998" s="8">
        <v>47387</v>
      </c>
      <c r="H998" s="9">
        <v>0</v>
      </c>
      <c r="I998" s="1" t="s">
        <v>34</v>
      </c>
      <c r="J998" s="1" t="s">
        <v>68</v>
      </c>
      <c r="K998" s="10">
        <v>43108</v>
      </c>
    </row>
    <row r="999" spans="1:11" x14ac:dyDescent="0.3">
      <c r="A999" s="6" t="s">
        <v>37</v>
      </c>
      <c r="B999" s="1" t="s">
        <v>57</v>
      </c>
      <c r="C999" s="1" t="s">
        <v>39</v>
      </c>
      <c r="D999" s="1" t="s">
        <v>33</v>
      </c>
      <c r="E999" s="1">
        <v>31</v>
      </c>
      <c r="F999" s="7">
        <v>43626</v>
      </c>
      <c r="G999" s="8">
        <v>176710</v>
      </c>
      <c r="H999" s="9">
        <v>0.15</v>
      </c>
      <c r="I999" s="1" t="s">
        <v>29</v>
      </c>
      <c r="J999" s="1" t="s">
        <v>49</v>
      </c>
      <c r="K999" s="10" t="s">
        <v>36</v>
      </c>
    </row>
    <row r="1000" spans="1:11" x14ac:dyDescent="0.3">
      <c r="A1000" s="6" t="s">
        <v>42</v>
      </c>
      <c r="B1000" s="1" t="s">
        <v>38</v>
      </c>
      <c r="C1000" s="1" t="s">
        <v>39</v>
      </c>
      <c r="D1000" s="1" t="s">
        <v>28</v>
      </c>
      <c r="E1000" s="1">
        <v>33</v>
      </c>
      <c r="F1000" s="7">
        <v>40936</v>
      </c>
      <c r="G1000" s="8">
        <v>95960</v>
      </c>
      <c r="H1000" s="9">
        <v>0</v>
      </c>
      <c r="I1000" s="1" t="s">
        <v>34</v>
      </c>
      <c r="J1000" s="1" t="s">
        <v>68</v>
      </c>
      <c r="K1000" s="10" t="s">
        <v>36</v>
      </c>
    </row>
    <row r="1001" spans="1:11" x14ac:dyDescent="0.3">
      <c r="A1001" s="11" t="s">
        <v>56</v>
      </c>
      <c r="B1001" s="12" t="s">
        <v>50</v>
      </c>
      <c r="C1001" s="12" t="s">
        <v>46</v>
      </c>
      <c r="D1001" s="12" t="s">
        <v>28</v>
      </c>
      <c r="E1001" s="12">
        <v>63</v>
      </c>
      <c r="F1001" s="13">
        <v>44038</v>
      </c>
      <c r="G1001" s="14">
        <v>216195</v>
      </c>
      <c r="H1001" s="15">
        <v>0.31</v>
      </c>
      <c r="I1001" s="12" t="s">
        <v>29</v>
      </c>
      <c r="J1001" s="12" t="s">
        <v>49</v>
      </c>
      <c r="K1001" s="16"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9DA4C-1830-4EE8-A2FC-A9F10DBC3AD5}">
  <dimension ref="A1:T1001"/>
  <sheetViews>
    <sheetView topLeftCell="A16" workbookViewId="0">
      <selection activeCell="C24" sqref="C24"/>
    </sheetView>
  </sheetViews>
  <sheetFormatPr defaultRowHeight="14.4" x14ac:dyDescent="0.3"/>
  <cols>
    <col min="1" max="1" width="13.777343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1.88671875" bestFit="1" customWidth="1"/>
    <col min="8" max="8" width="10.88671875" bestFit="1" customWidth="1"/>
    <col min="9" max="9" width="14.77734375" bestFit="1" customWidth="1"/>
    <col min="10" max="10" width="12.77734375" bestFit="1" customWidth="1"/>
    <col min="11" max="11" width="10.33203125" bestFit="1" customWidth="1"/>
    <col min="12" max="12" width="11.88671875" bestFit="1" customWidth="1"/>
    <col min="13" max="13" width="12.44140625" bestFit="1" customWidth="1"/>
    <col min="14" max="14" width="10.5546875" bestFit="1" customWidth="1"/>
    <col min="15" max="15" width="11.88671875" bestFit="1" customWidth="1"/>
    <col min="17" max="17" width="12.5546875" bestFit="1" customWidth="1"/>
    <col min="18" max="18" width="6.33203125" bestFit="1" customWidth="1"/>
    <col min="19" max="19" width="15.5546875" bestFit="1" customWidth="1"/>
    <col min="20" max="20" width="19.21875" bestFit="1" customWidth="1"/>
    <col min="21" max="21" width="15.5546875" bestFit="1" customWidth="1"/>
    <col min="22" max="22" width="10.77734375" bestFit="1" customWidth="1"/>
  </cols>
  <sheetData>
    <row r="1" spans="1:20" x14ac:dyDescent="0.3">
      <c r="A1" t="s">
        <v>117</v>
      </c>
      <c r="B1" t="s">
        <v>14</v>
      </c>
      <c r="C1" t="s">
        <v>15</v>
      </c>
      <c r="D1" t="s">
        <v>16</v>
      </c>
      <c r="E1" t="s">
        <v>17</v>
      </c>
      <c r="F1" t="s">
        <v>18</v>
      </c>
      <c r="G1" t="s">
        <v>118</v>
      </c>
      <c r="H1" t="s">
        <v>19</v>
      </c>
      <c r="I1" t="s">
        <v>20</v>
      </c>
      <c r="J1" t="s">
        <v>119</v>
      </c>
      <c r="K1" t="s">
        <v>21</v>
      </c>
      <c r="L1" t="s">
        <v>22</v>
      </c>
      <c r="M1" t="s">
        <v>23</v>
      </c>
      <c r="N1" t="s">
        <v>24</v>
      </c>
      <c r="O1" t="s">
        <v>120</v>
      </c>
    </row>
    <row r="2" spans="1:20" x14ac:dyDescent="0.3">
      <c r="A2" t="s">
        <v>121</v>
      </c>
      <c r="B2" t="s">
        <v>25</v>
      </c>
      <c r="C2" t="s">
        <v>26</v>
      </c>
      <c r="D2" t="s">
        <v>27</v>
      </c>
      <c r="E2" t="s">
        <v>28</v>
      </c>
      <c r="F2">
        <v>55</v>
      </c>
      <c r="G2" t="s">
        <v>122</v>
      </c>
      <c r="H2" s="17">
        <v>42468</v>
      </c>
      <c r="I2">
        <v>141604</v>
      </c>
      <c r="J2">
        <v>162845</v>
      </c>
      <c r="K2">
        <v>0.15</v>
      </c>
      <c r="L2" t="s">
        <v>29</v>
      </c>
      <c r="M2" t="s">
        <v>30</v>
      </c>
      <c r="N2" s="17">
        <v>44485</v>
      </c>
      <c r="O2">
        <v>1</v>
      </c>
    </row>
    <row r="3" spans="1:20" x14ac:dyDescent="0.3">
      <c r="A3" t="s">
        <v>123</v>
      </c>
      <c r="B3" t="s">
        <v>31</v>
      </c>
      <c r="C3" t="s">
        <v>26</v>
      </c>
      <c r="D3" t="s">
        <v>32</v>
      </c>
      <c r="E3" t="s">
        <v>33</v>
      </c>
      <c r="F3">
        <v>59</v>
      </c>
      <c r="G3" t="s">
        <v>122</v>
      </c>
      <c r="H3" s="17">
        <v>35763</v>
      </c>
      <c r="I3">
        <v>99975</v>
      </c>
      <c r="J3">
        <v>99975</v>
      </c>
      <c r="K3">
        <v>0</v>
      </c>
      <c r="L3" t="s">
        <v>34</v>
      </c>
      <c r="M3" t="s">
        <v>35</v>
      </c>
      <c r="N3" s="17"/>
      <c r="O3">
        <v>0</v>
      </c>
    </row>
    <row r="4" spans="1:20" x14ac:dyDescent="0.3">
      <c r="A4" t="s">
        <v>124</v>
      </c>
      <c r="B4" t="s">
        <v>37</v>
      </c>
      <c r="C4" t="s">
        <v>26</v>
      </c>
      <c r="D4" t="s">
        <v>39</v>
      </c>
      <c r="E4" t="s">
        <v>28</v>
      </c>
      <c r="F4">
        <v>50</v>
      </c>
      <c r="G4" t="s">
        <v>125</v>
      </c>
      <c r="H4" s="17">
        <v>39016</v>
      </c>
      <c r="I4">
        <v>163099</v>
      </c>
      <c r="J4">
        <v>195719</v>
      </c>
      <c r="K4">
        <v>0.2</v>
      </c>
      <c r="L4" t="s">
        <v>29</v>
      </c>
      <c r="M4" t="s">
        <v>40</v>
      </c>
      <c r="N4" s="17"/>
      <c r="O4">
        <v>0</v>
      </c>
    </row>
    <row r="5" spans="1:20" x14ac:dyDescent="0.3">
      <c r="A5" t="s">
        <v>126</v>
      </c>
      <c r="B5" t="s">
        <v>41</v>
      </c>
      <c r="C5" t="s">
        <v>26</v>
      </c>
      <c r="D5" t="s">
        <v>32</v>
      </c>
      <c r="E5" t="s">
        <v>28</v>
      </c>
      <c r="F5">
        <v>26</v>
      </c>
      <c r="G5" t="s">
        <v>127</v>
      </c>
      <c r="H5" s="17">
        <v>43735</v>
      </c>
      <c r="I5">
        <v>84913</v>
      </c>
      <c r="J5">
        <v>90857</v>
      </c>
      <c r="K5">
        <v>7.0000000000000007E-2</v>
      </c>
      <c r="L5" t="s">
        <v>29</v>
      </c>
      <c r="M5" t="s">
        <v>40</v>
      </c>
      <c r="N5" s="17"/>
      <c r="O5">
        <v>0</v>
      </c>
    </row>
    <row r="6" spans="1:20" x14ac:dyDescent="0.3">
      <c r="A6" t="s">
        <v>128</v>
      </c>
      <c r="B6" t="s">
        <v>42</v>
      </c>
      <c r="C6" t="s">
        <v>26</v>
      </c>
      <c r="D6" t="s">
        <v>32</v>
      </c>
      <c r="E6" t="s">
        <v>33</v>
      </c>
      <c r="F6">
        <v>55</v>
      </c>
      <c r="G6" t="s">
        <v>122</v>
      </c>
      <c r="H6" s="17">
        <v>35023</v>
      </c>
      <c r="I6">
        <v>95409</v>
      </c>
      <c r="J6">
        <v>95409</v>
      </c>
      <c r="K6">
        <v>0</v>
      </c>
      <c r="L6" t="s">
        <v>29</v>
      </c>
      <c r="M6" t="s">
        <v>43</v>
      </c>
      <c r="N6" s="17"/>
      <c r="O6">
        <v>0</v>
      </c>
      <c r="Q6" t="s">
        <v>1128</v>
      </c>
      <c r="T6" t="s">
        <v>2432</v>
      </c>
    </row>
    <row r="7" spans="1:20" x14ac:dyDescent="0.3">
      <c r="A7" t="s">
        <v>129</v>
      </c>
      <c r="B7" t="s">
        <v>44</v>
      </c>
      <c r="C7" t="s">
        <v>45</v>
      </c>
      <c r="D7" t="s">
        <v>46</v>
      </c>
      <c r="E7" t="s">
        <v>33</v>
      </c>
      <c r="F7">
        <v>57</v>
      </c>
      <c r="G7" t="s">
        <v>122</v>
      </c>
      <c r="H7" s="17">
        <v>42759</v>
      </c>
      <c r="I7">
        <v>50994</v>
      </c>
      <c r="J7">
        <v>50994</v>
      </c>
      <c r="K7">
        <v>0</v>
      </c>
      <c r="L7" t="s">
        <v>34</v>
      </c>
      <c r="M7" t="s">
        <v>35</v>
      </c>
      <c r="N7" s="17"/>
      <c r="O7">
        <v>0</v>
      </c>
      <c r="Q7">
        <v>1000</v>
      </c>
      <c r="T7">
        <v>113217365</v>
      </c>
    </row>
    <row r="8" spans="1:20" x14ac:dyDescent="0.3">
      <c r="A8" t="s">
        <v>130</v>
      </c>
      <c r="B8" t="s">
        <v>47</v>
      </c>
      <c r="C8" t="s">
        <v>26</v>
      </c>
      <c r="D8" t="s">
        <v>46</v>
      </c>
      <c r="E8" t="s">
        <v>28</v>
      </c>
      <c r="F8">
        <v>27</v>
      </c>
      <c r="G8" t="s">
        <v>127</v>
      </c>
      <c r="H8" s="17">
        <v>44013</v>
      </c>
      <c r="I8">
        <v>119746</v>
      </c>
      <c r="J8">
        <v>131721</v>
      </c>
      <c r="K8">
        <v>0.1</v>
      </c>
      <c r="L8" t="s">
        <v>29</v>
      </c>
      <c r="M8" t="s">
        <v>43</v>
      </c>
      <c r="N8" s="17"/>
      <c r="O8">
        <v>0</v>
      </c>
    </row>
    <row r="9" spans="1:20" x14ac:dyDescent="0.3">
      <c r="A9" t="s">
        <v>131</v>
      </c>
      <c r="B9" t="s">
        <v>48</v>
      </c>
      <c r="C9" t="s">
        <v>38</v>
      </c>
      <c r="D9" t="s">
        <v>32</v>
      </c>
      <c r="E9" t="s">
        <v>33</v>
      </c>
      <c r="F9">
        <v>25</v>
      </c>
      <c r="G9" t="s">
        <v>127</v>
      </c>
      <c r="H9" s="17">
        <v>43967</v>
      </c>
      <c r="I9">
        <v>41336</v>
      </c>
      <c r="J9">
        <v>41336</v>
      </c>
      <c r="K9">
        <v>0</v>
      </c>
      <c r="L9" t="s">
        <v>29</v>
      </c>
      <c r="M9" t="s">
        <v>49</v>
      </c>
      <c r="N9" s="17">
        <v>44336</v>
      </c>
      <c r="O9">
        <v>1</v>
      </c>
    </row>
    <row r="10" spans="1:20" x14ac:dyDescent="0.3">
      <c r="A10" t="s">
        <v>132</v>
      </c>
      <c r="B10" t="s">
        <v>47</v>
      </c>
      <c r="C10" t="s">
        <v>50</v>
      </c>
      <c r="D10" t="s">
        <v>32</v>
      </c>
      <c r="E10" t="s">
        <v>33</v>
      </c>
      <c r="F10">
        <v>29</v>
      </c>
      <c r="G10" t="s">
        <v>127</v>
      </c>
      <c r="H10" s="17">
        <v>43490</v>
      </c>
      <c r="I10">
        <v>113527</v>
      </c>
      <c r="J10">
        <v>120339</v>
      </c>
      <c r="K10">
        <v>0.06</v>
      </c>
      <c r="L10" t="s">
        <v>29</v>
      </c>
      <c r="M10" t="s">
        <v>51</v>
      </c>
      <c r="N10" s="17"/>
      <c r="O10">
        <v>0</v>
      </c>
      <c r="Q10" s="18" t="s">
        <v>1129</v>
      </c>
    </row>
    <row r="11" spans="1:20" x14ac:dyDescent="0.3">
      <c r="A11" t="s">
        <v>133</v>
      </c>
      <c r="B11" t="s">
        <v>42</v>
      </c>
      <c r="C11" t="s">
        <v>38</v>
      </c>
      <c r="D11" t="s">
        <v>39</v>
      </c>
      <c r="E11" t="s">
        <v>28</v>
      </c>
      <c r="F11">
        <v>34</v>
      </c>
      <c r="G11" t="s">
        <v>127</v>
      </c>
      <c r="H11" s="17">
        <v>43264</v>
      </c>
      <c r="I11">
        <v>77203</v>
      </c>
      <c r="J11">
        <v>77203</v>
      </c>
      <c r="K11">
        <v>0</v>
      </c>
      <c r="L11" t="s">
        <v>29</v>
      </c>
      <c r="M11" t="s">
        <v>40</v>
      </c>
      <c r="N11" s="17"/>
      <c r="O11">
        <v>0</v>
      </c>
      <c r="Q11" s="19" t="s">
        <v>127</v>
      </c>
    </row>
    <row r="12" spans="1:20" x14ac:dyDescent="0.3">
      <c r="A12" t="s">
        <v>134</v>
      </c>
      <c r="B12" t="s">
        <v>25</v>
      </c>
      <c r="C12" t="s">
        <v>52</v>
      </c>
      <c r="D12" t="s">
        <v>32</v>
      </c>
      <c r="E12" t="s">
        <v>28</v>
      </c>
      <c r="F12">
        <v>36</v>
      </c>
      <c r="G12" t="s">
        <v>135</v>
      </c>
      <c r="H12" s="17">
        <v>39855</v>
      </c>
      <c r="I12">
        <v>157333</v>
      </c>
      <c r="J12">
        <v>180933</v>
      </c>
      <c r="K12">
        <v>0.15</v>
      </c>
      <c r="L12" t="s">
        <v>29</v>
      </c>
      <c r="M12" t="s">
        <v>49</v>
      </c>
      <c r="N12" s="17"/>
      <c r="O12">
        <v>0</v>
      </c>
      <c r="Q12" s="19" t="s">
        <v>135</v>
      </c>
    </row>
    <row r="13" spans="1:20" x14ac:dyDescent="0.3">
      <c r="A13" t="s">
        <v>136</v>
      </c>
      <c r="B13" t="s">
        <v>53</v>
      </c>
      <c r="C13" t="s">
        <v>54</v>
      </c>
      <c r="D13" t="s">
        <v>39</v>
      </c>
      <c r="E13" t="s">
        <v>28</v>
      </c>
      <c r="F13">
        <v>27</v>
      </c>
      <c r="G13" t="s">
        <v>127</v>
      </c>
      <c r="H13" s="17">
        <v>44490</v>
      </c>
      <c r="I13">
        <v>109851</v>
      </c>
      <c r="J13">
        <v>109851</v>
      </c>
      <c r="K13">
        <v>0</v>
      </c>
      <c r="L13" t="s">
        <v>29</v>
      </c>
      <c r="M13" t="s">
        <v>30</v>
      </c>
      <c r="N13" s="17"/>
      <c r="O13">
        <v>0</v>
      </c>
      <c r="Q13" s="19" t="s">
        <v>125</v>
      </c>
    </row>
    <row r="14" spans="1:20" x14ac:dyDescent="0.3">
      <c r="A14" t="s">
        <v>137</v>
      </c>
      <c r="B14" t="s">
        <v>47</v>
      </c>
      <c r="C14" t="s">
        <v>52</v>
      </c>
      <c r="D14" t="s">
        <v>32</v>
      </c>
      <c r="E14" t="s">
        <v>33</v>
      </c>
      <c r="F14">
        <v>59</v>
      </c>
      <c r="G14" t="s">
        <v>122</v>
      </c>
      <c r="H14" s="17">
        <v>36233</v>
      </c>
      <c r="I14">
        <v>105086</v>
      </c>
      <c r="J14">
        <v>114544</v>
      </c>
      <c r="K14">
        <v>0.09</v>
      </c>
      <c r="L14" t="s">
        <v>29</v>
      </c>
      <c r="M14" t="s">
        <v>51</v>
      </c>
      <c r="N14" s="17"/>
      <c r="O14">
        <v>0</v>
      </c>
      <c r="Q14" s="19" t="s">
        <v>122</v>
      </c>
    </row>
    <row r="15" spans="1:20" x14ac:dyDescent="0.3">
      <c r="A15" t="s">
        <v>138</v>
      </c>
      <c r="B15" t="s">
        <v>25</v>
      </c>
      <c r="C15" t="s">
        <v>38</v>
      </c>
      <c r="D15" t="s">
        <v>27</v>
      </c>
      <c r="E15" t="s">
        <v>28</v>
      </c>
      <c r="F15">
        <v>51</v>
      </c>
      <c r="G15" t="s">
        <v>125</v>
      </c>
      <c r="H15" s="17">
        <v>44357</v>
      </c>
      <c r="I15">
        <v>146742</v>
      </c>
      <c r="J15">
        <v>161416</v>
      </c>
      <c r="K15">
        <v>0.1</v>
      </c>
      <c r="L15" t="s">
        <v>34</v>
      </c>
      <c r="M15" t="s">
        <v>55</v>
      </c>
      <c r="N15" s="17"/>
      <c r="O15">
        <v>0</v>
      </c>
      <c r="Q15" s="19" t="s">
        <v>142</v>
      </c>
    </row>
    <row r="16" spans="1:20" x14ac:dyDescent="0.3">
      <c r="A16" t="s">
        <v>139</v>
      </c>
      <c r="B16" t="s">
        <v>42</v>
      </c>
      <c r="C16" t="s">
        <v>50</v>
      </c>
      <c r="D16" t="s">
        <v>39</v>
      </c>
      <c r="E16" t="s">
        <v>33</v>
      </c>
      <c r="F16">
        <v>31</v>
      </c>
      <c r="G16" t="s">
        <v>127</v>
      </c>
      <c r="H16" s="17">
        <v>43043</v>
      </c>
      <c r="I16">
        <v>97078</v>
      </c>
      <c r="J16">
        <v>97078</v>
      </c>
      <c r="K16">
        <v>0</v>
      </c>
      <c r="L16" t="s">
        <v>29</v>
      </c>
      <c r="M16" t="s">
        <v>51</v>
      </c>
      <c r="N16" s="17">
        <v>43899</v>
      </c>
      <c r="O16">
        <v>1</v>
      </c>
      <c r="Q16" s="19" t="s">
        <v>1130</v>
      </c>
    </row>
    <row r="17" spans="1:15" x14ac:dyDescent="0.3">
      <c r="A17" t="s">
        <v>140</v>
      </c>
      <c r="B17" t="s">
        <v>56</v>
      </c>
      <c r="C17" t="s">
        <v>57</v>
      </c>
      <c r="D17" t="s">
        <v>27</v>
      </c>
      <c r="E17" t="s">
        <v>28</v>
      </c>
      <c r="F17">
        <v>41</v>
      </c>
      <c r="G17" t="s">
        <v>135</v>
      </c>
      <c r="H17" s="17">
        <v>41346</v>
      </c>
      <c r="I17">
        <v>249270</v>
      </c>
      <c r="J17">
        <v>324051</v>
      </c>
      <c r="K17">
        <v>0.3</v>
      </c>
      <c r="L17" t="s">
        <v>29</v>
      </c>
      <c r="M17" t="s">
        <v>30</v>
      </c>
      <c r="N17" s="17"/>
      <c r="O17">
        <v>0</v>
      </c>
    </row>
    <row r="18" spans="1:15" x14ac:dyDescent="0.3">
      <c r="A18" t="s">
        <v>141</v>
      </c>
      <c r="B18" t="s">
        <v>37</v>
      </c>
      <c r="C18" t="s">
        <v>38</v>
      </c>
      <c r="D18" t="s">
        <v>27</v>
      </c>
      <c r="E18" t="s">
        <v>28</v>
      </c>
      <c r="F18">
        <v>65</v>
      </c>
      <c r="G18" t="s">
        <v>142</v>
      </c>
      <c r="H18" s="17">
        <v>37319</v>
      </c>
      <c r="I18">
        <v>175837</v>
      </c>
      <c r="J18">
        <v>211004</v>
      </c>
      <c r="K18">
        <v>0.2</v>
      </c>
      <c r="L18" t="s">
        <v>29</v>
      </c>
      <c r="M18" t="s">
        <v>43</v>
      </c>
      <c r="N18" s="17"/>
      <c r="O18">
        <v>0</v>
      </c>
    </row>
    <row r="19" spans="1:15" x14ac:dyDescent="0.3">
      <c r="A19" t="s">
        <v>143</v>
      </c>
      <c r="B19" t="s">
        <v>25</v>
      </c>
      <c r="C19" t="s">
        <v>57</v>
      </c>
      <c r="D19" t="s">
        <v>39</v>
      </c>
      <c r="E19" t="s">
        <v>28</v>
      </c>
      <c r="F19">
        <v>64</v>
      </c>
      <c r="G19" t="s">
        <v>122</v>
      </c>
      <c r="H19" s="17">
        <v>37956</v>
      </c>
      <c r="I19">
        <v>154828</v>
      </c>
      <c r="J19">
        <v>174956</v>
      </c>
      <c r="K19">
        <v>0.13</v>
      </c>
      <c r="L19" t="s">
        <v>29</v>
      </c>
      <c r="M19" t="s">
        <v>30</v>
      </c>
      <c r="N19" s="17"/>
      <c r="O19">
        <v>0</v>
      </c>
    </row>
    <row r="20" spans="1:15" x14ac:dyDescent="0.3">
      <c r="A20" t="s">
        <v>144</v>
      </c>
      <c r="B20" t="s">
        <v>37</v>
      </c>
      <c r="C20" t="s">
        <v>26</v>
      </c>
      <c r="D20" t="s">
        <v>46</v>
      </c>
      <c r="E20" t="s">
        <v>33</v>
      </c>
      <c r="F20">
        <v>64</v>
      </c>
      <c r="G20" t="s">
        <v>122</v>
      </c>
      <c r="H20" s="17">
        <v>41581</v>
      </c>
      <c r="I20">
        <v>186503</v>
      </c>
      <c r="J20">
        <v>231264</v>
      </c>
      <c r="K20">
        <v>0.24</v>
      </c>
      <c r="L20" t="s">
        <v>29</v>
      </c>
      <c r="M20" t="s">
        <v>58</v>
      </c>
      <c r="N20" s="17"/>
      <c r="O20">
        <v>0</v>
      </c>
    </row>
    <row r="21" spans="1:15" x14ac:dyDescent="0.3">
      <c r="A21" t="s">
        <v>145</v>
      </c>
      <c r="B21" t="s">
        <v>37</v>
      </c>
      <c r="C21" t="s">
        <v>45</v>
      </c>
      <c r="D21" t="s">
        <v>27</v>
      </c>
      <c r="E21" t="s">
        <v>33</v>
      </c>
      <c r="F21">
        <v>45</v>
      </c>
      <c r="G21" t="s">
        <v>125</v>
      </c>
      <c r="H21" s="17">
        <v>37446</v>
      </c>
      <c r="I21">
        <v>166331</v>
      </c>
      <c r="J21">
        <v>196271</v>
      </c>
      <c r="K21">
        <v>0.18</v>
      </c>
      <c r="L21" t="s">
        <v>34</v>
      </c>
      <c r="M21" t="s">
        <v>35</v>
      </c>
      <c r="N21" s="17"/>
      <c r="O21">
        <v>0</v>
      </c>
    </row>
    <row r="22" spans="1:15" x14ac:dyDescent="0.3">
      <c r="A22" t="s">
        <v>146</v>
      </c>
      <c r="B22" t="s">
        <v>25</v>
      </c>
      <c r="C22" t="s">
        <v>26</v>
      </c>
      <c r="D22" t="s">
        <v>32</v>
      </c>
      <c r="E22" t="s">
        <v>33</v>
      </c>
      <c r="F22">
        <v>56</v>
      </c>
      <c r="G22" t="s">
        <v>122</v>
      </c>
      <c r="H22" s="17">
        <v>40917</v>
      </c>
      <c r="I22">
        <v>146140</v>
      </c>
      <c r="J22">
        <v>160754</v>
      </c>
      <c r="K22">
        <v>0.1</v>
      </c>
      <c r="L22" t="s">
        <v>59</v>
      </c>
      <c r="M22" t="s">
        <v>60</v>
      </c>
      <c r="N22" s="17"/>
      <c r="O22">
        <v>0</v>
      </c>
    </row>
    <row r="23" spans="1:15" x14ac:dyDescent="0.3">
      <c r="A23" t="s">
        <v>147</v>
      </c>
      <c r="B23" t="s">
        <v>37</v>
      </c>
      <c r="C23" t="s">
        <v>45</v>
      </c>
      <c r="D23" t="s">
        <v>32</v>
      </c>
      <c r="E23" t="s">
        <v>28</v>
      </c>
      <c r="F23">
        <v>36</v>
      </c>
      <c r="G23" t="s">
        <v>135</v>
      </c>
      <c r="H23" s="17">
        <v>44288</v>
      </c>
      <c r="I23">
        <v>151703</v>
      </c>
      <c r="J23">
        <v>183561</v>
      </c>
      <c r="K23">
        <v>0.21</v>
      </c>
      <c r="L23" t="s">
        <v>29</v>
      </c>
      <c r="M23" t="s">
        <v>49</v>
      </c>
      <c r="N23" s="17"/>
      <c r="O23">
        <v>0</v>
      </c>
    </row>
    <row r="24" spans="1:15" x14ac:dyDescent="0.3">
      <c r="A24" t="s">
        <v>148</v>
      </c>
      <c r="B24" t="s">
        <v>37</v>
      </c>
      <c r="C24" t="s">
        <v>26</v>
      </c>
      <c r="D24" t="s">
        <v>27</v>
      </c>
      <c r="E24" t="s">
        <v>33</v>
      </c>
      <c r="F24">
        <v>59</v>
      </c>
      <c r="G24" t="s">
        <v>122</v>
      </c>
      <c r="H24" s="17">
        <v>37400</v>
      </c>
      <c r="I24">
        <v>172787</v>
      </c>
      <c r="J24">
        <v>221167</v>
      </c>
      <c r="K24">
        <v>0.28000000000000003</v>
      </c>
      <c r="L24" t="s">
        <v>59</v>
      </c>
      <c r="M24" t="s">
        <v>61</v>
      </c>
      <c r="N24" s="17"/>
      <c r="O24">
        <v>0</v>
      </c>
    </row>
    <row r="25" spans="1:15" x14ac:dyDescent="0.3">
      <c r="A25" t="s">
        <v>149</v>
      </c>
      <c r="B25" t="s">
        <v>48</v>
      </c>
      <c r="C25" t="s">
        <v>45</v>
      </c>
      <c r="D25" t="s">
        <v>39</v>
      </c>
      <c r="E25" t="s">
        <v>33</v>
      </c>
      <c r="F25">
        <v>37</v>
      </c>
      <c r="G25" t="s">
        <v>135</v>
      </c>
      <c r="H25" s="17">
        <v>43713</v>
      </c>
      <c r="I25">
        <v>49998</v>
      </c>
      <c r="J25">
        <v>49998</v>
      </c>
      <c r="K25">
        <v>0</v>
      </c>
      <c r="L25" t="s">
        <v>29</v>
      </c>
      <c r="M25" t="s">
        <v>30</v>
      </c>
      <c r="N25" s="17"/>
      <c r="O25">
        <v>0</v>
      </c>
    </row>
    <row r="26" spans="1:15" x14ac:dyDescent="0.3">
      <c r="A26" t="s">
        <v>150</v>
      </c>
      <c r="B26" t="s">
        <v>56</v>
      </c>
      <c r="C26" t="s">
        <v>45</v>
      </c>
      <c r="D26" t="s">
        <v>39</v>
      </c>
      <c r="E26" t="s">
        <v>33</v>
      </c>
      <c r="F26">
        <v>44</v>
      </c>
      <c r="G26" t="s">
        <v>135</v>
      </c>
      <c r="H26" s="17">
        <v>41700</v>
      </c>
      <c r="I26">
        <v>207172</v>
      </c>
      <c r="J26">
        <v>271395</v>
      </c>
      <c r="K26">
        <v>0.31</v>
      </c>
      <c r="L26" t="s">
        <v>34</v>
      </c>
      <c r="M26" t="s">
        <v>35</v>
      </c>
      <c r="N26" s="17"/>
      <c r="O26">
        <v>0</v>
      </c>
    </row>
    <row r="27" spans="1:15" x14ac:dyDescent="0.3">
      <c r="A27" t="s">
        <v>151</v>
      </c>
      <c r="B27" t="s">
        <v>37</v>
      </c>
      <c r="C27" t="s">
        <v>52</v>
      </c>
      <c r="D27" t="s">
        <v>39</v>
      </c>
      <c r="E27" t="s">
        <v>33</v>
      </c>
      <c r="F27">
        <v>41</v>
      </c>
      <c r="G27" t="s">
        <v>135</v>
      </c>
      <c r="H27" s="17">
        <v>42111</v>
      </c>
      <c r="I27">
        <v>152239</v>
      </c>
      <c r="J27">
        <v>187254</v>
      </c>
      <c r="K27">
        <v>0.23</v>
      </c>
      <c r="L27" t="s">
        <v>29</v>
      </c>
      <c r="M27" t="s">
        <v>58</v>
      </c>
      <c r="N27" s="17"/>
      <c r="O27">
        <v>0</v>
      </c>
    </row>
    <row r="28" spans="1:15" x14ac:dyDescent="0.3">
      <c r="A28" t="s">
        <v>152</v>
      </c>
      <c r="B28" t="s">
        <v>62</v>
      </c>
      <c r="C28" t="s">
        <v>54</v>
      </c>
      <c r="D28" t="s">
        <v>46</v>
      </c>
      <c r="E28" t="s">
        <v>28</v>
      </c>
      <c r="F28">
        <v>56</v>
      </c>
      <c r="G28" t="s">
        <v>122</v>
      </c>
      <c r="H28" s="17">
        <v>38388</v>
      </c>
      <c r="I28">
        <v>98581</v>
      </c>
      <c r="J28">
        <v>98581</v>
      </c>
      <c r="K28">
        <v>0</v>
      </c>
      <c r="L28" t="s">
        <v>59</v>
      </c>
      <c r="M28" t="s">
        <v>61</v>
      </c>
      <c r="N28" s="17"/>
      <c r="O28">
        <v>0</v>
      </c>
    </row>
    <row r="29" spans="1:15" x14ac:dyDescent="0.3">
      <c r="A29" t="s">
        <v>153</v>
      </c>
      <c r="B29" t="s">
        <v>56</v>
      </c>
      <c r="C29" t="s">
        <v>54</v>
      </c>
      <c r="D29" t="s">
        <v>39</v>
      </c>
      <c r="E29" t="s">
        <v>33</v>
      </c>
      <c r="F29">
        <v>43</v>
      </c>
      <c r="G29" t="s">
        <v>135</v>
      </c>
      <c r="H29" s="17">
        <v>38145</v>
      </c>
      <c r="I29">
        <v>246231</v>
      </c>
      <c r="J29">
        <v>322563</v>
      </c>
      <c r="K29">
        <v>0.31</v>
      </c>
      <c r="L29" t="s">
        <v>29</v>
      </c>
      <c r="M29" t="s">
        <v>30</v>
      </c>
      <c r="N29" s="17"/>
      <c r="O29">
        <v>0</v>
      </c>
    </row>
    <row r="30" spans="1:15" x14ac:dyDescent="0.3">
      <c r="A30" t="s">
        <v>154</v>
      </c>
      <c r="B30" t="s">
        <v>63</v>
      </c>
      <c r="C30" t="s">
        <v>54</v>
      </c>
      <c r="D30" t="s">
        <v>39</v>
      </c>
      <c r="E30" t="s">
        <v>33</v>
      </c>
      <c r="F30">
        <v>64</v>
      </c>
      <c r="G30" t="s">
        <v>122</v>
      </c>
      <c r="H30" s="17">
        <v>35403</v>
      </c>
      <c r="I30">
        <v>99354</v>
      </c>
      <c r="J30">
        <v>111276</v>
      </c>
      <c r="K30">
        <v>0.12</v>
      </c>
      <c r="L30" t="s">
        <v>34</v>
      </c>
      <c r="M30" t="s">
        <v>64</v>
      </c>
      <c r="N30" s="17"/>
      <c r="O30">
        <v>0</v>
      </c>
    </row>
    <row r="31" spans="1:15" x14ac:dyDescent="0.3">
      <c r="A31" t="s">
        <v>155</v>
      </c>
      <c r="B31" t="s">
        <v>56</v>
      </c>
      <c r="C31" t="s">
        <v>26</v>
      </c>
      <c r="D31" t="s">
        <v>46</v>
      </c>
      <c r="E31" t="s">
        <v>33</v>
      </c>
      <c r="F31">
        <v>63</v>
      </c>
      <c r="G31" t="s">
        <v>122</v>
      </c>
      <c r="H31" s="17">
        <v>41040</v>
      </c>
      <c r="I31">
        <v>231141</v>
      </c>
      <c r="J31">
        <v>309729</v>
      </c>
      <c r="K31">
        <v>0.34</v>
      </c>
      <c r="L31" t="s">
        <v>34</v>
      </c>
      <c r="M31" t="s">
        <v>64</v>
      </c>
      <c r="N31" s="17"/>
      <c r="O31">
        <v>0</v>
      </c>
    </row>
    <row r="32" spans="1:15" x14ac:dyDescent="0.3">
      <c r="A32" t="s">
        <v>156</v>
      </c>
      <c r="B32" t="s">
        <v>65</v>
      </c>
      <c r="C32" t="s">
        <v>26</v>
      </c>
      <c r="D32" t="s">
        <v>27</v>
      </c>
      <c r="E32" t="s">
        <v>33</v>
      </c>
      <c r="F32">
        <v>28</v>
      </c>
      <c r="G32" t="s">
        <v>127</v>
      </c>
      <c r="H32" s="17">
        <v>42911</v>
      </c>
      <c r="I32">
        <v>54775</v>
      </c>
      <c r="J32">
        <v>54775</v>
      </c>
      <c r="K32">
        <v>0</v>
      </c>
      <c r="L32" t="s">
        <v>29</v>
      </c>
      <c r="M32" t="s">
        <v>58</v>
      </c>
      <c r="N32" s="17"/>
      <c r="O32">
        <v>0</v>
      </c>
    </row>
    <row r="33" spans="1:15" x14ac:dyDescent="0.3">
      <c r="A33" t="s">
        <v>157</v>
      </c>
      <c r="B33" t="s">
        <v>48</v>
      </c>
      <c r="C33" t="s">
        <v>38</v>
      </c>
      <c r="D33" t="s">
        <v>32</v>
      </c>
      <c r="E33" t="s">
        <v>33</v>
      </c>
      <c r="F33">
        <v>65</v>
      </c>
      <c r="G33" t="s">
        <v>142</v>
      </c>
      <c r="H33" s="17">
        <v>38123</v>
      </c>
      <c r="I33">
        <v>55499</v>
      </c>
      <c r="J33">
        <v>55499</v>
      </c>
      <c r="K33">
        <v>0</v>
      </c>
      <c r="L33" t="s">
        <v>59</v>
      </c>
      <c r="M33" t="s">
        <v>60</v>
      </c>
      <c r="N33" s="17"/>
      <c r="O33">
        <v>0</v>
      </c>
    </row>
    <row r="34" spans="1:15" x14ac:dyDescent="0.3">
      <c r="A34" t="s">
        <v>158</v>
      </c>
      <c r="B34" t="s">
        <v>66</v>
      </c>
      <c r="C34" t="s">
        <v>45</v>
      </c>
      <c r="D34" t="s">
        <v>27</v>
      </c>
      <c r="E34" t="s">
        <v>33</v>
      </c>
      <c r="F34">
        <v>61</v>
      </c>
      <c r="G34" t="s">
        <v>122</v>
      </c>
      <c r="H34" s="17">
        <v>39640</v>
      </c>
      <c r="I34">
        <v>66521</v>
      </c>
      <c r="J34">
        <v>66521</v>
      </c>
      <c r="K34">
        <v>0</v>
      </c>
      <c r="L34" t="s">
        <v>29</v>
      </c>
      <c r="M34" t="s">
        <v>30</v>
      </c>
      <c r="N34" s="17"/>
      <c r="O34">
        <v>0</v>
      </c>
    </row>
    <row r="35" spans="1:15" x14ac:dyDescent="0.3">
      <c r="A35" t="s">
        <v>159</v>
      </c>
      <c r="B35" t="s">
        <v>44</v>
      </c>
      <c r="C35" t="s">
        <v>45</v>
      </c>
      <c r="D35" t="s">
        <v>39</v>
      </c>
      <c r="E35" t="s">
        <v>33</v>
      </c>
      <c r="F35">
        <v>30</v>
      </c>
      <c r="G35" t="s">
        <v>127</v>
      </c>
      <c r="H35" s="17">
        <v>42642</v>
      </c>
      <c r="I35">
        <v>59100</v>
      </c>
      <c r="J35">
        <v>59100</v>
      </c>
      <c r="K35">
        <v>0</v>
      </c>
      <c r="L35" t="s">
        <v>34</v>
      </c>
      <c r="M35" t="s">
        <v>35</v>
      </c>
      <c r="N35" s="17"/>
      <c r="O35">
        <v>0</v>
      </c>
    </row>
    <row r="36" spans="1:15" x14ac:dyDescent="0.3">
      <c r="A36" t="s">
        <v>160</v>
      </c>
      <c r="B36" t="s">
        <v>48</v>
      </c>
      <c r="C36" t="s">
        <v>38</v>
      </c>
      <c r="D36" t="s">
        <v>27</v>
      </c>
      <c r="E36" t="s">
        <v>28</v>
      </c>
      <c r="F36">
        <v>27</v>
      </c>
      <c r="G36" t="s">
        <v>127</v>
      </c>
      <c r="H36" s="17">
        <v>43226</v>
      </c>
      <c r="I36">
        <v>49011</v>
      </c>
      <c r="J36">
        <v>49011</v>
      </c>
      <c r="K36">
        <v>0</v>
      </c>
      <c r="L36" t="s">
        <v>29</v>
      </c>
      <c r="M36" t="s">
        <v>40</v>
      </c>
      <c r="N36" s="17"/>
      <c r="O36">
        <v>0</v>
      </c>
    </row>
    <row r="37" spans="1:15" x14ac:dyDescent="0.3">
      <c r="A37" t="s">
        <v>161</v>
      </c>
      <c r="B37" t="s">
        <v>67</v>
      </c>
      <c r="C37" t="s">
        <v>26</v>
      </c>
      <c r="D37" t="s">
        <v>32</v>
      </c>
      <c r="E37" t="s">
        <v>28</v>
      </c>
      <c r="F37">
        <v>32</v>
      </c>
      <c r="G37" t="s">
        <v>127</v>
      </c>
      <c r="H37" s="17">
        <v>41681</v>
      </c>
      <c r="I37">
        <v>99575</v>
      </c>
      <c r="J37">
        <v>99575</v>
      </c>
      <c r="K37">
        <v>0</v>
      </c>
      <c r="L37" t="s">
        <v>29</v>
      </c>
      <c r="M37" t="s">
        <v>51</v>
      </c>
      <c r="N37" s="17"/>
      <c r="O37">
        <v>0</v>
      </c>
    </row>
    <row r="38" spans="1:15" x14ac:dyDescent="0.3">
      <c r="A38" t="s">
        <v>162</v>
      </c>
      <c r="B38" t="s">
        <v>53</v>
      </c>
      <c r="C38" t="s">
        <v>54</v>
      </c>
      <c r="D38" t="s">
        <v>32</v>
      </c>
      <c r="E38" t="s">
        <v>28</v>
      </c>
      <c r="F38">
        <v>34</v>
      </c>
      <c r="G38" t="s">
        <v>127</v>
      </c>
      <c r="H38" s="17">
        <v>43815</v>
      </c>
      <c r="I38">
        <v>99989</v>
      </c>
      <c r="J38">
        <v>99989</v>
      </c>
      <c r="K38">
        <v>0</v>
      </c>
      <c r="L38" t="s">
        <v>34</v>
      </c>
      <c r="M38" t="s">
        <v>68</v>
      </c>
      <c r="N38" s="17"/>
      <c r="O38">
        <v>0</v>
      </c>
    </row>
    <row r="39" spans="1:15" x14ac:dyDescent="0.3">
      <c r="A39" t="s">
        <v>163</v>
      </c>
      <c r="B39" t="s">
        <v>56</v>
      </c>
      <c r="C39" t="s">
        <v>57</v>
      </c>
      <c r="D39" t="s">
        <v>27</v>
      </c>
      <c r="E39" t="s">
        <v>33</v>
      </c>
      <c r="F39">
        <v>27</v>
      </c>
      <c r="G39" t="s">
        <v>127</v>
      </c>
      <c r="H39" s="17">
        <v>43758</v>
      </c>
      <c r="I39">
        <v>256420</v>
      </c>
      <c r="J39">
        <v>333346</v>
      </c>
      <c r="K39">
        <v>0.3</v>
      </c>
      <c r="L39" t="s">
        <v>29</v>
      </c>
      <c r="M39" t="s">
        <v>43</v>
      </c>
      <c r="N39" s="17"/>
      <c r="O39">
        <v>0</v>
      </c>
    </row>
    <row r="40" spans="1:15" x14ac:dyDescent="0.3">
      <c r="A40" t="s">
        <v>164</v>
      </c>
      <c r="B40" t="s">
        <v>31</v>
      </c>
      <c r="C40" t="s">
        <v>26</v>
      </c>
      <c r="D40" t="s">
        <v>32</v>
      </c>
      <c r="E40" t="s">
        <v>28</v>
      </c>
      <c r="F40">
        <v>35</v>
      </c>
      <c r="G40" t="s">
        <v>135</v>
      </c>
      <c r="H40" s="17">
        <v>41409</v>
      </c>
      <c r="I40">
        <v>78940</v>
      </c>
      <c r="J40">
        <v>78940</v>
      </c>
      <c r="K40">
        <v>0</v>
      </c>
      <c r="L40" t="s">
        <v>29</v>
      </c>
      <c r="M40" t="s">
        <v>49</v>
      </c>
      <c r="N40" s="17"/>
      <c r="O40">
        <v>0</v>
      </c>
    </row>
    <row r="41" spans="1:15" x14ac:dyDescent="0.3">
      <c r="A41" t="s">
        <v>165</v>
      </c>
      <c r="B41" t="s">
        <v>67</v>
      </c>
      <c r="C41" t="s">
        <v>26</v>
      </c>
      <c r="D41" t="s">
        <v>46</v>
      </c>
      <c r="E41" t="s">
        <v>28</v>
      </c>
      <c r="F41">
        <v>57</v>
      </c>
      <c r="G41" t="s">
        <v>122</v>
      </c>
      <c r="H41" s="17">
        <v>34337</v>
      </c>
      <c r="I41">
        <v>82872</v>
      </c>
      <c r="J41">
        <v>82872</v>
      </c>
      <c r="K41">
        <v>0</v>
      </c>
      <c r="L41" t="s">
        <v>59</v>
      </c>
      <c r="M41" t="s">
        <v>60</v>
      </c>
      <c r="N41" s="17"/>
      <c r="O41">
        <v>0</v>
      </c>
    </row>
    <row r="42" spans="1:15" x14ac:dyDescent="0.3">
      <c r="A42" t="s">
        <v>166</v>
      </c>
      <c r="B42" t="s">
        <v>69</v>
      </c>
      <c r="C42" t="s">
        <v>52</v>
      </c>
      <c r="D42" t="s">
        <v>39</v>
      </c>
      <c r="E42" t="s">
        <v>33</v>
      </c>
      <c r="F42">
        <v>30</v>
      </c>
      <c r="G42" t="s">
        <v>127</v>
      </c>
      <c r="H42" s="17">
        <v>42884</v>
      </c>
      <c r="I42">
        <v>86317</v>
      </c>
      <c r="J42">
        <v>86317</v>
      </c>
      <c r="K42">
        <v>0</v>
      </c>
      <c r="L42" t="s">
        <v>34</v>
      </c>
      <c r="M42" t="s">
        <v>68</v>
      </c>
      <c r="N42" s="17">
        <v>42932</v>
      </c>
      <c r="O42">
        <v>1</v>
      </c>
    </row>
    <row r="43" spans="1:15" x14ac:dyDescent="0.3">
      <c r="A43" t="s">
        <v>167</v>
      </c>
      <c r="B43" t="s">
        <v>47</v>
      </c>
      <c r="C43" t="s">
        <v>57</v>
      </c>
      <c r="D43" t="s">
        <v>39</v>
      </c>
      <c r="E43" t="s">
        <v>28</v>
      </c>
      <c r="F43">
        <v>53</v>
      </c>
      <c r="G43" t="s">
        <v>125</v>
      </c>
      <c r="H43" s="17">
        <v>41601</v>
      </c>
      <c r="I43">
        <v>113135</v>
      </c>
      <c r="J43">
        <v>118792</v>
      </c>
      <c r="K43">
        <v>0.05</v>
      </c>
      <c r="L43" t="s">
        <v>29</v>
      </c>
      <c r="M43" t="s">
        <v>51</v>
      </c>
      <c r="N43" s="17"/>
      <c r="O43">
        <v>0</v>
      </c>
    </row>
    <row r="44" spans="1:15" x14ac:dyDescent="0.3">
      <c r="A44" t="s">
        <v>168</v>
      </c>
      <c r="B44" t="s">
        <v>56</v>
      </c>
      <c r="C44" t="s">
        <v>26</v>
      </c>
      <c r="D44" t="s">
        <v>39</v>
      </c>
      <c r="E44" t="s">
        <v>33</v>
      </c>
      <c r="F44">
        <v>52</v>
      </c>
      <c r="G44" t="s">
        <v>125</v>
      </c>
      <c r="H44" s="17">
        <v>38664</v>
      </c>
      <c r="I44">
        <v>199808</v>
      </c>
      <c r="J44">
        <v>263747</v>
      </c>
      <c r="K44">
        <v>0.32</v>
      </c>
      <c r="L44" t="s">
        <v>29</v>
      </c>
      <c r="M44" t="s">
        <v>30</v>
      </c>
      <c r="N44" s="17"/>
      <c r="O44">
        <v>0</v>
      </c>
    </row>
    <row r="45" spans="1:15" x14ac:dyDescent="0.3">
      <c r="A45" t="s">
        <v>169</v>
      </c>
      <c r="B45" t="s">
        <v>44</v>
      </c>
      <c r="C45" t="s">
        <v>45</v>
      </c>
      <c r="D45" t="s">
        <v>39</v>
      </c>
      <c r="E45" t="s">
        <v>33</v>
      </c>
      <c r="F45">
        <v>37</v>
      </c>
      <c r="G45" t="s">
        <v>135</v>
      </c>
      <c r="H45" s="17">
        <v>41592</v>
      </c>
      <c r="I45">
        <v>56037</v>
      </c>
      <c r="J45">
        <v>56037</v>
      </c>
      <c r="K45">
        <v>0</v>
      </c>
      <c r="L45" t="s">
        <v>34</v>
      </c>
      <c r="M45" t="s">
        <v>55</v>
      </c>
      <c r="N45" s="17"/>
      <c r="O45">
        <v>0</v>
      </c>
    </row>
    <row r="46" spans="1:15" x14ac:dyDescent="0.3">
      <c r="A46" t="s">
        <v>170</v>
      </c>
      <c r="B46" t="s">
        <v>25</v>
      </c>
      <c r="C46" t="s">
        <v>57</v>
      </c>
      <c r="D46" t="s">
        <v>27</v>
      </c>
      <c r="E46" t="s">
        <v>28</v>
      </c>
      <c r="F46">
        <v>29</v>
      </c>
      <c r="G46" t="s">
        <v>127</v>
      </c>
      <c r="H46" s="17">
        <v>43609</v>
      </c>
      <c r="I46">
        <v>122350</v>
      </c>
      <c r="J46">
        <v>137032</v>
      </c>
      <c r="K46">
        <v>0.12</v>
      </c>
      <c r="L46" t="s">
        <v>29</v>
      </c>
      <c r="M46" t="s">
        <v>43</v>
      </c>
      <c r="N46" s="17"/>
      <c r="O46">
        <v>0</v>
      </c>
    </row>
    <row r="47" spans="1:15" x14ac:dyDescent="0.3">
      <c r="A47" t="s">
        <v>171</v>
      </c>
      <c r="B47" t="s">
        <v>67</v>
      </c>
      <c r="C47" t="s">
        <v>26</v>
      </c>
      <c r="D47" t="s">
        <v>27</v>
      </c>
      <c r="E47" t="s">
        <v>33</v>
      </c>
      <c r="F47">
        <v>40</v>
      </c>
      <c r="G47" t="s">
        <v>135</v>
      </c>
      <c r="H47" s="17">
        <v>40486</v>
      </c>
      <c r="I47">
        <v>92952</v>
      </c>
      <c r="J47">
        <v>92952</v>
      </c>
      <c r="K47">
        <v>0</v>
      </c>
      <c r="L47" t="s">
        <v>29</v>
      </c>
      <c r="M47" t="s">
        <v>30</v>
      </c>
      <c r="N47" s="17"/>
      <c r="O47">
        <v>0</v>
      </c>
    </row>
    <row r="48" spans="1:15" x14ac:dyDescent="0.3">
      <c r="A48" t="s">
        <v>172</v>
      </c>
      <c r="B48" t="s">
        <v>41</v>
      </c>
      <c r="C48" t="s">
        <v>26</v>
      </c>
      <c r="D48" t="s">
        <v>46</v>
      </c>
      <c r="E48" t="s">
        <v>33</v>
      </c>
      <c r="F48">
        <v>32</v>
      </c>
      <c r="G48" t="s">
        <v>127</v>
      </c>
      <c r="H48" s="17">
        <v>41353</v>
      </c>
      <c r="I48">
        <v>79921</v>
      </c>
      <c r="J48">
        <v>83917</v>
      </c>
      <c r="K48">
        <v>0.05</v>
      </c>
      <c r="L48" t="s">
        <v>29</v>
      </c>
      <c r="M48" t="s">
        <v>51</v>
      </c>
      <c r="N48" s="17"/>
      <c r="O48">
        <v>0</v>
      </c>
    </row>
    <row r="49" spans="1:15" x14ac:dyDescent="0.3">
      <c r="A49" t="s">
        <v>173</v>
      </c>
      <c r="B49" t="s">
        <v>37</v>
      </c>
      <c r="C49" t="s">
        <v>26</v>
      </c>
      <c r="D49" t="s">
        <v>27</v>
      </c>
      <c r="E49" t="s">
        <v>28</v>
      </c>
      <c r="F49">
        <v>37</v>
      </c>
      <c r="G49" t="s">
        <v>135</v>
      </c>
      <c r="H49" s="17">
        <v>40076</v>
      </c>
      <c r="I49">
        <v>167199</v>
      </c>
      <c r="J49">
        <v>200639</v>
      </c>
      <c r="K49">
        <v>0.2</v>
      </c>
      <c r="L49" t="s">
        <v>29</v>
      </c>
      <c r="M49" t="s">
        <v>30</v>
      </c>
      <c r="N49" s="17"/>
      <c r="O49">
        <v>0</v>
      </c>
    </row>
    <row r="50" spans="1:15" x14ac:dyDescent="0.3">
      <c r="A50" t="s">
        <v>174</v>
      </c>
      <c r="B50" t="s">
        <v>62</v>
      </c>
      <c r="C50" t="s">
        <v>54</v>
      </c>
      <c r="D50" t="s">
        <v>27</v>
      </c>
      <c r="E50" t="s">
        <v>33</v>
      </c>
      <c r="F50">
        <v>52</v>
      </c>
      <c r="G50" t="s">
        <v>125</v>
      </c>
      <c r="H50" s="17">
        <v>41199</v>
      </c>
      <c r="I50">
        <v>71476</v>
      </c>
      <c r="J50">
        <v>71476</v>
      </c>
      <c r="K50">
        <v>0</v>
      </c>
      <c r="L50" t="s">
        <v>29</v>
      </c>
      <c r="M50" t="s">
        <v>43</v>
      </c>
      <c r="N50" s="17"/>
      <c r="O50">
        <v>0</v>
      </c>
    </row>
    <row r="51" spans="1:15" x14ac:dyDescent="0.3">
      <c r="A51" t="s">
        <v>175</v>
      </c>
      <c r="B51" t="s">
        <v>37</v>
      </c>
      <c r="C51" t="s">
        <v>54</v>
      </c>
      <c r="D51" t="s">
        <v>32</v>
      </c>
      <c r="E51" t="s">
        <v>28</v>
      </c>
      <c r="F51">
        <v>45</v>
      </c>
      <c r="G51" t="s">
        <v>125</v>
      </c>
      <c r="H51" s="17">
        <v>41941</v>
      </c>
      <c r="I51">
        <v>189420</v>
      </c>
      <c r="J51">
        <v>227304</v>
      </c>
      <c r="K51">
        <v>0.2</v>
      </c>
      <c r="L51" t="s">
        <v>29</v>
      </c>
      <c r="M51" t="s">
        <v>30</v>
      </c>
      <c r="N51" s="17"/>
      <c r="O51">
        <v>0</v>
      </c>
    </row>
    <row r="52" spans="1:15" x14ac:dyDescent="0.3">
      <c r="A52" t="s">
        <v>176</v>
      </c>
      <c r="B52" t="s">
        <v>70</v>
      </c>
      <c r="C52" t="s">
        <v>52</v>
      </c>
      <c r="D52" t="s">
        <v>27</v>
      </c>
      <c r="E52" t="s">
        <v>28</v>
      </c>
      <c r="F52">
        <v>64</v>
      </c>
      <c r="G52" t="s">
        <v>122</v>
      </c>
      <c r="H52" s="17">
        <v>37184</v>
      </c>
      <c r="I52">
        <v>64057</v>
      </c>
      <c r="J52">
        <v>64057</v>
      </c>
      <c r="K52">
        <v>0</v>
      </c>
      <c r="L52" t="s">
        <v>29</v>
      </c>
      <c r="M52" t="s">
        <v>43</v>
      </c>
      <c r="N52" s="17"/>
      <c r="O52">
        <v>0</v>
      </c>
    </row>
    <row r="53" spans="1:15" x14ac:dyDescent="0.3">
      <c r="A53" t="s">
        <v>177</v>
      </c>
      <c r="B53" t="s">
        <v>66</v>
      </c>
      <c r="C53" t="s">
        <v>57</v>
      </c>
      <c r="D53" t="s">
        <v>32</v>
      </c>
      <c r="E53" t="s">
        <v>28</v>
      </c>
      <c r="F53">
        <v>27</v>
      </c>
      <c r="G53" t="s">
        <v>127</v>
      </c>
      <c r="H53" s="17">
        <v>44460</v>
      </c>
      <c r="I53">
        <v>68728</v>
      </c>
      <c r="J53">
        <v>68728</v>
      </c>
      <c r="K53">
        <v>0</v>
      </c>
      <c r="L53" t="s">
        <v>29</v>
      </c>
      <c r="M53" t="s">
        <v>43</v>
      </c>
      <c r="N53" s="17"/>
      <c r="O53">
        <v>0</v>
      </c>
    </row>
    <row r="54" spans="1:15" x14ac:dyDescent="0.3">
      <c r="A54" t="s">
        <v>178</v>
      </c>
      <c r="B54" t="s">
        <v>25</v>
      </c>
      <c r="C54" t="s">
        <v>26</v>
      </c>
      <c r="D54" t="s">
        <v>32</v>
      </c>
      <c r="E54" t="s">
        <v>28</v>
      </c>
      <c r="F54">
        <v>25</v>
      </c>
      <c r="G54" t="s">
        <v>127</v>
      </c>
      <c r="H54" s="17">
        <v>44379</v>
      </c>
      <c r="I54">
        <v>125633</v>
      </c>
      <c r="J54">
        <v>139453</v>
      </c>
      <c r="K54">
        <v>0.11</v>
      </c>
      <c r="L54" t="s">
        <v>34</v>
      </c>
      <c r="M54" t="s">
        <v>64</v>
      </c>
      <c r="N54" s="17"/>
      <c r="O54">
        <v>0</v>
      </c>
    </row>
    <row r="55" spans="1:15" x14ac:dyDescent="0.3">
      <c r="A55" t="s">
        <v>179</v>
      </c>
      <c r="B55" t="s">
        <v>66</v>
      </c>
      <c r="C55" t="s">
        <v>57</v>
      </c>
      <c r="D55" t="s">
        <v>32</v>
      </c>
      <c r="E55" t="s">
        <v>33</v>
      </c>
      <c r="F55">
        <v>35</v>
      </c>
      <c r="G55" t="s">
        <v>135</v>
      </c>
      <c r="H55" s="17">
        <v>40678</v>
      </c>
      <c r="I55">
        <v>66889</v>
      </c>
      <c r="J55">
        <v>66889</v>
      </c>
      <c r="K55">
        <v>0</v>
      </c>
      <c r="L55" t="s">
        <v>29</v>
      </c>
      <c r="M55" t="s">
        <v>58</v>
      </c>
      <c r="N55" s="17"/>
      <c r="O55">
        <v>0</v>
      </c>
    </row>
    <row r="56" spans="1:15" x14ac:dyDescent="0.3">
      <c r="A56" t="s">
        <v>180</v>
      </c>
      <c r="B56" t="s">
        <v>37</v>
      </c>
      <c r="C56" t="s">
        <v>50</v>
      </c>
      <c r="D56" t="s">
        <v>27</v>
      </c>
      <c r="E56" t="s">
        <v>28</v>
      </c>
      <c r="F56">
        <v>36</v>
      </c>
      <c r="G56" t="s">
        <v>135</v>
      </c>
      <c r="H56" s="17">
        <v>42276</v>
      </c>
      <c r="I56">
        <v>178700</v>
      </c>
      <c r="J56">
        <v>230523</v>
      </c>
      <c r="K56">
        <v>0.28999999999999998</v>
      </c>
      <c r="L56" t="s">
        <v>29</v>
      </c>
      <c r="M56" t="s">
        <v>30</v>
      </c>
      <c r="N56" s="17"/>
      <c r="O56">
        <v>0</v>
      </c>
    </row>
    <row r="57" spans="1:15" x14ac:dyDescent="0.3">
      <c r="A57" t="s">
        <v>181</v>
      </c>
      <c r="B57" t="s">
        <v>71</v>
      </c>
      <c r="C57" t="s">
        <v>54</v>
      </c>
      <c r="D57" t="s">
        <v>27</v>
      </c>
      <c r="E57" t="s">
        <v>28</v>
      </c>
      <c r="F57">
        <v>33</v>
      </c>
      <c r="G57" t="s">
        <v>127</v>
      </c>
      <c r="H57" s="17">
        <v>43456</v>
      </c>
      <c r="I57">
        <v>83990</v>
      </c>
      <c r="J57">
        <v>83990</v>
      </c>
      <c r="K57">
        <v>0</v>
      </c>
      <c r="L57" t="s">
        <v>29</v>
      </c>
      <c r="M57" t="s">
        <v>40</v>
      </c>
      <c r="N57" s="17"/>
      <c r="O57">
        <v>0</v>
      </c>
    </row>
    <row r="58" spans="1:15" x14ac:dyDescent="0.3">
      <c r="A58" t="s">
        <v>182</v>
      </c>
      <c r="B58" t="s">
        <v>72</v>
      </c>
      <c r="C58" t="s">
        <v>54</v>
      </c>
      <c r="D58" t="s">
        <v>46</v>
      </c>
      <c r="E58" t="s">
        <v>28</v>
      </c>
      <c r="F58">
        <v>52</v>
      </c>
      <c r="G58" t="s">
        <v>125</v>
      </c>
      <c r="H58" s="17">
        <v>38696</v>
      </c>
      <c r="I58">
        <v>102043</v>
      </c>
      <c r="J58">
        <v>102043</v>
      </c>
      <c r="K58">
        <v>0</v>
      </c>
      <c r="L58" t="s">
        <v>29</v>
      </c>
      <c r="M58" t="s">
        <v>40</v>
      </c>
      <c r="N58" s="17"/>
      <c r="O58">
        <v>0</v>
      </c>
    </row>
    <row r="59" spans="1:15" x14ac:dyDescent="0.3">
      <c r="A59" t="s">
        <v>183</v>
      </c>
      <c r="B59" t="s">
        <v>73</v>
      </c>
      <c r="C59" t="s">
        <v>54</v>
      </c>
      <c r="D59" t="s">
        <v>32</v>
      </c>
      <c r="E59" t="s">
        <v>28</v>
      </c>
      <c r="F59">
        <v>46</v>
      </c>
      <c r="G59" t="s">
        <v>125</v>
      </c>
      <c r="H59" s="17">
        <v>37041</v>
      </c>
      <c r="I59">
        <v>90678</v>
      </c>
      <c r="J59">
        <v>90678</v>
      </c>
      <c r="K59">
        <v>0</v>
      </c>
      <c r="L59" t="s">
        <v>29</v>
      </c>
      <c r="M59" t="s">
        <v>58</v>
      </c>
      <c r="N59" s="17"/>
      <c r="O59">
        <v>0</v>
      </c>
    </row>
    <row r="60" spans="1:15" x14ac:dyDescent="0.3">
      <c r="A60" t="s">
        <v>184</v>
      </c>
      <c r="B60" t="s">
        <v>74</v>
      </c>
      <c r="C60" t="s">
        <v>52</v>
      </c>
      <c r="D60" t="s">
        <v>32</v>
      </c>
      <c r="E60" t="s">
        <v>28</v>
      </c>
      <c r="F60">
        <v>46</v>
      </c>
      <c r="G60" t="s">
        <v>125</v>
      </c>
      <c r="H60" s="17">
        <v>39681</v>
      </c>
      <c r="I60">
        <v>59067</v>
      </c>
      <c r="J60">
        <v>59067</v>
      </c>
      <c r="K60">
        <v>0</v>
      </c>
      <c r="L60" t="s">
        <v>29</v>
      </c>
      <c r="M60" t="s">
        <v>49</v>
      </c>
      <c r="N60" s="17"/>
      <c r="O60">
        <v>0</v>
      </c>
    </row>
    <row r="61" spans="1:15" x14ac:dyDescent="0.3">
      <c r="A61" t="s">
        <v>185</v>
      </c>
      <c r="B61" t="s">
        <v>25</v>
      </c>
      <c r="C61" t="s">
        <v>57</v>
      </c>
      <c r="D61" t="s">
        <v>27</v>
      </c>
      <c r="E61" t="s">
        <v>33</v>
      </c>
      <c r="F61">
        <v>45</v>
      </c>
      <c r="G61" t="s">
        <v>125</v>
      </c>
      <c r="H61" s="17">
        <v>44266</v>
      </c>
      <c r="I61">
        <v>135062</v>
      </c>
      <c r="J61">
        <v>155321</v>
      </c>
      <c r="K61">
        <v>0.15</v>
      </c>
      <c r="L61" t="s">
        <v>34</v>
      </c>
      <c r="M61" t="s">
        <v>68</v>
      </c>
      <c r="N61" s="17"/>
      <c r="O61">
        <v>0</v>
      </c>
    </row>
    <row r="62" spans="1:15" x14ac:dyDescent="0.3">
      <c r="A62" t="s">
        <v>186</v>
      </c>
      <c r="B62" t="s">
        <v>25</v>
      </c>
      <c r="C62" t="s">
        <v>26</v>
      </c>
      <c r="D62" t="s">
        <v>46</v>
      </c>
      <c r="E62" t="s">
        <v>28</v>
      </c>
      <c r="F62">
        <v>55</v>
      </c>
      <c r="G62" t="s">
        <v>122</v>
      </c>
      <c r="H62" s="17">
        <v>38945</v>
      </c>
      <c r="I62">
        <v>159044</v>
      </c>
      <c r="J62">
        <v>174948</v>
      </c>
      <c r="K62">
        <v>0.1</v>
      </c>
      <c r="L62" t="s">
        <v>59</v>
      </c>
      <c r="M62" t="s">
        <v>60</v>
      </c>
      <c r="N62" s="17"/>
      <c r="O62">
        <v>0</v>
      </c>
    </row>
    <row r="63" spans="1:15" x14ac:dyDescent="0.3">
      <c r="A63" t="s">
        <v>187</v>
      </c>
      <c r="B63" t="s">
        <v>42</v>
      </c>
      <c r="C63" t="s">
        <v>50</v>
      </c>
      <c r="D63" t="s">
        <v>32</v>
      </c>
      <c r="E63" t="s">
        <v>28</v>
      </c>
      <c r="F63">
        <v>44</v>
      </c>
      <c r="G63" t="s">
        <v>135</v>
      </c>
      <c r="H63" s="17">
        <v>43467</v>
      </c>
      <c r="I63">
        <v>74691</v>
      </c>
      <c r="J63">
        <v>74691</v>
      </c>
      <c r="K63">
        <v>0</v>
      </c>
      <c r="L63" t="s">
        <v>59</v>
      </c>
      <c r="M63" t="s">
        <v>60</v>
      </c>
      <c r="N63" s="17">
        <v>44020</v>
      </c>
      <c r="O63">
        <v>1</v>
      </c>
    </row>
    <row r="64" spans="1:15" x14ac:dyDescent="0.3">
      <c r="A64" t="s">
        <v>188</v>
      </c>
      <c r="B64" t="s">
        <v>63</v>
      </c>
      <c r="C64" t="s">
        <v>54</v>
      </c>
      <c r="D64" t="s">
        <v>46</v>
      </c>
      <c r="E64" t="s">
        <v>28</v>
      </c>
      <c r="F64">
        <v>44</v>
      </c>
      <c r="G64" t="s">
        <v>135</v>
      </c>
      <c r="H64" s="17">
        <v>39800</v>
      </c>
      <c r="I64">
        <v>92753</v>
      </c>
      <c r="J64">
        <v>104811</v>
      </c>
      <c r="K64">
        <v>0.13</v>
      </c>
      <c r="L64" t="s">
        <v>29</v>
      </c>
      <c r="M64" t="s">
        <v>51</v>
      </c>
      <c r="N64" s="17">
        <v>44371</v>
      </c>
      <c r="O64">
        <v>1</v>
      </c>
    </row>
    <row r="65" spans="1:15" x14ac:dyDescent="0.3">
      <c r="A65" t="s">
        <v>189</v>
      </c>
      <c r="B65" t="s">
        <v>56</v>
      </c>
      <c r="C65" t="s">
        <v>52</v>
      </c>
      <c r="D65" t="s">
        <v>39</v>
      </c>
      <c r="E65" t="s">
        <v>33</v>
      </c>
      <c r="F65">
        <v>45</v>
      </c>
      <c r="G65" t="s">
        <v>125</v>
      </c>
      <c r="H65" s="17">
        <v>41493</v>
      </c>
      <c r="I65">
        <v>236946</v>
      </c>
      <c r="J65">
        <v>324616</v>
      </c>
      <c r="K65">
        <v>0.37</v>
      </c>
      <c r="L65" t="s">
        <v>29</v>
      </c>
      <c r="M65" t="s">
        <v>30</v>
      </c>
      <c r="N65" s="17"/>
      <c r="O65">
        <v>0</v>
      </c>
    </row>
    <row r="66" spans="1:15" x14ac:dyDescent="0.3">
      <c r="A66" t="s">
        <v>190</v>
      </c>
      <c r="B66" t="s">
        <v>48</v>
      </c>
      <c r="C66" t="s">
        <v>38</v>
      </c>
      <c r="D66" t="s">
        <v>46</v>
      </c>
      <c r="E66" t="s">
        <v>28</v>
      </c>
      <c r="F66">
        <v>36</v>
      </c>
      <c r="G66" t="s">
        <v>135</v>
      </c>
      <c r="H66" s="17">
        <v>44435</v>
      </c>
      <c r="I66">
        <v>48906</v>
      </c>
      <c r="J66">
        <v>48906</v>
      </c>
      <c r="K66">
        <v>0</v>
      </c>
      <c r="L66" t="s">
        <v>29</v>
      </c>
      <c r="M66" t="s">
        <v>49</v>
      </c>
      <c r="N66" s="17"/>
      <c r="O66">
        <v>0</v>
      </c>
    </row>
    <row r="67" spans="1:15" x14ac:dyDescent="0.3">
      <c r="A67" t="s">
        <v>191</v>
      </c>
      <c r="B67" t="s">
        <v>42</v>
      </c>
      <c r="C67" t="s">
        <v>45</v>
      </c>
      <c r="D67" t="s">
        <v>46</v>
      </c>
      <c r="E67" t="s">
        <v>28</v>
      </c>
      <c r="F67">
        <v>38</v>
      </c>
      <c r="G67" t="s">
        <v>135</v>
      </c>
      <c r="H67" s="17">
        <v>39474</v>
      </c>
      <c r="I67">
        <v>80024</v>
      </c>
      <c r="J67">
        <v>80024</v>
      </c>
      <c r="K67">
        <v>0</v>
      </c>
      <c r="L67" t="s">
        <v>29</v>
      </c>
      <c r="M67" t="s">
        <v>58</v>
      </c>
      <c r="N67" s="17"/>
      <c r="O67">
        <v>0</v>
      </c>
    </row>
    <row r="68" spans="1:15" x14ac:dyDescent="0.3">
      <c r="A68" t="s">
        <v>192</v>
      </c>
      <c r="B68" t="s">
        <v>70</v>
      </c>
      <c r="C68" t="s">
        <v>52</v>
      </c>
      <c r="D68" t="s">
        <v>39</v>
      </c>
      <c r="E68" t="s">
        <v>28</v>
      </c>
      <c r="F68">
        <v>41</v>
      </c>
      <c r="G68" t="s">
        <v>135</v>
      </c>
      <c r="H68" s="17">
        <v>40109</v>
      </c>
      <c r="I68">
        <v>54415</v>
      </c>
      <c r="J68">
        <v>54415</v>
      </c>
      <c r="K68">
        <v>0</v>
      </c>
      <c r="L68" t="s">
        <v>29</v>
      </c>
      <c r="M68" t="s">
        <v>30</v>
      </c>
      <c r="N68" s="17">
        <v>41661</v>
      </c>
      <c r="O68">
        <v>1</v>
      </c>
    </row>
    <row r="69" spans="1:15" x14ac:dyDescent="0.3">
      <c r="A69" t="s">
        <v>193</v>
      </c>
      <c r="B69" t="s">
        <v>47</v>
      </c>
      <c r="C69" t="s">
        <v>57</v>
      </c>
      <c r="D69" t="s">
        <v>27</v>
      </c>
      <c r="E69" t="s">
        <v>28</v>
      </c>
      <c r="F69">
        <v>30</v>
      </c>
      <c r="G69" t="s">
        <v>127</v>
      </c>
      <c r="H69" s="17">
        <v>42484</v>
      </c>
      <c r="I69">
        <v>120341</v>
      </c>
      <c r="J69">
        <v>128765</v>
      </c>
      <c r="K69">
        <v>7.0000000000000007E-2</v>
      </c>
      <c r="L69" t="s">
        <v>29</v>
      </c>
      <c r="M69" t="s">
        <v>30</v>
      </c>
      <c r="N69" s="17"/>
      <c r="O69">
        <v>0</v>
      </c>
    </row>
    <row r="70" spans="1:15" x14ac:dyDescent="0.3">
      <c r="A70" t="s">
        <v>194</v>
      </c>
      <c r="B70" t="s">
        <v>56</v>
      </c>
      <c r="C70" t="s">
        <v>26</v>
      </c>
      <c r="D70" t="s">
        <v>39</v>
      </c>
      <c r="E70" t="s">
        <v>28</v>
      </c>
      <c r="F70">
        <v>43</v>
      </c>
      <c r="G70" t="s">
        <v>135</v>
      </c>
      <c r="H70" s="17">
        <v>40029</v>
      </c>
      <c r="I70">
        <v>208415</v>
      </c>
      <c r="J70">
        <v>281360</v>
      </c>
      <c r="K70">
        <v>0.35</v>
      </c>
      <c r="L70" t="s">
        <v>29</v>
      </c>
      <c r="M70" t="s">
        <v>30</v>
      </c>
      <c r="N70" s="17"/>
      <c r="O70">
        <v>0</v>
      </c>
    </row>
    <row r="71" spans="1:15" x14ac:dyDescent="0.3">
      <c r="A71" t="s">
        <v>195</v>
      </c>
      <c r="B71" t="s">
        <v>75</v>
      </c>
      <c r="C71" t="s">
        <v>26</v>
      </c>
      <c r="D71" t="s">
        <v>39</v>
      </c>
      <c r="E71" t="s">
        <v>28</v>
      </c>
      <c r="F71">
        <v>32</v>
      </c>
      <c r="G71" t="s">
        <v>127</v>
      </c>
      <c r="H71" s="17">
        <v>43835</v>
      </c>
      <c r="I71">
        <v>78844</v>
      </c>
      <c r="J71">
        <v>78844</v>
      </c>
      <c r="K71">
        <v>0</v>
      </c>
      <c r="L71" t="s">
        <v>29</v>
      </c>
      <c r="M71" t="s">
        <v>30</v>
      </c>
      <c r="N71" s="17"/>
      <c r="O71">
        <v>0</v>
      </c>
    </row>
    <row r="72" spans="1:15" x14ac:dyDescent="0.3">
      <c r="A72" t="s">
        <v>196</v>
      </c>
      <c r="B72" t="s">
        <v>71</v>
      </c>
      <c r="C72" t="s">
        <v>54</v>
      </c>
      <c r="D72" t="s">
        <v>32</v>
      </c>
      <c r="E72" t="s">
        <v>33</v>
      </c>
      <c r="F72">
        <v>58</v>
      </c>
      <c r="G72" t="s">
        <v>122</v>
      </c>
      <c r="H72" s="17">
        <v>37399</v>
      </c>
      <c r="I72">
        <v>76354</v>
      </c>
      <c r="J72">
        <v>76354</v>
      </c>
      <c r="K72">
        <v>0</v>
      </c>
      <c r="L72" t="s">
        <v>29</v>
      </c>
      <c r="M72" t="s">
        <v>43</v>
      </c>
      <c r="N72" s="17">
        <v>44465</v>
      </c>
      <c r="O72">
        <v>1</v>
      </c>
    </row>
    <row r="73" spans="1:15" x14ac:dyDescent="0.3">
      <c r="A73" t="s">
        <v>197</v>
      </c>
      <c r="B73" t="s">
        <v>37</v>
      </c>
      <c r="C73" t="s">
        <v>38</v>
      </c>
      <c r="D73" t="s">
        <v>39</v>
      </c>
      <c r="E73" t="s">
        <v>28</v>
      </c>
      <c r="F73">
        <v>37</v>
      </c>
      <c r="G73" t="s">
        <v>135</v>
      </c>
      <c r="H73" s="17">
        <v>43493</v>
      </c>
      <c r="I73">
        <v>165927</v>
      </c>
      <c r="J73">
        <v>199112</v>
      </c>
      <c r="K73">
        <v>0.2</v>
      </c>
      <c r="L73" t="s">
        <v>29</v>
      </c>
      <c r="M73" t="s">
        <v>43</v>
      </c>
      <c r="N73" s="17"/>
      <c r="O73">
        <v>0</v>
      </c>
    </row>
    <row r="74" spans="1:15" x14ac:dyDescent="0.3">
      <c r="A74" t="s">
        <v>198</v>
      </c>
      <c r="B74" t="s">
        <v>47</v>
      </c>
      <c r="C74" t="s">
        <v>50</v>
      </c>
      <c r="D74" t="s">
        <v>39</v>
      </c>
      <c r="E74" t="s">
        <v>28</v>
      </c>
      <c r="F74">
        <v>38</v>
      </c>
      <c r="G74" t="s">
        <v>135</v>
      </c>
      <c r="H74" s="17">
        <v>44516</v>
      </c>
      <c r="I74">
        <v>109812</v>
      </c>
      <c r="J74">
        <v>119695</v>
      </c>
      <c r="K74">
        <v>0.09</v>
      </c>
      <c r="L74" t="s">
        <v>59</v>
      </c>
      <c r="M74" t="s">
        <v>60</v>
      </c>
      <c r="N74" s="17"/>
      <c r="O74">
        <v>0</v>
      </c>
    </row>
    <row r="75" spans="1:15" x14ac:dyDescent="0.3">
      <c r="A75" t="s">
        <v>199</v>
      </c>
      <c r="B75" t="s">
        <v>53</v>
      </c>
      <c r="C75" t="s">
        <v>54</v>
      </c>
      <c r="D75" t="s">
        <v>46</v>
      </c>
      <c r="E75" t="s">
        <v>33</v>
      </c>
      <c r="F75">
        <v>55</v>
      </c>
      <c r="G75" t="s">
        <v>122</v>
      </c>
      <c r="H75" s="17">
        <v>36041</v>
      </c>
      <c r="I75">
        <v>86299</v>
      </c>
      <c r="J75">
        <v>86299</v>
      </c>
      <c r="K75">
        <v>0</v>
      </c>
      <c r="L75" t="s">
        <v>29</v>
      </c>
      <c r="M75" t="s">
        <v>30</v>
      </c>
      <c r="N75" s="17"/>
      <c r="O75">
        <v>0</v>
      </c>
    </row>
    <row r="76" spans="1:15" x14ac:dyDescent="0.3">
      <c r="A76" t="s">
        <v>200</v>
      </c>
      <c r="B76" t="s">
        <v>56</v>
      </c>
      <c r="C76" t="s">
        <v>57</v>
      </c>
      <c r="D76" t="s">
        <v>27</v>
      </c>
      <c r="E76" t="s">
        <v>33</v>
      </c>
      <c r="F76">
        <v>57</v>
      </c>
      <c r="G76" t="s">
        <v>122</v>
      </c>
      <c r="H76" s="17">
        <v>37828</v>
      </c>
      <c r="I76">
        <v>206624</v>
      </c>
      <c r="J76">
        <v>289274</v>
      </c>
      <c r="K76">
        <v>0.4</v>
      </c>
      <c r="L76" t="s">
        <v>59</v>
      </c>
      <c r="M76" t="s">
        <v>76</v>
      </c>
      <c r="N76" s="17"/>
      <c r="O76">
        <v>0</v>
      </c>
    </row>
    <row r="77" spans="1:15" x14ac:dyDescent="0.3">
      <c r="A77" t="s">
        <v>201</v>
      </c>
      <c r="B77" t="s">
        <v>65</v>
      </c>
      <c r="C77" t="s">
        <v>26</v>
      </c>
      <c r="D77" t="s">
        <v>32</v>
      </c>
      <c r="E77" t="s">
        <v>33</v>
      </c>
      <c r="F77">
        <v>36</v>
      </c>
      <c r="G77" t="s">
        <v>135</v>
      </c>
      <c r="H77" s="17">
        <v>40535</v>
      </c>
      <c r="I77">
        <v>53215</v>
      </c>
      <c r="J77">
        <v>53215</v>
      </c>
      <c r="K77">
        <v>0</v>
      </c>
      <c r="L77" t="s">
        <v>59</v>
      </c>
      <c r="M77" t="s">
        <v>76</v>
      </c>
      <c r="N77" s="17">
        <v>41725</v>
      </c>
      <c r="O77">
        <v>1</v>
      </c>
    </row>
    <row r="78" spans="1:15" x14ac:dyDescent="0.3">
      <c r="A78" t="s">
        <v>202</v>
      </c>
      <c r="B78" t="s">
        <v>77</v>
      </c>
      <c r="C78" t="s">
        <v>54</v>
      </c>
      <c r="D78" t="s">
        <v>27</v>
      </c>
      <c r="E78" t="s">
        <v>28</v>
      </c>
      <c r="F78">
        <v>30</v>
      </c>
      <c r="G78" t="s">
        <v>127</v>
      </c>
      <c r="H78" s="17">
        <v>42877</v>
      </c>
      <c r="I78">
        <v>86858</v>
      </c>
      <c r="J78">
        <v>86858</v>
      </c>
      <c r="K78">
        <v>0</v>
      </c>
      <c r="L78" t="s">
        <v>34</v>
      </c>
      <c r="M78" t="s">
        <v>35</v>
      </c>
      <c r="N78" s="17">
        <v>43016</v>
      </c>
      <c r="O78">
        <v>1</v>
      </c>
    </row>
    <row r="79" spans="1:15" x14ac:dyDescent="0.3">
      <c r="A79" t="s">
        <v>203</v>
      </c>
      <c r="B79" t="s">
        <v>41</v>
      </c>
      <c r="C79" t="s">
        <v>26</v>
      </c>
      <c r="D79" t="s">
        <v>32</v>
      </c>
      <c r="E79" t="s">
        <v>33</v>
      </c>
      <c r="F79">
        <v>40</v>
      </c>
      <c r="G79" t="s">
        <v>135</v>
      </c>
      <c r="H79" s="17">
        <v>39265</v>
      </c>
      <c r="I79">
        <v>93971</v>
      </c>
      <c r="J79">
        <v>101489</v>
      </c>
      <c r="K79">
        <v>0.08</v>
      </c>
      <c r="L79" t="s">
        <v>34</v>
      </c>
      <c r="M79" t="s">
        <v>35</v>
      </c>
      <c r="N79" s="17"/>
      <c r="O79">
        <v>0</v>
      </c>
    </row>
    <row r="80" spans="1:15" x14ac:dyDescent="0.3">
      <c r="A80" t="s">
        <v>204</v>
      </c>
      <c r="B80" t="s">
        <v>66</v>
      </c>
      <c r="C80" t="s">
        <v>38</v>
      </c>
      <c r="D80" t="s">
        <v>46</v>
      </c>
      <c r="E80" t="s">
        <v>33</v>
      </c>
      <c r="F80">
        <v>34</v>
      </c>
      <c r="G80" t="s">
        <v>127</v>
      </c>
      <c r="H80" s="17">
        <v>42182</v>
      </c>
      <c r="I80">
        <v>57008</v>
      </c>
      <c r="J80">
        <v>57008</v>
      </c>
      <c r="K80">
        <v>0</v>
      </c>
      <c r="L80" t="s">
        <v>29</v>
      </c>
      <c r="M80" t="s">
        <v>43</v>
      </c>
      <c r="N80" s="17"/>
      <c r="O80">
        <v>0</v>
      </c>
    </row>
    <row r="81" spans="1:15" x14ac:dyDescent="0.3">
      <c r="A81" t="s">
        <v>205</v>
      </c>
      <c r="B81" t="s">
        <v>25</v>
      </c>
      <c r="C81" t="s">
        <v>38</v>
      </c>
      <c r="D81" t="s">
        <v>32</v>
      </c>
      <c r="E81" t="s">
        <v>33</v>
      </c>
      <c r="F81">
        <v>60</v>
      </c>
      <c r="G81" t="s">
        <v>122</v>
      </c>
      <c r="H81" s="17">
        <v>42270</v>
      </c>
      <c r="I81">
        <v>141899</v>
      </c>
      <c r="J81">
        <v>163184</v>
      </c>
      <c r="K81">
        <v>0.15</v>
      </c>
      <c r="L81" t="s">
        <v>29</v>
      </c>
      <c r="M81" t="s">
        <v>43</v>
      </c>
      <c r="N81" s="17"/>
      <c r="O81">
        <v>0</v>
      </c>
    </row>
    <row r="82" spans="1:15" x14ac:dyDescent="0.3">
      <c r="A82" t="s">
        <v>206</v>
      </c>
      <c r="B82" t="s">
        <v>66</v>
      </c>
      <c r="C82" t="s">
        <v>57</v>
      </c>
      <c r="D82" t="s">
        <v>46</v>
      </c>
      <c r="E82" t="s">
        <v>33</v>
      </c>
      <c r="F82">
        <v>41</v>
      </c>
      <c r="G82" t="s">
        <v>135</v>
      </c>
      <c r="H82" s="17">
        <v>42626</v>
      </c>
      <c r="I82">
        <v>64847</v>
      </c>
      <c r="J82">
        <v>64847</v>
      </c>
      <c r="K82">
        <v>0</v>
      </c>
      <c r="L82" t="s">
        <v>29</v>
      </c>
      <c r="M82" t="s">
        <v>49</v>
      </c>
      <c r="N82" s="17"/>
      <c r="O82">
        <v>0</v>
      </c>
    </row>
    <row r="83" spans="1:15" x14ac:dyDescent="0.3">
      <c r="A83" t="s">
        <v>207</v>
      </c>
      <c r="B83" t="s">
        <v>63</v>
      </c>
      <c r="C83" t="s">
        <v>54</v>
      </c>
      <c r="D83" t="s">
        <v>27</v>
      </c>
      <c r="E83" t="s">
        <v>33</v>
      </c>
      <c r="F83">
        <v>53</v>
      </c>
      <c r="G83" t="s">
        <v>125</v>
      </c>
      <c r="H83" s="17">
        <v>33702</v>
      </c>
      <c r="I83">
        <v>116878</v>
      </c>
      <c r="J83">
        <v>129735</v>
      </c>
      <c r="K83">
        <v>0.11</v>
      </c>
      <c r="L83" t="s">
        <v>29</v>
      </c>
      <c r="M83" t="s">
        <v>49</v>
      </c>
      <c r="N83" s="17"/>
      <c r="O83">
        <v>0</v>
      </c>
    </row>
    <row r="84" spans="1:15" x14ac:dyDescent="0.3">
      <c r="A84" t="s">
        <v>208</v>
      </c>
      <c r="B84" t="s">
        <v>62</v>
      </c>
      <c r="C84" t="s">
        <v>54</v>
      </c>
      <c r="D84" t="s">
        <v>39</v>
      </c>
      <c r="E84" t="s">
        <v>33</v>
      </c>
      <c r="F84">
        <v>45</v>
      </c>
      <c r="G84" t="s">
        <v>125</v>
      </c>
      <c r="H84" s="17">
        <v>38388</v>
      </c>
      <c r="I84">
        <v>70505</v>
      </c>
      <c r="J84">
        <v>70505</v>
      </c>
      <c r="K84">
        <v>0</v>
      </c>
      <c r="L84" t="s">
        <v>29</v>
      </c>
      <c r="M84" t="s">
        <v>51</v>
      </c>
      <c r="N84" s="17"/>
      <c r="O84">
        <v>0</v>
      </c>
    </row>
    <row r="85" spans="1:15" x14ac:dyDescent="0.3">
      <c r="A85" t="s">
        <v>209</v>
      </c>
      <c r="B85" t="s">
        <v>37</v>
      </c>
      <c r="C85" t="s">
        <v>54</v>
      </c>
      <c r="D85" t="s">
        <v>27</v>
      </c>
      <c r="E85" t="s">
        <v>28</v>
      </c>
      <c r="F85">
        <v>30</v>
      </c>
      <c r="G85" t="s">
        <v>127</v>
      </c>
      <c r="H85" s="17">
        <v>42512</v>
      </c>
      <c r="I85">
        <v>189702</v>
      </c>
      <c r="J85">
        <v>242819</v>
      </c>
      <c r="K85">
        <v>0.28000000000000003</v>
      </c>
      <c r="L85" t="s">
        <v>59</v>
      </c>
      <c r="M85" t="s">
        <v>60</v>
      </c>
      <c r="N85" s="17">
        <v>44186</v>
      </c>
      <c r="O85">
        <v>1</v>
      </c>
    </row>
    <row r="86" spans="1:15" x14ac:dyDescent="0.3">
      <c r="A86" t="s">
        <v>210</v>
      </c>
      <c r="B86" t="s">
        <v>37</v>
      </c>
      <c r="C86" t="s">
        <v>50</v>
      </c>
      <c r="D86" t="s">
        <v>39</v>
      </c>
      <c r="E86" t="s">
        <v>33</v>
      </c>
      <c r="F86">
        <v>26</v>
      </c>
      <c r="G86" t="s">
        <v>127</v>
      </c>
      <c r="H86" s="17">
        <v>44040</v>
      </c>
      <c r="I86">
        <v>180664</v>
      </c>
      <c r="J86">
        <v>229443</v>
      </c>
      <c r="K86">
        <v>0.27</v>
      </c>
      <c r="L86" t="s">
        <v>29</v>
      </c>
      <c r="M86" t="s">
        <v>40</v>
      </c>
      <c r="N86" s="17"/>
      <c r="O86">
        <v>0</v>
      </c>
    </row>
    <row r="87" spans="1:15" x14ac:dyDescent="0.3">
      <c r="A87" t="s">
        <v>211</v>
      </c>
      <c r="B87" t="s">
        <v>74</v>
      </c>
      <c r="C87" t="s">
        <v>52</v>
      </c>
      <c r="D87" t="s">
        <v>32</v>
      </c>
      <c r="E87" t="s">
        <v>28</v>
      </c>
      <c r="F87">
        <v>45</v>
      </c>
      <c r="G87" t="s">
        <v>125</v>
      </c>
      <c r="H87" s="17">
        <v>37972</v>
      </c>
      <c r="I87">
        <v>48345</v>
      </c>
      <c r="J87">
        <v>48345</v>
      </c>
      <c r="K87">
        <v>0</v>
      </c>
      <c r="L87" t="s">
        <v>34</v>
      </c>
      <c r="M87" t="s">
        <v>68</v>
      </c>
      <c r="N87" s="17"/>
      <c r="O87">
        <v>0</v>
      </c>
    </row>
    <row r="88" spans="1:15" x14ac:dyDescent="0.3">
      <c r="A88" t="s">
        <v>212</v>
      </c>
      <c r="B88" t="s">
        <v>37</v>
      </c>
      <c r="C88" t="s">
        <v>52</v>
      </c>
      <c r="D88" t="s">
        <v>32</v>
      </c>
      <c r="E88" t="s">
        <v>33</v>
      </c>
      <c r="F88">
        <v>42</v>
      </c>
      <c r="G88" t="s">
        <v>135</v>
      </c>
      <c r="H88" s="17">
        <v>41655</v>
      </c>
      <c r="I88">
        <v>152214</v>
      </c>
      <c r="J88">
        <v>197878</v>
      </c>
      <c r="K88">
        <v>0.3</v>
      </c>
      <c r="L88" t="s">
        <v>34</v>
      </c>
      <c r="M88" t="s">
        <v>64</v>
      </c>
      <c r="N88" s="17"/>
      <c r="O88">
        <v>0</v>
      </c>
    </row>
    <row r="89" spans="1:15" x14ac:dyDescent="0.3">
      <c r="A89" t="s">
        <v>213</v>
      </c>
      <c r="B89" t="s">
        <v>75</v>
      </c>
      <c r="C89" t="s">
        <v>26</v>
      </c>
      <c r="D89" t="s">
        <v>46</v>
      </c>
      <c r="E89" t="s">
        <v>28</v>
      </c>
      <c r="F89">
        <v>41</v>
      </c>
      <c r="G89" t="s">
        <v>135</v>
      </c>
      <c r="H89" s="17">
        <v>39931</v>
      </c>
      <c r="I89">
        <v>69803</v>
      </c>
      <c r="J89">
        <v>69803</v>
      </c>
      <c r="K89">
        <v>0</v>
      </c>
      <c r="L89" t="s">
        <v>59</v>
      </c>
      <c r="M89" t="s">
        <v>60</v>
      </c>
      <c r="N89" s="17"/>
      <c r="O89">
        <v>0</v>
      </c>
    </row>
    <row r="90" spans="1:15" x14ac:dyDescent="0.3">
      <c r="A90" t="s">
        <v>214</v>
      </c>
      <c r="B90" t="s">
        <v>78</v>
      </c>
      <c r="C90" t="s">
        <v>26</v>
      </c>
      <c r="D90" t="s">
        <v>46</v>
      </c>
      <c r="E90" t="s">
        <v>28</v>
      </c>
      <c r="F90">
        <v>48</v>
      </c>
      <c r="G90" t="s">
        <v>125</v>
      </c>
      <c r="H90" s="17">
        <v>43650</v>
      </c>
      <c r="I90">
        <v>76588</v>
      </c>
      <c r="J90">
        <v>76588</v>
      </c>
      <c r="K90">
        <v>0</v>
      </c>
      <c r="L90" t="s">
        <v>59</v>
      </c>
      <c r="M90" t="s">
        <v>61</v>
      </c>
      <c r="N90" s="17"/>
      <c r="O90">
        <v>0</v>
      </c>
    </row>
    <row r="91" spans="1:15" x14ac:dyDescent="0.3">
      <c r="A91" t="s">
        <v>215</v>
      </c>
      <c r="B91" t="s">
        <v>79</v>
      </c>
      <c r="C91" t="s">
        <v>26</v>
      </c>
      <c r="D91" t="s">
        <v>32</v>
      </c>
      <c r="E91" t="s">
        <v>33</v>
      </c>
      <c r="F91">
        <v>29</v>
      </c>
      <c r="G91" t="s">
        <v>127</v>
      </c>
      <c r="H91" s="17">
        <v>43444</v>
      </c>
      <c r="I91">
        <v>84596</v>
      </c>
      <c r="J91">
        <v>84596</v>
      </c>
      <c r="K91">
        <v>0</v>
      </c>
      <c r="L91" t="s">
        <v>29</v>
      </c>
      <c r="M91" t="s">
        <v>49</v>
      </c>
      <c r="N91" s="17"/>
      <c r="O91">
        <v>0</v>
      </c>
    </row>
    <row r="92" spans="1:15" x14ac:dyDescent="0.3">
      <c r="A92" t="s">
        <v>216</v>
      </c>
      <c r="B92" t="s">
        <v>47</v>
      </c>
      <c r="C92" t="s">
        <v>57</v>
      </c>
      <c r="D92" t="s">
        <v>27</v>
      </c>
      <c r="E92" t="s">
        <v>33</v>
      </c>
      <c r="F92">
        <v>27</v>
      </c>
      <c r="G92" t="s">
        <v>127</v>
      </c>
      <c r="H92" s="17">
        <v>43368</v>
      </c>
      <c r="I92">
        <v>114441</v>
      </c>
      <c r="J92">
        <v>125885</v>
      </c>
      <c r="K92">
        <v>0.1</v>
      </c>
      <c r="L92" t="s">
        <v>34</v>
      </c>
      <c r="M92" t="s">
        <v>35</v>
      </c>
      <c r="N92" s="17">
        <v>43821</v>
      </c>
      <c r="O92">
        <v>1</v>
      </c>
    </row>
    <row r="93" spans="1:15" x14ac:dyDescent="0.3">
      <c r="A93" t="s">
        <v>217</v>
      </c>
      <c r="B93" t="s">
        <v>25</v>
      </c>
      <c r="C93" t="s">
        <v>38</v>
      </c>
      <c r="D93" t="s">
        <v>39</v>
      </c>
      <c r="E93" t="s">
        <v>28</v>
      </c>
      <c r="F93">
        <v>33</v>
      </c>
      <c r="G93" t="s">
        <v>127</v>
      </c>
      <c r="H93" s="17">
        <v>43211</v>
      </c>
      <c r="I93">
        <v>140402</v>
      </c>
      <c r="J93">
        <v>161462</v>
      </c>
      <c r="K93">
        <v>0.15</v>
      </c>
      <c r="L93" t="s">
        <v>34</v>
      </c>
      <c r="M93" t="s">
        <v>64</v>
      </c>
      <c r="N93" s="17"/>
      <c r="O93">
        <v>0</v>
      </c>
    </row>
    <row r="94" spans="1:15" x14ac:dyDescent="0.3">
      <c r="A94" t="s">
        <v>218</v>
      </c>
      <c r="B94" t="s">
        <v>66</v>
      </c>
      <c r="C94" t="s">
        <v>38</v>
      </c>
      <c r="D94" t="s">
        <v>46</v>
      </c>
      <c r="E94" t="s">
        <v>28</v>
      </c>
      <c r="F94">
        <v>26</v>
      </c>
      <c r="G94" t="s">
        <v>127</v>
      </c>
      <c r="H94" s="17">
        <v>43578</v>
      </c>
      <c r="I94">
        <v>59817</v>
      </c>
      <c r="J94">
        <v>59817</v>
      </c>
      <c r="K94">
        <v>0</v>
      </c>
      <c r="L94" t="s">
        <v>59</v>
      </c>
      <c r="M94" t="s">
        <v>76</v>
      </c>
      <c r="N94" s="17"/>
      <c r="O94">
        <v>0</v>
      </c>
    </row>
    <row r="95" spans="1:15" x14ac:dyDescent="0.3">
      <c r="A95" t="s">
        <v>219</v>
      </c>
      <c r="B95" t="s">
        <v>44</v>
      </c>
      <c r="C95" t="s">
        <v>45</v>
      </c>
      <c r="D95" t="s">
        <v>32</v>
      </c>
      <c r="E95" t="s">
        <v>33</v>
      </c>
      <c r="F95">
        <v>31</v>
      </c>
      <c r="G95" t="s">
        <v>127</v>
      </c>
      <c r="H95" s="17">
        <v>42938</v>
      </c>
      <c r="I95">
        <v>55854</v>
      </c>
      <c r="J95">
        <v>55854</v>
      </c>
      <c r="K95">
        <v>0</v>
      </c>
      <c r="L95" t="s">
        <v>29</v>
      </c>
      <c r="M95" t="s">
        <v>51</v>
      </c>
      <c r="N95" s="17"/>
      <c r="O95">
        <v>0</v>
      </c>
    </row>
    <row r="96" spans="1:15" x14ac:dyDescent="0.3">
      <c r="A96" t="s">
        <v>220</v>
      </c>
      <c r="B96" t="s">
        <v>69</v>
      </c>
      <c r="C96" t="s">
        <v>52</v>
      </c>
      <c r="D96" t="s">
        <v>27</v>
      </c>
      <c r="E96" t="s">
        <v>33</v>
      </c>
      <c r="F96">
        <v>53</v>
      </c>
      <c r="G96" t="s">
        <v>125</v>
      </c>
      <c r="H96" s="17">
        <v>37576</v>
      </c>
      <c r="I96">
        <v>95998</v>
      </c>
      <c r="J96">
        <v>95998</v>
      </c>
      <c r="K96">
        <v>0</v>
      </c>
      <c r="L96" t="s">
        <v>29</v>
      </c>
      <c r="M96" t="s">
        <v>30</v>
      </c>
      <c r="N96" s="17"/>
      <c r="O96">
        <v>0</v>
      </c>
    </row>
    <row r="97" spans="1:15" x14ac:dyDescent="0.3">
      <c r="A97" t="s">
        <v>221</v>
      </c>
      <c r="B97" t="s">
        <v>25</v>
      </c>
      <c r="C97" t="s">
        <v>45</v>
      </c>
      <c r="D97" t="s">
        <v>32</v>
      </c>
      <c r="E97" t="s">
        <v>28</v>
      </c>
      <c r="F97">
        <v>34</v>
      </c>
      <c r="G97" t="s">
        <v>127</v>
      </c>
      <c r="H97" s="17">
        <v>42116</v>
      </c>
      <c r="I97">
        <v>154941</v>
      </c>
      <c r="J97">
        <v>175083</v>
      </c>
      <c r="K97">
        <v>0.13</v>
      </c>
      <c r="L97" t="s">
        <v>29</v>
      </c>
      <c r="M97" t="s">
        <v>43</v>
      </c>
      <c r="N97" s="17"/>
      <c r="O97">
        <v>0</v>
      </c>
    </row>
    <row r="98" spans="1:15" x14ac:dyDescent="0.3">
      <c r="A98" t="s">
        <v>222</v>
      </c>
      <c r="B98" t="s">
        <v>56</v>
      </c>
      <c r="C98" t="s">
        <v>38</v>
      </c>
      <c r="D98" t="s">
        <v>39</v>
      </c>
      <c r="E98" t="s">
        <v>28</v>
      </c>
      <c r="F98">
        <v>54</v>
      </c>
      <c r="G98" t="s">
        <v>125</v>
      </c>
      <c r="H98" s="17">
        <v>40734</v>
      </c>
      <c r="I98">
        <v>247022</v>
      </c>
      <c r="J98">
        <v>321129</v>
      </c>
      <c r="K98">
        <v>0.3</v>
      </c>
      <c r="L98" t="s">
        <v>34</v>
      </c>
      <c r="M98" t="s">
        <v>64</v>
      </c>
      <c r="N98" s="17"/>
      <c r="O98">
        <v>0</v>
      </c>
    </row>
    <row r="99" spans="1:15" x14ac:dyDescent="0.3">
      <c r="A99" t="s">
        <v>223</v>
      </c>
      <c r="B99" t="s">
        <v>78</v>
      </c>
      <c r="C99" t="s">
        <v>26</v>
      </c>
      <c r="D99" t="s">
        <v>32</v>
      </c>
      <c r="E99" t="s">
        <v>28</v>
      </c>
      <c r="F99">
        <v>32</v>
      </c>
      <c r="G99" t="s">
        <v>127</v>
      </c>
      <c r="H99" s="17">
        <v>44474</v>
      </c>
      <c r="I99">
        <v>88072</v>
      </c>
      <c r="J99">
        <v>88072</v>
      </c>
      <c r="K99">
        <v>0</v>
      </c>
      <c r="L99" t="s">
        <v>59</v>
      </c>
      <c r="M99" t="s">
        <v>76</v>
      </c>
      <c r="N99" s="17"/>
      <c r="O99">
        <v>0</v>
      </c>
    </row>
    <row r="100" spans="1:15" x14ac:dyDescent="0.3">
      <c r="A100" t="s">
        <v>224</v>
      </c>
      <c r="B100" t="s">
        <v>41</v>
      </c>
      <c r="C100" t="s">
        <v>26</v>
      </c>
      <c r="D100" t="s">
        <v>27</v>
      </c>
      <c r="E100" t="s">
        <v>33</v>
      </c>
      <c r="F100">
        <v>28</v>
      </c>
      <c r="G100" t="s">
        <v>127</v>
      </c>
      <c r="H100" s="17">
        <v>43977</v>
      </c>
      <c r="I100">
        <v>67925</v>
      </c>
      <c r="J100">
        <v>73359</v>
      </c>
      <c r="K100">
        <v>0.08</v>
      </c>
      <c r="L100" t="s">
        <v>34</v>
      </c>
      <c r="M100" t="s">
        <v>55</v>
      </c>
      <c r="N100" s="17"/>
      <c r="O100">
        <v>0</v>
      </c>
    </row>
    <row r="101" spans="1:15" x14ac:dyDescent="0.3">
      <c r="A101" t="s">
        <v>225</v>
      </c>
      <c r="B101" t="s">
        <v>56</v>
      </c>
      <c r="C101" t="s">
        <v>45</v>
      </c>
      <c r="D101" t="s">
        <v>32</v>
      </c>
      <c r="E101" t="s">
        <v>28</v>
      </c>
      <c r="F101">
        <v>31</v>
      </c>
      <c r="G101" t="s">
        <v>127</v>
      </c>
      <c r="H101" s="17">
        <v>44063</v>
      </c>
      <c r="I101">
        <v>219693</v>
      </c>
      <c r="J101">
        <v>285601</v>
      </c>
      <c r="K101">
        <v>0.3</v>
      </c>
      <c r="L101" t="s">
        <v>29</v>
      </c>
      <c r="M101" t="s">
        <v>51</v>
      </c>
      <c r="N101" s="17"/>
      <c r="O101">
        <v>0</v>
      </c>
    </row>
    <row r="102" spans="1:15" x14ac:dyDescent="0.3">
      <c r="A102" t="s">
        <v>226</v>
      </c>
      <c r="B102" t="s">
        <v>77</v>
      </c>
      <c r="C102" t="s">
        <v>54</v>
      </c>
      <c r="D102" t="s">
        <v>27</v>
      </c>
      <c r="E102" t="s">
        <v>28</v>
      </c>
      <c r="F102">
        <v>45</v>
      </c>
      <c r="G102" t="s">
        <v>125</v>
      </c>
      <c r="H102" s="17">
        <v>41386</v>
      </c>
      <c r="I102">
        <v>61773</v>
      </c>
      <c r="J102">
        <v>61773</v>
      </c>
      <c r="K102">
        <v>0</v>
      </c>
      <c r="L102" t="s">
        <v>29</v>
      </c>
      <c r="M102" t="s">
        <v>30</v>
      </c>
      <c r="N102" s="17"/>
      <c r="O102">
        <v>0</v>
      </c>
    </row>
    <row r="103" spans="1:15" x14ac:dyDescent="0.3">
      <c r="A103" t="s">
        <v>227</v>
      </c>
      <c r="B103" t="s">
        <v>41</v>
      </c>
      <c r="C103" t="s">
        <v>26</v>
      </c>
      <c r="D103" t="s">
        <v>39</v>
      </c>
      <c r="E103" t="s">
        <v>28</v>
      </c>
      <c r="F103">
        <v>48</v>
      </c>
      <c r="G103" t="s">
        <v>125</v>
      </c>
      <c r="H103" s="17">
        <v>39091</v>
      </c>
      <c r="I103">
        <v>74546</v>
      </c>
      <c r="J103">
        <v>81255</v>
      </c>
      <c r="K103">
        <v>0.09</v>
      </c>
      <c r="L103" t="s">
        <v>29</v>
      </c>
      <c r="M103" t="s">
        <v>30</v>
      </c>
      <c r="N103" s="17"/>
      <c r="O103">
        <v>0</v>
      </c>
    </row>
    <row r="104" spans="1:15" x14ac:dyDescent="0.3">
      <c r="A104" t="s">
        <v>228</v>
      </c>
      <c r="B104" t="s">
        <v>80</v>
      </c>
      <c r="C104" t="s">
        <v>54</v>
      </c>
      <c r="D104" t="s">
        <v>39</v>
      </c>
      <c r="E104" t="s">
        <v>33</v>
      </c>
      <c r="F104">
        <v>56</v>
      </c>
      <c r="G104" t="s">
        <v>122</v>
      </c>
      <c r="H104" s="17">
        <v>42031</v>
      </c>
      <c r="I104">
        <v>62575</v>
      </c>
      <c r="J104">
        <v>62575</v>
      </c>
      <c r="K104">
        <v>0</v>
      </c>
      <c r="L104" t="s">
        <v>29</v>
      </c>
      <c r="M104" t="s">
        <v>49</v>
      </c>
      <c r="N104" s="17"/>
      <c r="O104">
        <v>0</v>
      </c>
    </row>
    <row r="105" spans="1:15" x14ac:dyDescent="0.3">
      <c r="A105" t="s">
        <v>229</v>
      </c>
      <c r="B105" t="s">
        <v>37</v>
      </c>
      <c r="C105" t="s">
        <v>52</v>
      </c>
      <c r="D105" t="s">
        <v>46</v>
      </c>
      <c r="E105" t="s">
        <v>28</v>
      </c>
      <c r="F105">
        <v>27</v>
      </c>
      <c r="G105" t="s">
        <v>127</v>
      </c>
      <c r="H105" s="17">
        <v>44250</v>
      </c>
      <c r="I105">
        <v>199041</v>
      </c>
      <c r="J105">
        <v>230888</v>
      </c>
      <c r="K105">
        <v>0.16</v>
      </c>
      <c r="L105" t="s">
        <v>34</v>
      </c>
      <c r="M105" t="s">
        <v>64</v>
      </c>
      <c r="N105" s="17"/>
      <c r="O105">
        <v>0</v>
      </c>
    </row>
    <row r="106" spans="1:15" x14ac:dyDescent="0.3">
      <c r="A106" t="s">
        <v>230</v>
      </c>
      <c r="B106" t="s">
        <v>66</v>
      </c>
      <c r="C106" t="s">
        <v>50</v>
      </c>
      <c r="D106" t="s">
        <v>39</v>
      </c>
      <c r="E106" t="s">
        <v>33</v>
      </c>
      <c r="F106">
        <v>55</v>
      </c>
      <c r="G106" t="s">
        <v>122</v>
      </c>
      <c r="H106" s="17">
        <v>39177</v>
      </c>
      <c r="I106">
        <v>52310</v>
      </c>
      <c r="J106">
        <v>52310</v>
      </c>
      <c r="K106">
        <v>0</v>
      </c>
      <c r="L106" t="s">
        <v>29</v>
      </c>
      <c r="M106" t="s">
        <v>49</v>
      </c>
      <c r="N106" s="17">
        <v>43385</v>
      </c>
      <c r="O106">
        <v>1</v>
      </c>
    </row>
    <row r="107" spans="1:15" x14ac:dyDescent="0.3">
      <c r="A107" t="s">
        <v>231</v>
      </c>
      <c r="B107" t="s">
        <v>25</v>
      </c>
      <c r="C107" t="s">
        <v>38</v>
      </c>
      <c r="D107" t="s">
        <v>39</v>
      </c>
      <c r="E107" t="s">
        <v>33</v>
      </c>
      <c r="F107">
        <v>64</v>
      </c>
      <c r="G107" t="s">
        <v>122</v>
      </c>
      <c r="H107" s="17">
        <v>41454</v>
      </c>
      <c r="I107">
        <v>159571</v>
      </c>
      <c r="J107">
        <v>175528</v>
      </c>
      <c r="K107">
        <v>0.1</v>
      </c>
      <c r="L107" t="s">
        <v>29</v>
      </c>
      <c r="M107" t="s">
        <v>58</v>
      </c>
      <c r="N107" s="17"/>
      <c r="O107">
        <v>0</v>
      </c>
    </row>
    <row r="108" spans="1:15" x14ac:dyDescent="0.3">
      <c r="A108" t="s">
        <v>232</v>
      </c>
      <c r="B108" t="s">
        <v>71</v>
      </c>
      <c r="C108" t="s">
        <v>54</v>
      </c>
      <c r="D108" t="s">
        <v>27</v>
      </c>
      <c r="E108" t="s">
        <v>28</v>
      </c>
      <c r="F108">
        <v>50</v>
      </c>
      <c r="G108" t="s">
        <v>125</v>
      </c>
      <c r="H108" s="17">
        <v>35726</v>
      </c>
      <c r="I108">
        <v>91763</v>
      </c>
      <c r="J108">
        <v>91763</v>
      </c>
      <c r="K108">
        <v>0</v>
      </c>
      <c r="L108" t="s">
        <v>29</v>
      </c>
      <c r="M108" t="s">
        <v>51</v>
      </c>
      <c r="N108" s="17"/>
      <c r="O108">
        <v>0</v>
      </c>
    </row>
    <row r="109" spans="1:15" x14ac:dyDescent="0.3">
      <c r="A109" t="s">
        <v>233</v>
      </c>
      <c r="B109" t="s">
        <v>80</v>
      </c>
      <c r="C109" t="s">
        <v>54</v>
      </c>
      <c r="D109" t="s">
        <v>46</v>
      </c>
      <c r="E109" t="s">
        <v>28</v>
      </c>
      <c r="F109">
        <v>51</v>
      </c>
      <c r="G109" t="s">
        <v>125</v>
      </c>
      <c r="H109" s="17">
        <v>35055</v>
      </c>
      <c r="I109">
        <v>96475</v>
      </c>
      <c r="J109">
        <v>96475</v>
      </c>
      <c r="K109">
        <v>0</v>
      </c>
      <c r="L109" t="s">
        <v>29</v>
      </c>
      <c r="M109" t="s">
        <v>51</v>
      </c>
      <c r="N109" s="17"/>
      <c r="O109">
        <v>0</v>
      </c>
    </row>
    <row r="110" spans="1:15" x14ac:dyDescent="0.3">
      <c r="A110" t="s">
        <v>234</v>
      </c>
      <c r="B110" t="s">
        <v>53</v>
      </c>
      <c r="C110" t="s">
        <v>54</v>
      </c>
      <c r="D110" t="s">
        <v>32</v>
      </c>
      <c r="E110" t="s">
        <v>33</v>
      </c>
      <c r="F110">
        <v>36</v>
      </c>
      <c r="G110" t="s">
        <v>135</v>
      </c>
      <c r="H110" s="17">
        <v>42706</v>
      </c>
      <c r="I110">
        <v>113781</v>
      </c>
      <c r="J110">
        <v>113781</v>
      </c>
      <c r="K110">
        <v>0</v>
      </c>
      <c r="L110" t="s">
        <v>29</v>
      </c>
      <c r="M110" t="s">
        <v>58</v>
      </c>
      <c r="N110" s="17"/>
      <c r="O110">
        <v>0</v>
      </c>
    </row>
    <row r="111" spans="1:15" x14ac:dyDescent="0.3">
      <c r="A111" t="s">
        <v>235</v>
      </c>
      <c r="B111" t="s">
        <v>37</v>
      </c>
      <c r="C111" t="s">
        <v>38</v>
      </c>
      <c r="D111" t="s">
        <v>27</v>
      </c>
      <c r="E111" t="s">
        <v>33</v>
      </c>
      <c r="F111">
        <v>42</v>
      </c>
      <c r="G111" t="s">
        <v>135</v>
      </c>
      <c r="H111" s="17">
        <v>37636</v>
      </c>
      <c r="I111">
        <v>166599</v>
      </c>
      <c r="J111">
        <v>209915</v>
      </c>
      <c r="K111">
        <v>0.26</v>
      </c>
      <c r="L111" t="s">
        <v>29</v>
      </c>
      <c r="M111" t="s">
        <v>30</v>
      </c>
      <c r="N111" s="17"/>
      <c r="O111">
        <v>0</v>
      </c>
    </row>
    <row r="112" spans="1:15" x14ac:dyDescent="0.3">
      <c r="A112" t="s">
        <v>236</v>
      </c>
      <c r="B112" t="s">
        <v>81</v>
      </c>
      <c r="C112" t="s">
        <v>45</v>
      </c>
      <c r="D112" t="s">
        <v>46</v>
      </c>
      <c r="E112" t="s">
        <v>28</v>
      </c>
      <c r="F112">
        <v>41</v>
      </c>
      <c r="G112" t="s">
        <v>135</v>
      </c>
      <c r="H112" s="17">
        <v>38398</v>
      </c>
      <c r="I112">
        <v>95372</v>
      </c>
      <c r="J112">
        <v>95372</v>
      </c>
      <c r="K112">
        <v>0</v>
      </c>
      <c r="L112" t="s">
        <v>34</v>
      </c>
      <c r="M112" t="s">
        <v>55</v>
      </c>
      <c r="N112" s="17"/>
      <c r="O112">
        <v>0</v>
      </c>
    </row>
    <row r="113" spans="1:15" x14ac:dyDescent="0.3">
      <c r="A113" t="s">
        <v>237</v>
      </c>
      <c r="B113" t="s">
        <v>37</v>
      </c>
      <c r="C113" t="s">
        <v>26</v>
      </c>
      <c r="D113" t="s">
        <v>27</v>
      </c>
      <c r="E113" t="s">
        <v>28</v>
      </c>
      <c r="F113">
        <v>29</v>
      </c>
      <c r="G113" t="s">
        <v>127</v>
      </c>
      <c r="H113" s="17">
        <v>44052</v>
      </c>
      <c r="I113">
        <v>161203</v>
      </c>
      <c r="J113">
        <v>185383</v>
      </c>
      <c r="K113">
        <v>0.15</v>
      </c>
      <c r="L113" t="s">
        <v>34</v>
      </c>
      <c r="M113" t="s">
        <v>68</v>
      </c>
      <c r="N113" s="17"/>
      <c r="O113">
        <v>0</v>
      </c>
    </row>
    <row r="114" spans="1:15" x14ac:dyDescent="0.3">
      <c r="A114" t="s">
        <v>238</v>
      </c>
      <c r="B114" t="s">
        <v>82</v>
      </c>
      <c r="C114" t="s">
        <v>26</v>
      </c>
      <c r="D114" t="s">
        <v>32</v>
      </c>
      <c r="E114" t="s">
        <v>28</v>
      </c>
      <c r="F114">
        <v>44</v>
      </c>
      <c r="G114" t="s">
        <v>135</v>
      </c>
      <c r="H114" s="17">
        <v>39064</v>
      </c>
      <c r="I114">
        <v>74738</v>
      </c>
      <c r="J114">
        <v>74738</v>
      </c>
      <c r="K114">
        <v>0</v>
      </c>
      <c r="L114" t="s">
        <v>29</v>
      </c>
      <c r="M114" t="s">
        <v>49</v>
      </c>
      <c r="N114" s="17"/>
      <c r="O114">
        <v>0</v>
      </c>
    </row>
    <row r="115" spans="1:15" x14ac:dyDescent="0.3">
      <c r="A115" t="s">
        <v>239</v>
      </c>
      <c r="B115" t="s">
        <v>37</v>
      </c>
      <c r="C115" t="s">
        <v>45</v>
      </c>
      <c r="D115" t="s">
        <v>27</v>
      </c>
      <c r="E115" t="s">
        <v>28</v>
      </c>
      <c r="F115">
        <v>41</v>
      </c>
      <c r="G115" t="s">
        <v>135</v>
      </c>
      <c r="H115" s="17">
        <v>43322</v>
      </c>
      <c r="I115">
        <v>171173</v>
      </c>
      <c r="J115">
        <v>207119</v>
      </c>
      <c r="K115">
        <v>0.21</v>
      </c>
      <c r="L115" t="s">
        <v>29</v>
      </c>
      <c r="M115" t="s">
        <v>58</v>
      </c>
      <c r="N115" s="17"/>
      <c r="O115">
        <v>0</v>
      </c>
    </row>
    <row r="116" spans="1:15" x14ac:dyDescent="0.3">
      <c r="A116" t="s">
        <v>240</v>
      </c>
      <c r="B116" t="s">
        <v>56</v>
      </c>
      <c r="C116" t="s">
        <v>45</v>
      </c>
      <c r="D116" t="s">
        <v>46</v>
      </c>
      <c r="E116" t="s">
        <v>33</v>
      </c>
      <c r="F116">
        <v>61</v>
      </c>
      <c r="G116" t="s">
        <v>122</v>
      </c>
      <c r="H116" s="17">
        <v>43732</v>
      </c>
      <c r="I116">
        <v>201464</v>
      </c>
      <c r="J116">
        <v>276006</v>
      </c>
      <c r="K116">
        <v>0.37</v>
      </c>
      <c r="L116" t="s">
        <v>29</v>
      </c>
      <c r="M116" t="s">
        <v>40</v>
      </c>
      <c r="N116" s="17"/>
      <c r="O116">
        <v>0</v>
      </c>
    </row>
    <row r="117" spans="1:15" x14ac:dyDescent="0.3">
      <c r="A117" t="s">
        <v>241</v>
      </c>
      <c r="B117" t="s">
        <v>37</v>
      </c>
      <c r="C117" t="s">
        <v>52</v>
      </c>
      <c r="D117" t="s">
        <v>46</v>
      </c>
      <c r="E117" t="s">
        <v>33</v>
      </c>
      <c r="F117">
        <v>50</v>
      </c>
      <c r="G117" t="s">
        <v>125</v>
      </c>
      <c r="H117" s="17">
        <v>35998</v>
      </c>
      <c r="I117">
        <v>174895</v>
      </c>
      <c r="J117">
        <v>201129</v>
      </c>
      <c r="K117">
        <v>0.15</v>
      </c>
      <c r="L117" t="s">
        <v>29</v>
      </c>
      <c r="M117" t="s">
        <v>40</v>
      </c>
      <c r="N117" s="17"/>
      <c r="O117">
        <v>0</v>
      </c>
    </row>
    <row r="118" spans="1:15" x14ac:dyDescent="0.3">
      <c r="A118" t="s">
        <v>242</v>
      </c>
      <c r="B118" t="s">
        <v>25</v>
      </c>
      <c r="C118" t="s">
        <v>26</v>
      </c>
      <c r="D118" t="s">
        <v>32</v>
      </c>
      <c r="E118" t="s">
        <v>28</v>
      </c>
      <c r="F118">
        <v>49</v>
      </c>
      <c r="G118" t="s">
        <v>125</v>
      </c>
      <c r="H118" s="17">
        <v>38825</v>
      </c>
      <c r="I118">
        <v>134486</v>
      </c>
      <c r="J118">
        <v>153314</v>
      </c>
      <c r="K118">
        <v>0.14000000000000001</v>
      </c>
      <c r="L118" t="s">
        <v>29</v>
      </c>
      <c r="M118" t="s">
        <v>51</v>
      </c>
      <c r="N118" s="17"/>
      <c r="O118">
        <v>0</v>
      </c>
    </row>
    <row r="119" spans="1:15" x14ac:dyDescent="0.3">
      <c r="A119" t="s">
        <v>243</v>
      </c>
      <c r="B119" t="s">
        <v>42</v>
      </c>
      <c r="C119" t="s">
        <v>38</v>
      </c>
      <c r="D119" t="s">
        <v>32</v>
      </c>
      <c r="E119" t="s">
        <v>28</v>
      </c>
      <c r="F119">
        <v>60</v>
      </c>
      <c r="G119" t="s">
        <v>122</v>
      </c>
      <c r="H119" s="17">
        <v>39137</v>
      </c>
      <c r="I119">
        <v>71699</v>
      </c>
      <c r="J119">
        <v>71699</v>
      </c>
      <c r="K119">
        <v>0</v>
      </c>
      <c r="L119" t="s">
        <v>59</v>
      </c>
      <c r="M119" t="s">
        <v>60</v>
      </c>
      <c r="N119" s="17"/>
      <c r="O119">
        <v>0</v>
      </c>
    </row>
    <row r="120" spans="1:15" x14ac:dyDescent="0.3">
      <c r="A120" t="s">
        <v>244</v>
      </c>
      <c r="B120" t="s">
        <v>42</v>
      </c>
      <c r="C120" t="s">
        <v>57</v>
      </c>
      <c r="D120" t="s">
        <v>46</v>
      </c>
      <c r="E120" t="s">
        <v>28</v>
      </c>
      <c r="F120">
        <v>42</v>
      </c>
      <c r="G120" t="s">
        <v>135</v>
      </c>
      <c r="H120" s="17">
        <v>44198</v>
      </c>
      <c r="I120">
        <v>94430</v>
      </c>
      <c r="J120">
        <v>94430</v>
      </c>
      <c r="K120">
        <v>0</v>
      </c>
      <c r="L120" t="s">
        <v>29</v>
      </c>
      <c r="M120" t="s">
        <v>30</v>
      </c>
      <c r="N120" s="17"/>
      <c r="O120">
        <v>0</v>
      </c>
    </row>
    <row r="121" spans="1:15" x14ac:dyDescent="0.3">
      <c r="A121" t="s">
        <v>245</v>
      </c>
      <c r="B121" t="s">
        <v>47</v>
      </c>
      <c r="C121" t="s">
        <v>38</v>
      </c>
      <c r="D121" t="s">
        <v>46</v>
      </c>
      <c r="E121" t="s">
        <v>33</v>
      </c>
      <c r="F121">
        <v>39</v>
      </c>
      <c r="G121" t="s">
        <v>135</v>
      </c>
      <c r="H121" s="17">
        <v>40192</v>
      </c>
      <c r="I121">
        <v>103504</v>
      </c>
      <c r="J121">
        <v>110749</v>
      </c>
      <c r="K121">
        <v>7.0000000000000007E-2</v>
      </c>
      <c r="L121" t="s">
        <v>34</v>
      </c>
      <c r="M121" t="s">
        <v>68</v>
      </c>
      <c r="N121" s="17"/>
      <c r="O121">
        <v>0</v>
      </c>
    </row>
    <row r="122" spans="1:15" x14ac:dyDescent="0.3">
      <c r="A122" t="s">
        <v>246</v>
      </c>
      <c r="B122" t="s">
        <v>67</v>
      </c>
      <c r="C122" t="s">
        <v>26</v>
      </c>
      <c r="D122" t="s">
        <v>32</v>
      </c>
      <c r="E122" t="s">
        <v>28</v>
      </c>
      <c r="F122">
        <v>55</v>
      </c>
      <c r="G122" t="s">
        <v>122</v>
      </c>
      <c r="H122" s="17">
        <v>38573</v>
      </c>
      <c r="I122">
        <v>92771</v>
      </c>
      <c r="J122">
        <v>92771</v>
      </c>
      <c r="K122">
        <v>0</v>
      </c>
      <c r="L122" t="s">
        <v>29</v>
      </c>
      <c r="M122" t="s">
        <v>49</v>
      </c>
      <c r="N122" s="17"/>
      <c r="O122">
        <v>0</v>
      </c>
    </row>
    <row r="123" spans="1:15" x14ac:dyDescent="0.3">
      <c r="A123" t="s">
        <v>247</v>
      </c>
      <c r="B123" t="s">
        <v>66</v>
      </c>
      <c r="C123" t="s">
        <v>38</v>
      </c>
      <c r="D123" t="s">
        <v>39</v>
      </c>
      <c r="E123" t="s">
        <v>28</v>
      </c>
      <c r="F123">
        <v>39</v>
      </c>
      <c r="G123" t="s">
        <v>135</v>
      </c>
      <c r="H123" s="17">
        <v>38813</v>
      </c>
      <c r="I123">
        <v>71531</v>
      </c>
      <c r="J123">
        <v>71531</v>
      </c>
      <c r="K123">
        <v>0</v>
      </c>
      <c r="L123" t="s">
        <v>29</v>
      </c>
      <c r="M123" t="s">
        <v>58</v>
      </c>
      <c r="N123" s="17"/>
      <c r="O123">
        <v>0</v>
      </c>
    </row>
    <row r="124" spans="1:15" x14ac:dyDescent="0.3">
      <c r="A124" t="s">
        <v>248</v>
      </c>
      <c r="B124" t="s">
        <v>75</v>
      </c>
      <c r="C124" t="s">
        <v>26</v>
      </c>
      <c r="D124" t="s">
        <v>39</v>
      </c>
      <c r="E124" t="s">
        <v>33</v>
      </c>
      <c r="F124">
        <v>28</v>
      </c>
      <c r="G124" t="s">
        <v>127</v>
      </c>
      <c r="H124" s="17">
        <v>43530</v>
      </c>
      <c r="I124">
        <v>90304</v>
      </c>
      <c r="J124">
        <v>90304</v>
      </c>
      <c r="K124">
        <v>0</v>
      </c>
      <c r="L124" t="s">
        <v>29</v>
      </c>
      <c r="M124" t="s">
        <v>40</v>
      </c>
      <c r="N124" s="17"/>
      <c r="O124">
        <v>0</v>
      </c>
    </row>
    <row r="125" spans="1:15" x14ac:dyDescent="0.3">
      <c r="A125" t="s">
        <v>249</v>
      </c>
      <c r="B125" t="s">
        <v>47</v>
      </c>
      <c r="C125" t="s">
        <v>57</v>
      </c>
      <c r="D125" t="s">
        <v>32</v>
      </c>
      <c r="E125" t="s">
        <v>28</v>
      </c>
      <c r="F125">
        <v>65</v>
      </c>
      <c r="G125" t="s">
        <v>142</v>
      </c>
      <c r="H125" s="17">
        <v>40793</v>
      </c>
      <c r="I125">
        <v>104903</v>
      </c>
      <c r="J125">
        <v>115393</v>
      </c>
      <c r="K125">
        <v>0.1</v>
      </c>
      <c r="L125" t="s">
        <v>29</v>
      </c>
      <c r="M125" t="s">
        <v>58</v>
      </c>
      <c r="N125" s="17"/>
      <c r="O125">
        <v>0</v>
      </c>
    </row>
    <row r="126" spans="1:15" x14ac:dyDescent="0.3">
      <c r="A126" t="s">
        <v>250</v>
      </c>
      <c r="B126" t="s">
        <v>48</v>
      </c>
      <c r="C126" t="s">
        <v>38</v>
      </c>
      <c r="D126" t="s">
        <v>46</v>
      </c>
      <c r="E126" t="s">
        <v>28</v>
      </c>
      <c r="F126">
        <v>52</v>
      </c>
      <c r="G126" t="s">
        <v>125</v>
      </c>
      <c r="H126" s="17">
        <v>43515</v>
      </c>
      <c r="I126">
        <v>55859</v>
      </c>
      <c r="J126">
        <v>55859</v>
      </c>
      <c r="K126">
        <v>0</v>
      </c>
      <c r="L126" t="s">
        <v>34</v>
      </c>
      <c r="M126" t="s">
        <v>64</v>
      </c>
      <c r="N126" s="17"/>
      <c r="O126">
        <v>0</v>
      </c>
    </row>
    <row r="127" spans="1:15" x14ac:dyDescent="0.3">
      <c r="A127" t="s">
        <v>251</v>
      </c>
      <c r="B127" t="s">
        <v>73</v>
      </c>
      <c r="C127" t="s">
        <v>54</v>
      </c>
      <c r="D127" t="s">
        <v>46</v>
      </c>
      <c r="E127" t="s">
        <v>28</v>
      </c>
      <c r="F127">
        <v>62</v>
      </c>
      <c r="G127" t="s">
        <v>122</v>
      </c>
      <c r="H127" s="17">
        <v>39002</v>
      </c>
      <c r="I127">
        <v>79785</v>
      </c>
      <c r="J127">
        <v>79785</v>
      </c>
      <c r="K127">
        <v>0</v>
      </c>
      <c r="L127" t="s">
        <v>29</v>
      </c>
      <c r="M127" t="s">
        <v>51</v>
      </c>
      <c r="N127" s="17"/>
      <c r="O127">
        <v>0</v>
      </c>
    </row>
    <row r="128" spans="1:15" x14ac:dyDescent="0.3">
      <c r="A128" t="s">
        <v>252</v>
      </c>
      <c r="B128" t="s">
        <v>42</v>
      </c>
      <c r="C128" t="s">
        <v>57</v>
      </c>
      <c r="D128" t="s">
        <v>46</v>
      </c>
      <c r="E128" t="s">
        <v>28</v>
      </c>
      <c r="F128">
        <v>39</v>
      </c>
      <c r="G128" t="s">
        <v>135</v>
      </c>
      <c r="H128" s="17">
        <v>39391</v>
      </c>
      <c r="I128">
        <v>99017</v>
      </c>
      <c r="J128">
        <v>99017</v>
      </c>
      <c r="K128">
        <v>0</v>
      </c>
      <c r="L128" t="s">
        <v>34</v>
      </c>
      <c r="M128" t="s">
        <v>64</v>
      </c>
      <c r="N128" s="17"/>
      <c r="O128">
        <v>0</v>
      </c>
    </row>
    <row r="129" spans="1:15" x14ac:dyDescent="0.3">
      <c r="A129" t="s">
        <v>253</v>
      </c>
      <c r="B129" t="s">
        <v>83</v>
      </c>
      <c r="C129" t="s">
        <v>26</v>
      </c>
      <c r="D129" t="s">
        <v>32</v>
      </c>
      <c r="E129" t="s">
        <v>28</v>
      </c>
      <c r="F129">
        <v>63</v>
      </c>
      <c r="G129" t="s">
        <v>122</v>
      </c>
      <c r="H129" s="17">
        <v>33695</v>
      </c>
      <c r="I129">
        <v>53809</v>
      </c>
      <c r="J129">
        <v>53809</v>
      </c>
      <c r="K129">
        <v>0</v>
      </c>
      <c r="L129" t="s">
        <v>29</v>
      </c>
      <c r="M129" t="s">
        <v>43</v>
      </c>
      <c r="N129" s="17"/>
      <c r="O129">
        <v>0</v>
      </c>
    </row>
    <row r="130" spans="1:15" x14ac:dyDescent="0.3">
      <c r="A130" t="s">
        <v>254</v>
      </c>
      <c r="B130" t="s">
        <v>71</v>
      </c>
      <c r="C130" t="s">
        <v>54</v>
      </c>
      <c r="D130" t="s">
        <v>39</v>
      </c>
      <c r="E130" t="s">
        <v>33</v>
      </c>
      <c r="F130">
        <v>27</v>
      </c>
      <c r="G130" t="s">
        <v>127</v>
      </c>
      <c r="H130" s="17">
        <v>43937</v>
      </c>
      <c r="I130">
        <v>71864</v>
      </c>
      <c r="J130">
        <v>71864</v>
      </c>
      <c r="K130">
        <v>0</v>
      </c>
      <c r="L130" t="s">
        <v>34</v>
      </c>
      <c r="M130" t="s">
        <v>68</v>
      </c>
      <c r="N130" s="17"/>
      <c r="O130">
        <v>0</v>
      </c>
    </row>
    <row r="131" spans="1:15" x14ac:dyDescent="0.3">
      <c r="A131" t="s">
        <v>255</v>
      </c>
      <c r="B131" t="s">
        <v>56</v>
      </c>
      <c r="C131" t="s">
        <v>38</v>
      </c>
      <c r="D131" t="s">
        <v>46</v>
      </c>
      <c r="E131" t="s">
        <v>28</v>
      </c>
      <c r="F131">
        <v>37</v>
      </c>
      <c r="G131" t="s">
        <v>135</v>
      </c>
      <c r="H131" s="17">
        <v>40883</v>
      </c>
      <c r="I131">
        <v>225558</v>
      </c>
      <c r="J131">
        <v>299992</v>
      </c>
      <c r="K131">
        <v>0.33</v>
      </c>
      <c r="L131" t="s">
        <v>34</v>
      </c>
      <c r="M131" t="s">
        <v>55</v>
      </c>
      <c r="N131" s="17"/>
      <c r="O131">
        <v>0</v>
      </c>
    </row>
    <row r="132" spans="1:15" x14ac:dyDescent="0.3">
      <c r="A132" t="s">
        <v>256</v>
      </c>
      <c r="B132" t="s">
        <v>25</v>
      </c>
      <c r="C132" t="s">
        <v>26</v>
      </c>
      <c r="D132" t="s">
        <v>32</v>
      </c>
      <c r="E132" t="s">
        <v>33</v>
      </c>
      <c r="F132">
        <v>37</v>
      </c>
      <c r="G132" t="s">
        <v>135</v>
      </c>
      <c r="H132" s="17">
        <v>41695</v>
      </c>
      <c r="I132">
        <v>128984</v>
      </c>
      <c r="J132">
        <v>144462</v>
      </c>
      <c r="K132">
        <v>0.12</v>
      </c>
      <c r="L132" t="s">
        <v>29</v>
      </c>
      <c r="M132" t="s">
        <v>49</v>
      </c>
      <c r="N132" s="17">
        <v>44317</v>
      </c>
      <c r="O132">
        <v>1</v>
      </c>
    </row>
    <row r="133" spans="1:15" x14ac:dyDescent="0.3">
      <c r="A133" t="s">
        <v>257</v>
      </c>
      <c r="B133" t="s">
        <v>71</v>
      </c>
      <c r="C133" t="s">
        <v>54</v>
      </c>
      <c r="D133" t="s">
        <v>39</v>
      </c>
      <c r="E133" t="s">
        <v>33</v>
      </c>
      <c r="F133">
        <v>46</v>
      </c>
      <c r="G133" t="s">
        <v>125</v>
      </c>
      <c r="H133" s="17">
        <v>36331</v>
      </c>
      <c r="I133">
        <v>96997</v>
      </c>
      <c r="J133">
        <v>96997</v>
      </c>
      <c r="K133">
        <v>0</v>
      </c>
      <c r="L133" t="s">
        <v>59</v>
      </c>
      <c r="M133" t="s">
        <v>76</v>
      </c>
      <c r="N133" s="17"/>
      <c r="O133">
        <v>0</v>
      </c>
    </row>
    <row r="134" spans="1:15" x14ac:dyDescent="0.3">
      <c r="A134" t="s">
        <v>258</v>
      </c>
      <c r="B134" t="s">
        <v>37</v>
      </c>
      <c r="C134" t="s">
        <v>52</v>
      </c>
      <c r="D134" t="s">
        <v>32</v>
      </c>
      <c r="E134" t="s">
        <v>28</v>
      </c>
      <c r="F134">
        <v>54</v>
      </c>
      <c r="G134" t="s">
        <v>125</v>
      </c>
      <c r="H134" s="17">
        <v>43122</v>
      </c>
      <c r="I134">
        <v>176294</v>
      </c>
      <c r="J134">
        <v>225656</v>
      </c>
      <c r="K134">
        <v>0.28000000000000003</v>
      </c>
      <c r="L134" t="s">
        <v>29</v>
      </c>
      <c r="M134" t="s">
        <v>51</v>
      </c>
      <c r="N134" s="17"/>
      <c r="O134">
        <v>0</v>
      </c>
    </row>
    <row r="135" spans="1:15" x14ac:dyDescent="0.3">
      <c r="A135" t="s">
        <v>259</v>
      </c>
      <c r="B135" t="s">
        <v>48</v>
      </c>
      <c r="C135" t="s">
        <v>45</v>
      </c>
      <c r="D135" t="s">
        <v>27</v>
      </c>
      <c r="E135" t="s">
        <v>28</v>
      </c>
      <c r="F135">
        <v>30</v>
      </c>
      <c r="G135" t="s">
        <v>127</v>
      </c>
      <c r="H135" s="17">
        <v>44241</v>
      </c>
      <c r="I135">
        <v>48340</v>
      </c>
      <c r="J135">
        <v>48340</v>
      </c>
      <c r="K135">
        <v>0</v>
      </c>
      <c r="L135" t="s">
        <v>34</v>
      </c>
      <c r="M135" t="s">
        <v>64</v>
      </c>
      <c r="N135" s="17"/>
      <c r="O135">
        <v>0</v>
      </c>
    </row>
    <row r="136" spans="1:15" x14ac:dyDescent="0.3">
      <c r="A136" t="s">
        <v>260</v>
      </c>
      <c r="B136" t="s">
        <v>56</v>
      </c>
      <c r="C136" t="s">
        <v>54</v>
      </c>
      <c r="D136" t="s">
        <v>46</v>
      </c>
      <c r="E136" t="s">
        <v>28</v>
      </c>
      <c r="F136">
        <v>28</v>
      </c>
      <c r="G136" t="s">
        <v>127</v>
      </c>
      <c r="H136" s="17">
        <v>42922</v>
      </c>
      <c r="I136">
        <v>240488</v>
      </c>
      <c r="J136">
        <v>336683</v>
      </c>
      <c r="K136">
        <v>0.4</v>
      </c>
      <c r="L136" t="s">
        <v>59</v>
      </c>
      <c r="M136" t="s">
        <v>61</v>
      </c>
      <c r="N136" s="17"/>
      <c r="O136">
        <v>0</v>
      </c>
    </row>
    <row r="137" spans="1:15" x14ac:dyDescent="0.3">
      <c r="A137" t="s">
        <v>261</v>
      </c>
      <c r="B137" t="s">
        <v>67</v>
      </c>
      <c r="C137" t="s">
        <v>26</v>
      </c>
      <c r="D137" t="s">
        <v>32</v>
      </c>
      <c r="E137" t="s">
        <v>33</v>
      </c>
      <c r="F137">
        <v>40</v>
      </c>
      <c r="G137" t="s">
        <v>135</v>
      </c>
      <c r="H137" s="17">
        <v>40565</v>
      </c>
      <c r="I137">
        <v>97339</v>
      </c>
      <c r="J137">
        <v>97339</v>
      </c>
      <c r="K137">
        <v>0</v>
      </c>
      <c r="L137" t="s">
        <v>29</v>
      </c>
      <c r="M137" t="s">
        <v>51</v>
      </c>
      <c r="N137" s="17"/>
      <c r="O137">
        <v>0</v>
      </c>
    </row>
    <row r="138" spans="1:15" x14ac:dyDescent="0.3">
      <c r="A138" t="s">
        <v>262</v>
      </c>
      <c r="B138" t="s">
        <v>56</v>
      </c>
      <c r="C138" t="s">
        <v>52</v>
      </c>
      <c r="D138" t="s">
        <v>32</v>
      </c>
      <c r="E138" t="s">
        <v>28</v>
      </c>
      <c r="F138">
        <v>49</v>
      </c>
      <c r="G138" t="s">
        <v>125</v>
      </c>
      <c r="H138" s="17">
        <v>37680</v>
      </c>
      <c r="I138">
        <v>211291</v>
      </c>
      <c r="J138">
        <v>289469</v>
      </c>
      <c r="K138">
        <v>0.37</v>
      </c>
      <c r="L138" t="s">
        <v>34</v>
      </c>
      <c r="M138" t="s">
        <v>35</v>
      </c>
      <c r="N138" s="17"/>
      <c r="O138">
        <v>0</v>
      </c>
    </row>
    <row r="139" spans="1:15" x14ac:dyDescent="0.3">
      <c r="A139" t="s">
        <v>263</v>
      </c>
      <c r="B139" t="s">
        <v>56</v>
      </c>
      <c r="C139" t="s">
        <v>45</v>
      </c>
      <c r="D139" t="s">
        <v>27</v>
      </c>
      <c r="E139" t="s">
        <v>33</v>
      </c>
      <c r="F139">
        <v>39</v>
      </c>
      <c r="G139" t="s">
        <v>135</v>
      </c>
      <c r="H139" s="17">
        <v>40778</v>
      </c>
      <c r="I139">
        <v>249506</v>
      </c>
      <c r="J139">
        <v>324358</v>
      </c>
      <c r="K139">
        <v>0.3</v>
      </c>
      <c r="L139" t="s">
        <v>59</v>
      </c>
      <c r="M139" t="s">
        <v>61</v>
      </c>
      <c r="N139" s="17"/>
      <c r="O139">
        <v>0</v>
      </c>
    </row>
    <row r="140" spans="1:15" x14ac:dyDescent="0.3">
      <c r="A140" t="s">
        <v>264</v>
      </c>
      <c r="B140" t="s">
        <v>62</v>
      </c>
      <c r="C140" t="s">
        <v>54</v>
      </c>
      <c r="D140" t="s">
        <v>39</v>
      </c>
      <c r="E140" t="s">
        <v>33</v>
      </c>
      <c r="F140">
        <v>61</v>
      </c>
      <c r="G140" t="s">
        <v>122</v>
      </c>
      <c r="H140" s="17">
        <v>37582</v>
      </c>
      <c r="I140">
        <v>80950</v>
      </c>
      <c r="J140">
        <v>80950</v>
      </c>
      <c r="K140">
        <v>0</v>
      </c>
      <c r="L140" t="s">
        <v>34</v>
      </c>
      <c r="M140" t="s">
        <v>35</v>
      </c>
      <c r="N140" s="17"/>
      <c r="O140">
        <v>0</v>
      </c>
    </row>
    <row r="141" spans="1:15" x14ac:dyDescent="0.3">
      <c r="A141" t="s">
        <v>265</v>
      </c>
      <c r="B141" t="s">
        <v>72</v>
      </c>
      <c r="C141" t="s">
        <v>54</v>
      </c>
      <c r="D141" t="s">
        <v>27</v>
      </c>
      <c r="E141" t="s">
        <v>28</v>
      </c>
      <c r="F141">
        <v>46</v>
      </c>
      <c r="G141" t="s">
        <v>125</v>
      </c>
      <c r="H141" s="17">
        <v>44206</v>
      </c>
      <c r="I141">
        <v>86538</v>
      </c>
      <c r="J141">
        <v>86538</v>
      </c>
      <c r="K141">
        <v>0</v>
      </c>
      <c r="L141" t="s">
        <v>34</v>
      </c>
      <c r="M141" t="s">
        <v>68</v>
      </c>
      <c r="N141" s="17"/>
      <c r="O141">
        <v>0</v>
      </c>
    </row>
    <row r="142" spans="1:15" x14ac:dyDescent="0.3">
      <c r="A142" t="s">
        <v>266</v>
      </c>
      <c r="B142" t="s">
        <v>42</v>
      </c>
      <c r="C142" t="s">
        <v>57</v>
      </c>
      <c r="D142" t="s">
        <v>39</v>
      </c>
      <c r="E142" t="s">
        <v>28</v>
      </c>
      <c r="F142">
        <v>35</v>
      </c>
      <c r="G142" t="s">
        <v>135</v>
      </c>
      <c r="H142" s="17">
        <v>43715</v>
      </c>
      <c r="I142">
        <v>70992</v>
      </c>
      <c r="J142">
        <v>70992</v>
      </c>
      <c r="K142">
        <v>0</v>
      </c>
      <c r="L142" t="s">
        <v>29</v>
      </c>
      <c r="M142" t="s">
        <v>51</v>
      </c>
      <c r="N142" s="17"/>
      <c r="O142">
        <v>0</v>
      </c>
    </row>
    <row r="143" spans="1:15" x14ac:dyDescent="0.3">
      <c r="A143" t="s">
        <v>267</v>
      </c>
      <c r="B143" t="s">
        <v>56</v>
      </c>
      <c r="C143" t="s">
        <v>54</v>
      </c>
      <c r="D143" t="s">
        <v>46</v>
      </c>
      <c r="E143" t="s">
        <v>33</v>
      </c>
      <c r="F143">
        <v>33</v>
      </c>
      <c r="G143" t="s">
        <v>127</v>
      </c>
      <c r="H143" s="17">
        <v>42173</v>
      </c>
      <c r="I143">
        <v>205314</v>
      </c>
      <c r="J143">
        <v>266908</v>
      </c>
      <c r="K143">
        <v>0.3</v>
      </c>
      <c r="L143" t="s">
        <v>29</v>
      </c>
      <c r="M143" t="s">
        <v>58</v>
      </c>
      <c r="N143" s="17"/>
      <c r="O143">
        <v>0</v>
      </c>
    </row>
    <row r="144" spans="1:15" x14ac:dyDescent="0.3">
      <c r="A144" t="s">
        <v>268</v>
      </c>
      <c r="B144" t="s">
        <v>56</v>
      </c>
      <c r="C144" t="s">
        <v>52</v>
      </c>
      <c r="D144" t="s">
        <v>46</v>
      </c>
      <c r="E144" t="s">
        <v>28</v>
      </c>
      <c r="F144">
        <v>61</v>
      </c>
      <c r="G144" t="s">
        <v>122</v>
      </c>
      <c r="H144" s="17">
        <v>42804</v>
      </c>
      <c r="I144">
        <v>196951</v>
      </c>
      <c r="J144">
        <v>261945</v>
      </c>
      <c r="K144">
        <v>0.33</v>
      </c>
      <c r="L144" t="s">
        <v>34</v>
      </c>
      <c r="M144" t="s">
        <v>64</v>
      </c>
      <c r="N144" s="17"/>
      <c r="O144">
        <v>0</v>
      </c>
    </row>
    <row r="145" spans="1:15" x14ac:dyDescent="0.3">
      <c r="A145" t="s">
        <v>269</v>
      </c>
      <c r="B145" t="s">
        <v>79</v>
      </c>
      <c r="C145" t="s">
        <v>26</v>
      </c>
      <c r="D145" t="s">
        <v>39</v>
      </c>
      <c r="E145" t="s">
        <v>33</v>
      </c>
      <c r="F145">
        <v>45</v>
      </c>
      <c r="G145" t="s">
        <v>125</v>
      </c>
      <c r="H145" s="17">
        <v>38613</v>
      </c>
      <c r="I145">
        <v>67686</v>
      </c>
      <c r="J145">
        <v>67686</v>
      </c>
      <c r="K145">
        <v>0</v>
      </c>
      <c r="L145" t="s">
        <v>34</v>
      </c>
      <c r="M145" t="s">
        <v>64</v>
      </c>
      <c r="N145" s="17"/>
      <c r="O145">
        <v>0</v>
      </c>
    </row>
    <row r="146" spans="1:15" x14ac:dyDescent="0.3">
      <c r="A146" t="s">
        <v>270</v>
      </c>
      <c r="B146" t="s">
        <v>31</v>
      </c>
      <c r="C146" t="s">
        <v>26</v>
      </c>
      <c r="D146" t="s">
        <v>27</v>
      </c>
      <c r="E146" t="s">
        <v>33</v>
      </c>
      <c r="F146">
        <v>51</v>
      </c>
      <c r="G146" t="s">
        <v>125</v>
      </c>
      <c r="H146" s="17">
        <v>39553</v>
      </c>
      <c r="I146">
        <v>86431</v>
      </c>
      <c r="J146">
        <v>86431</v>
      </c>
      <c r="K146">
        <v>0</v>
      </c>
      <c r="L146" t="s">
        <v>29</v>
      </c>
      <c r="M146" t="s">
        <v>58</v>
      </c>
      <c r="N146" s="17"/>
      <c r="O146">
        <v>0</v>
      </c>
    </row>
    <row r="147" spans="1:15" x14ac:dyDescent="0.3">
      <c r="A147" t="s">
        <v>271</v>
      </c>
      <c r="B147" t="s">
        <v>47</v>
      </c>
      <c r="C147" t="s">
        <v>52</v>
      </c>
      <c r="D147" t="s">
        <v>32</v>
      </c>
      <c r="E147" t="s">
        <v>33</v>
      </c>
      <c r="F147">
        <v>55</v>
      </c>
      <c r="G147" t="s">
        <v>122</v>
      </c>
      <c r="H147" s="17">
        <v>35019</v>
      </c>
      <c r="I147">
        <v>125936</v>
      </c>
      <c r="J147">
        <v>136011</v>
      </c>
      <c r="K147">
        <v>0.08</v>
      </c>
      <c r="L147" t="s">
        <v>34</v>
      </c>
      <c r="M147" t="s">
        <v>35</v>
      </c>
      <c r="N147" s="17"/>
      <c r="O147">
        <v>0</v>
      </c>
    </row>
    <row r="148" spans="1:15" x14ac:dyDescent="0.3">
      <c r="A148" t="s">
        <v>272</v>
      </c>
      <c r="B148" t="s">
        <v>25</v>
      </c>
      <c r="C148" t="s">
        <v>45</v>
      </c>
      <c r="D148" t="s">
        <v>46</v>
      </c>
      <c r="E148" t="s">
        <v>28</v>
      </c>
      <c r="F148">
        <v>46</v>
      </c>
      <c r="G148" t="s">
        <v>125</v>
      </c>
      <c r="H148" s="17">
        <v>41473</v>
      </c>
      <c r="I148">
        <v>149712</v>
      </c>
      <c r="J148">
        <v>170672</v>
      </c>
      <c r="K148">
        <v>0.14000000000000001</v>
      </c>
      <c r="L148" t="s">
        <v>29</v>
      </c>
      <c r="M148" t="s">
        <v>58</v>
      </c>
      <c r="N148" s="17"/>
      <c r="O148">
        <v>0</v>
      </c>
    </row>
    <row r="149" spans="1:15" x14ac:dyDescent="0.3">
      <c r="A149" t="s">
        <v>273</v>
      </c>
      <c r="B149" t="s">
        <v>71</v>
      </c>
      <c r="C149" t="s">
        <v>54</v>
      </c>
      <c r="D149" t="s">
        <v>39</v>
      </c>
      <c r="E149" t="s">
        <v>33</v>
      </c>
      <c r="F149">
        <v>30</v>
      </c>
      <c r="G149" t="s">
        <v>127</v>
      </c>
      <c r="H149" s="17">
        <v>44471</v>
      </c>
      <c r="I149">
        <v>88758</v>
      </c>
      <c r="J149">
        <v>88758</v>
      </c>
      <c r="K149">
        <v>0</v>
      </c>
      <c r="L149" t="s">
        <v>29</v>
      </c>
      <c r="M149" t="s">
        <v>30</v>
      </c>
      <c r="N149" s="17"/>
      <c r="O149">
        <v>0</v>
      </c>
    </row>
    <row r="150" spans="1:15" x14ac:dyDescent="0.3">
      <c r="A150" t="s">
        <v>274</v>
      </c>
      <c r="B150" t="s">
        <v>84</v>
      </c>
      <c r="C150" t="s">
        <v>26</v>
      </c>
      <c r="D150" t="s">
        <v>27</v>
      </c>
      <c r="E150" t="s">
        <v>33</v>
      </c>
      <c r="F150">
        <v>54</v>
      </c>
      <c r="G150" t="s">
        <v>125</v>
      </c>
      <c r="H150" s="17">
        <v>41468</v>
      </c>
      <c r="I150">
        <v>83639</v>
      </c>
      <c r="J150">
        <v>83639</v>
      </c>
      <c r="K150">
        <v>0</v>
      </c>
      <c r="L150" t="s">
        <v>34</v>
      </c>
      <c r="M150" t="s">
        <v>64</v>
      </c>
      <c r="N150" s="17"/>
      <c r="O150">
        <v>0</v>
      </c>
    </row>
    <row r="151" spans="1:15" x14ac:dyDescent="0.3">
      <c r="A151" t="s">
        <v>275</v>
      </c>
      <c r="B151" t="s">
        <v>78</v>
      </c>
      <c r="C151" t="s">
        <v>26</v>
      </c>
      <c r="D151" t="s">
        <v>27</v>
      </c>
      <c r="E151" t="s">
        <v>28</v>
      </c>
      <c r="F151">
        <v>54</v>
      </c>
      <c r="G151" t="s">
        <v>125</v>
      </c>
      <c r="H151" s="17">
        <v>35933</v>
      </c>
      <c r="I151">
        <v>68268</v>
      </c>
      <c r="J151">
        <v>68268</v>
      </c>
      <c r="K151">
        <v>0</v>
      </c>
      <c r="L151" t="s">
        <v>29</v>
      </c>
      <c r="M151" t="s">
        <v>43</v>
      </c>
      <c r="N151" s="17"/>
      <c r="O151">
        <v>0</v>
      </c>
    </row>
    <row r="152" spans="1:15" x14ac:dyDescent="0.3">
      <c r="A152" t="s">
        <v>276</v>
      </c>
      <c r="B152" t="s">
        <v>71</v>
      </c>
      <c r="C152" t="s">
        <v>54</v>
      </c>
      <c r="D152" t="s">
        <v>32</v>
      </c>
      <c r="E152" t="s">
        <v>33</v>
      </c>
      <c r="F152">
        <v>45</v>
      </c>
      <c r="G152" t="s">
        <v>125</v>
      </c>
      <c r="H152" s="17">
        <v>37313</v>
      </c>
      <c r="I152">
        <v>75819</v>
      </c>
      <c r="J152">
        <v>75819</v>
      </c>
      <c r="K152">
        <v>0</v>
      </c>
      <c r="L152" t="s">
        <v>59</v>
      </c>
      <c r="M152" t="s">
        <v>76</v>
      </c>
      <c r="N152" s="17"/>
      <c r="O152">
        <v>0</v>
      </c>
    </row>
    <row r="153" spans="1:15" x14ac:dyDescent="0.3">
      <c r="A153" t="s">
        <v>277</v>
      </c>
      <c r="B153" t="s">
        <v>42</v>
      </c>
      <c r="C153" t="s">
        <v>45</v>
      </c>
      <c r="D153" t="s">
        <v>39</v>
      </c>
      <c r="E153" t="s">
        <v>28</v>
      </c>
      <c r="F153">
        <v>49</v>
      </c>
      <c r="G153" t="s">
        <v>125</v>
      </c>
      <c r="H153" s="17">
        <v>35200</v>
      </c>
      <c r="I153">
        <v>86658</v>
      </c>
      <c r="J153">
        <v>86658</v>
      </c>
      <c r="K153">
        <v>0</v>
      </c>
      <c r="L153" t="s">
        <v>29</v>
      </c>
      <c r="M153" t="s">
        <v>43</v>
      </c>
      <c r="N153" s="17"/>
      <c r="O153">
        <v>0</v>
      </c>
    </row>
    <row r="154" spans="1:15" x14ac:dyDescent="0.3">
      <c r="A154" t="s">
        <v>278</v>
      </c>
      <c r="B154" t="s">
        <v>66</v>
      </c>
      <c r="C154" t="s">
        <v>38</v>
      </c>
      <c r="D154" t="s">
        <v>27</v>
      </c>
      <c r="E154" t="s">
        <v>33</v>
      </c>
      <c r="F154">
        <v>55</v>
      </c>
      <c r="G154" t="s">
        <v>122</v>
      </c>
      <c r="H154" s="17">
        <v>41714</v>
      </c>
      <c r="I154">
        <v>74552</v>
      </c>
      <c r="J154">
        <v>74552</v>
      </c>
      <c r="K154">
        <v>0</v>
      </c>
      <c r="L154" t="s">
        <v>34</v>
      </c>
      <c r="M154" t="s">
        <v>68</v>
      </c>
      <c r="N154" s="17"/>
      <c r="O154">
        <v>0</v>
      </c>
    </row>
    <row r="155" spans="1:15" x14ac:dyDescent="0.3">
      <c r="A155" t="s">
        <v>279</v>
      </c>
      <c r="B155" t="s">
        <v>67</v>
      </c>
      <c r="C155" t="s">
        <v>26</v>
      </c>
      <c r="D155" t="s">
        <v>32</v>
      </c>
      <c r="E155" t="s">
        <v>28</v>
      </c>
      <c r="F155">
        <v>62</v>
      </c>
      <c r="G155" t="s">
        <v>122</v>
      </c>
      <c r="H155" s="17">
        <v>39887</v>
      </c>
      <c r="I155">
        <v>82839</v>
      </c>
      <c r="J155">
        <v>82839</v>
      </c>
      <c r="K155">
        <v>0</v>
      </c>
      <c r="L155" t="s">
        <v>29</v>
      </c>
      <c r="M155" t="s">
        <v>49</v>
      </c>
      <c r="N155" s="17"/>
      <c r="O155">
        <v>0</v>
      </c>
    </row>
    <row r="156" spans="1:15" x14ac:dyDescent="0.3">
      <c r="A156" t="s">
        <v>280</v>
      </c>
      <c r="B156" t="s">
        <v>78</v>
      </c>
      <c r="C156" t="s">
        <v>26</v>
      </c>
      <c r="D156" t="s">
        <v>39</v>
      </c>
      <c r="E156" t="s">
        <v>28</v>
      </c>
      <c r="F156">
        <v>28</v>
      </c>
      <c r="G156" t="s">
        <v>127</v>
      </c>
      <c r="H156" s="17">
        <v>44477</v>
      </c>
      <c r="I156">
        <v>64475</v>
      </c>
      <c r="J156">
        <v>64475</v>
      </c>
      <c r="K156">
        <v>0</v>
      </c>
      <c r="L156" t="s">
        <v>29</v>
      </c>
      <c r="M156" t="s">
        <v>43</v>
      </c>
      <c r="N156" s="17"/>
      <c r="O156">
        <v>0</v>
      </c>
    </row>
    <row r="157" spans="1:15" x14ac:dyDescent="0.3">
      <c r="A157" t="s">
        <v>281</v>
      </c>
      <c r="B157" t="s">
        <v>78</v>
      </c>
      <c r="C157" t="s">
        <v>26</v>
      </c>
      <c r="D157" t="s">
        <v>32</v>
      </c>
      <c r="E157" t="s">
        <v>33</v>
      </c>
      <c r="F157">
        <v>33</v>
      </c>
      <c r="G157" t="s">
        <v>127</v>
      </c>
      <c r="H157" s="17">
        <v>44036</v>
      </c>
      <c r="I157">
        <v>69453</v>
      </c>
      <c r="J157">
        <v>69453</v>
      </c>
      <c r="K157">
        <v>0</v>
      </c>
      <c r="L157" t="s">
        <v>34</v>
      </c>
      <c r="M157" t="s">
        <v>68</v>
      </c>
      <c r="N157" s="17"/>
      <c r="O157">
        <v>0</v>
      </c>
    </row>
    <row r="158" spans="1:15" x14ac:dyDescent="0.3">
      <c r="A158" t="s">
        <v>282</v>
      </c>
      <c r="B158" t="s">
        <v>47</v>
      </c>
      <c r="C158" t="s">
        <v>26</v>
      </c>
      <c r="D158" t="s">
        <v>46</v>
      </c>
      <c r="E158" t="s">
        <v>33</v>
      </c>
      <c r="F158">
        <v>32</v>
      </c>
      <c r="G158" t="s">
        <v>127</v>
      </c>
      <c r="H158" s="17">
        <v>41642</v>
      </c>
      <c r="I158">
        <v>127148</v>
      </c>
      <c r="J158">
        <v>139863</v>
      </c>
      <c r="K158">
        <v>0.1</v>
      </c>
      <c r="L158" t="s">
        <v>29</v>
      </c>
      <c r="M158" t="s">
        <v>49</v>
      </c>
      <c r="N158" s="17"/>
      <c r="O158">
        <v>0</v>
      </c>
    </row>
    <row r="159" spans="1:15" x14ac:dyDescent="0.3">
      <c r="A159" t="s">
        <v>283</v>
      </c>
      <c r="B159" t="s">
        <v>56</v>
      </c>
      <c r="C159" t="s">
        <v>38</v>
      </c>
      <c r="D159" t="s">
        <v>39</v>
      </c>
      <c r="E159" t="s">
        <v>28</v>
      </c>
      <c r="F159">
        <v>32</v>
      </c>
      <c r="G159" t="s">
        <v>127</v>
      </c>
      <c r="H159" s="17">
        <v>43102</v>
      </c>
      <c r="I159">
        <v>190253</v>
      </c>
      <c r="J159">
        <v>253036</v>
      </c>
      <c r="K159">
        <v>0.33</v>
      </c>
      <c r="L159" t="s">
        <v>29</v>
      </c>
      <c r="M159" t="s">
        <v>51</v>
      </c>
      <c r="N159" s="17"/>
      <c r="O159">
        <v>0</v>
      </c>
    </row>
    <row r="160" spans="1:15" x14ac:dyDescent="0.3">
      <c r="A160" t="s">
        <v>284</v>
      </c>
      <c r="B160" t="s">
        <v>47</v>
      </c>
      <c r="C160" t="s">
        <v>50</v>
      </c>
      <c r="D160" t="s">
        <v>27</v>
      </c>
      <c r="E160" t="s">
        <v>33</v>
      </c>
      <c r="F160">
        <v>55</v>
      </c>
      <c r="G160" t="s">
        <v>122</v>
      </c>
      <c r="H160" s="17">
        <v>36644</v>
      </c>
      <c r="I160">
        <v>115798</v>
      </c>
      <c r="J160">
        <v>121588</v>
      </c>
      <c r="K160">
        <v>0.05</v>
      </c>
      <c r="L160" t="s">
        <v>29</v>
      </c>
      <c r="M160" t="s">
        <v>49</v>
      </c>
      <c r="N160" s="17"/>
      <c r="O160">
        <v>0</v>
      </c>
    </row>
    <row r="161" spans="1:15" x14ac:dyDescent="0.3">
      <c r="A161" t="s">
        <v>285</v>
      </c>
      <c r="B161" t="s">
        <v>69</v>
      </c>
      <c r="C161" t="s">
        <v>52</v>
      </c>
      <c r="D161" t="s">
        <v>27</v>
      </c>
      <c r="E161" t="s">
        <v>28</v>
      </c>
      <c r="F161">
        <v>58</v>
      </c>
      <c r="G161" t="s">
        <v>122</v>
      </c>
      <c r="H161" s="17">
        <v>34567</v>
      </c>
      <c r="I161">
        <v>93102</v>
      </c>
      <c r="J161">
        <v>93102</v>
      </c>
      <c r="K161">
        <v>0</v>
      </c>
      <c r="L161" t="s">
        <v>29</v>
      </c>
      <c r="M161" t="s">
        <v>30</v>
      </c>
      <c r="N161" s="17">
        <v>41621</v>
      </c>
      <c r="O161">
        <v>1</v>
      </c>
    </row>
    <row r="162" spans="1:15" x14ac:dyDescent="0.3">
      <c r="A162" t="s">
        <v>286</v>
      </c>
      <c r="B162" t="s">
        <v>63</v>
      </c>
      <c r="C162" t="s">
        <v>54</v>
      </c>
      <c r="D162" t="s">
        <v>39</v>
      </c>
      <c r="E162" t="s">
        <v>33</v>
      </c>
      <c r="F162">
        <v>34</v>
      </c>
      <c r="G162" t="s">
        <v>127</v>
      </c>
      <c r="H162" s="17">
        <v>43055</v>
      </c>
      <c r="I162">
        <v>110054</v>
      </c>
      <c r="J162">
        <v>126562</v>
      </c>
      <c r="K162">
        <v>0.15</v>
      </c>
      <c r="L162" t="s">
        <v>29</v>
      </c>
      <c r="M162" t="s">
        <v>49</v>
      </c>
      <c r="N162" s="17"/>
      <c r="O162">
        <v>0</v>
      </c>
    </row>
    <row r="163" spans="1:15" x14ac:dyDescent="0.3">
      <c r="A163" t="s">
        <v>287</v>
      </c>
      <c r="B163" t="s">
        <v>62</v>
      </c>
      <c r="C163" t="s">
        <v>54</v>
      </c>
      <c r="D163" t="s">
        <v>27</v>
      </c>
      <c r="E163" t="s">
        <v>28</v>
      </c>
      <c r="F163">
        <v>27</v>
      </c>
      <c r="G163" t="s">
        <v>127</v>
      </c>
      <c r="H163" s="17">
        <v>44224</v>
      </c>
      <c r="I163">
        <v>95786</v>
      </c>
      <c r="J163">
        <v>95786</v>
      </c>
      <c r="K163">
        <v>0</v>
      </c>
      <c r="L163" t="s">
        <v>29</v>
      </c>
      <c r="M163" t="s">
        <v>40</v>
      </c>
      <c r="N163" s="17"/>
      <c r="O163">
        <v>0</v>
      </c>
    </row>
    <row r="164" spans="1:15" x14ac:dyDescent="0.3">
      <c r="A164" t="s">
        <v>288</v>
      </c>
      <c r="B164" t="s">
        <v>42</v>
      </c>
      <c r="C164" t="s">
        <v>45</v>
      </c>
      <c r="D164" t="s">
        <v>39</v>
      </c>
      <c r="E164" t="s">
        <v>33</v>
      </c>
      <c r="F164">
        <v>61</v>
      </c>
      <c r="G164" t="s">
        <v>122</v>
      </c>
      <c r="H164" s="17">
        <v>42858</v>
      </c>
      <c r="I164">
        <v>90855</v>
      </c>
      <c r="J164">
        <v>90855</v>
      </c>
      <c r="K164">
        <v>0</v>
      </c>
      <c r="L164" t="s">
        <v>59</v>
      </c>
      <c r="M164" t="s">
        <v>76</v>
      </c>
      <c r="N164" s="17"/>
      <c r="O164">
        <v>0</v>
      </c>
    </row>
    <row r="165" spans="1:15" x14ac:dyDescent="0.3">
      <c r="A165" t="s">
        <v>289</v>
      </c>
      <c r="B165" t="s">
        <v>67</v>
      </c>
      <c r="C165" t="s">
        <v>26</v>
      </c>
      <c r="D165" t="s">
        <v>32</v>
      </c>
      <c r="E165" t="s">
        <v>33</v>
      </c>
      <c r="F165">
        <v>47</v>
      </c>
      <c r="G165" t="s">
        <v>125</v>
      </c>
      <c r="H165" s="17">
        <v>36233</v>
      </c>
      <c r="I165">
        <v>92897</v>
      </c>
      <c r="J165">
        <v>92897</v>
      </c>
      <c r="K165">
        <v>0</v>
      </c>
      <c r="L165" t="s">
        <v>59</v>
      </c>
      <c r="M165" t="s">
        <v>76</v>
      </c>
      <c r="N165" s="17"/>
      <c r="O165">
        <v>0</v>
      </c>
    </row>
    <row r="166" spans="1:15" x14ac:dyDescent="0.3">
      <c r="A166" t="s">
        <v>290</v>
      </c>
      <c r="B166" t="s">
        <v>56</v>
      </c>
      <c r="C166" t="s">
        <v>57</v>
      </c>
      <c r="D166" t="s">
        <v>39</v>
      </c>
      <c r="E166" t="s">
        <v>33</v>
      </c>
      <c r="F166">
        <v>40</v>
      </c>
      <c r="G166" t="s">
        <v>135</v>
      </c>
      <c r="H166" s="17">
        <v>39872</v>
      </c>
      <c r="I166">
        <v>242919</v>
      </c>
      <c r="J166">
        <v>318224</v>
      </c>
      <c r="K166">
        <v>0.31</v>
      </c>
      <c r="L166" t="s">
        <v>34</v>
      </c>
      <c r="M166" t="s">
        <v>35</v>
      </c>
      <c r="N166" s="17"/>
      <c r="O166">
        <v>0</v>
      </c>
    </row>
    <row r="167" spans="1:15" x14ac:dyDescent="0.3">
      <c r="A167" t="s">
        <v>291</v>
      </c>
      <c r="B167" t="s">
        <v>37</v>
      </c>
      <c r="C167" t="s">
        <v>54</v>
      </c>
      <c r="D167" t="s">
        <v>39</v>
      </c>
      <c r="E167" t="s">
        <v>33</v>
      </c>
      <c r="F167">
        <v>30</v>
      </c>
      <c r="G167" t="s">
        <v>127</v>
      </c>
      <c r="H167" s="17">
        <v>43240</v>
      </c>
      <c r="I167">
        <v>184368</v>
      </c>
      <c r="J167">
        <v>237835</v>
      </c>
      <c r="K167">
        <v>0.28999999999999998</v>
      </c>
      <c r="L167" t="s">
        <v>29</v>
      </c>
      <c r="M167" t="s">
        <v>51</v>
      </c>
      <c r="N167" s="17"/>
      <c r="O167">
        <v>0</v>
      </c>
    </row>
    <row r="168" spans="1:15" x14ac:dyDescent="0.3">
      <c r="A168" t="s">
        <v>292</v>
      </c>
      <c r="B168" t="s">
        <v>25</v>
      </c>
      <c r="C168" t="s">
        <v>38</v>
      </c>
      <c r="D168" t="s">
        <v>46</v>
      </c>
      <c r="E168" t="s">
        <v>33</v>
      </c>
      <c r="F168">
        <v>45</v>
      </c>
      <c r="G168" t="s">
        <v>125</v>
      </c>
      <c r="H168" s="17">
        <v>44554</v>
      </c>
      <c r="I168">
        <v>144754</v>
      </c>
      <c r="J168">
        <v>166467</v>
      </c>
      <c r="K168">
        <v>0.15</v>
      </c>
      <c r="L168" t="s">
        <v>29</v>
      </c>
      <c r="M168" t="s">
        <v>43</v>
      </c>
      <c r="N168" s="17"/>
      <c r="O168">
        <v>0</v>
      </c>
    </row>
    <row r="169" spans="1:15" x14ac:dyDescent="0.3">
      <c r="A169" t="s">
        <v>293</v>
      </c>
      <c r="B169" t="s">
        <v>81</v>
      </c>
      <c r="C169" t="s">
        <v>45</v>
      </c>
      <c r="D169" t="s">
        <v>27</v>
      </c>
      <c r="E169" t="s">
        <v>28</v>
      </c>
      <c r="F169">
        <v>30</v>
      </c>
      <c r="G169" t="s">
        <v>127</v>
      </c>
      <c r="H169" s="17">
        <v>42722</v>
      </c>
      <c r="I169">
        <v>89458</v>
      </c>
      <c r="J169">
        <v>89458</v>
      </c>
      <c r="K169">
        <v>0</v>
      </c>
      <c r="L169" t="s">
        <v>29</v>
      </c>
      <c r="M169" t="s">
        <v>51</v>
      </c>
      <c r="N169" s="17"/>
      <c r="O169">
        <v>0</v>
      </c>
    </row>
    <row r="170" spans="1:15" x14ac:dyDescent="0.3">
      <c r="A170" t="s">
        <v>294</v>
      </c>
      <c r="B170" t="s">
        <v>56</v>
      </c>
      <c r="C170" t="s">
        <v>50</v>
      </c>
      <c r="D170" t="s">
        <v>46</v>
      </c>
      <c r="E170" t="s">
        <v>28</v>
      </c>
      <c r="F170">
        <v>56</v>
      </c>
      <c r="G170" t="s">
        <v>122</v>
      </c>
      <c r="H170" s="17">
        <v>41714</v>
      </c>
      <c r="I170">
        <v>190815</v>
      </c>
      <c r="J170">
        <v>267141</v>
      </c>
      <c r="K170">
        <v>0.4</v>
      </c>
      <c r="L170" t="s">
        <v>29</v>
      </c>
      <c r="M170" t="s">
        <v>51</v>
      </c>
      <c r="N170" s="17"/>
      <c r="O170">
        <v>0</v>
      </c>
    </row>
    <row r="171" spans="1:15" x14ac:dyDescent="0.3">
      <c r="A171" t="s">
        <v>295</v>
      </c>
      <c r="B171" t="s">
        <v>25</v>
      </c>
      <c r="C171" t="s">
        <v>45</v>
      </c>
      <c r="D171" t="s">
        <v>27</v>
      </c>
      <c r="E171" t="s">
        <v>28</v>
      </c>
      <c r="F171">
        <v>62</v>
      </c>
      <c r="G171" t="s">
        <v>122</v>
      </c>
      <c r="H171" s="17">
        <v>36374</v>
      </c>
      <c r="I171">
        <v>137995</v>
      </c>
      <c r="J171">
        <v>157314</v>
      </c>
      <c r="K171">
        <v>0.14000000000000001</v>
      </c>
      <c r="L171" t="s">
        <v>29</v>
      </c>
      <c r="M171" t="s">
        <v>51</v>
      </c>
      <c r="N171" s="17"/>
      <c r="O171">
        <v>0</v>
      </c>
    </row>
    <row r="172" spans="1:15" x14ac:dyDescent="0.3">
      <c r="A172" t="s">
        <v>296</v>
      </c>
      <c r="B172" t="s">
        <v>69</v>
      </c>
      <c r="C172" t="s">
        <v>52</v>
      </c>
      <c r="D172" t="s">
        <v>32</v>
      </c>
      <c r="E172" t="s">
        <v>28</v>
      </c>
      <c r="F172">
        <v>45</v>
      </c>
      <c r="G172" t="s">
        <v>125</v>
      </c>
      <c r="H172" s="17">
        <v>39437</v>
      </c>
      <c r="I172">
        <v>93840</v>
      </c>
      <c r="J172">
        <v>93840</v>
      </c>
      <c r="K172">
        <v>0</v>
      </c>
      <c r="L172" t="s">
        <v>59</v>
      </c>
      <c r="M172" t="s">
        <v>60</v>
      </c>
      <c r="N172" s="17"/>
      <c r="O172">
        <v>0</v>
      </c>
    </row>
    <row r="173" spans="1:15" x14ac:dyDescent="0.3">
      <c r="A173" t="s">
        <v>297</v>
      </c>
      <c r="B173" t="s">
        <v>31</v>
      </c>
      <c r="C173" t="s">
        <v>26</v>
      </c>
      <c r="D173" t="s">
        <v>27</v>
      </c>
      <c r="E173" t="s">
        <v>33</v>
      </c>
      <c r="F173">
        <v>46</v>
      </c>
      <c r="G173" t="s">
        <v>125</v>
      </c>
      <c r="H173" s="17">
        <v>44495</v>
      </c>
      <c r="I173">
        <v>94790</v>
      </c>
      <c r="J173">
        <v>94790</v>
      </c>
      <c r="K173">
        <v>0</v>
      </c>
      <c r="L173" t="s">
        <v>34</v>
      </c>
      <c r="M173" t="s">
        <v>35</v>
      </c>
      <c r="N173" s="17"/>
      <c r="O173">
        <v>0</v>
      </c>
    </row>
    <row r="174" spans="1:15" x14ac:dyDescent="0.3">
      <c r="A174" t="s">
        <v>298</v>
      </c>
      <c r="B174" t="s">
        <v>56</v>
      </c>
      <c r="C174" t="s">
        <v>52</v>
      </c>
      <c r="D174" t="s">
        <v>27</v>
      </c>
      <c r="E174" t="s">
        <v>33</v>
      </c>
      <c r="F174">
        <v>48</v>
      </c>
      <c r="G174" t="s">
        <v>125</v>
      </c>
      <c r="H174" s="17">
        <v>41706</v>
      </c>
      <c r="I174">
        <v>197367</v>
      </c>
      <c r="J174">
        <v>274340</v>
      </c>
      <c r="K174">
        <v>0.39</v>
      </c>
      <c r="L174" t="s">
        <v>29</v>
      </c>
      <c r="M174" t="s">
        <v>51</v>
      </c>
      <c r="N174" s="17"/>
      <c r="O174">
        <v>0</v>
      </c>
    </row>
    <row r="175" spans="1:15" x14ac:dyDescent="0.3">
      <c r="A175" t="s">
        <v>299</v>
      </c>
      <c r="B175" t="s">
        <v>37</v>
      </c>
      <c r="C175" t="s">
        <v>50</v>
      </c>
      <c r="D175" t="s">
        <v>32</v>
      </c>
      <c r="E175" t="s">
        <v>28</v>
      </c>
      <c r="F175">
        <v>27</v>
      </c>
      <c r="G175" t="s">
        <v>127</v>
      </c>
      <c r="H175" s="17">
        <v>43276</v>
      </c>
      <c r="I175">
        <v>174097</v>
      </c>
      <c r="J175">
        <v>210657</v>
      </c>
      <c r="K175">
        <v>0.21</v>
      </c>
      <c r="L175" t="s">
        <v>29</v>
      </c>
      <c r="M175" t="s">
        <v>43</v>
      </c>
      <c r="N175" s="17"/>
      <c r="O175">
        <v>0</v>
      </c>
    </row>
    <row r="176" spans="1:15" x14ac:dyDescent="0.3">
      <c r="A176" t="s">
        <v>300</v>
      </c>
      <c r="B176" t="s">
        <v>47</v>
      </c>
      <c r="C176" t="s">
        <v>26</v>
      </c>
      <c r="D176" t="s">
        <v>39</v>
      </c>
      <c r="E176" t="s">
        <v>33</v>
      </c>
      <c r="F176">
        <v>53</v>
      </c>
      <c r="G176" t="s">
        <v>125</v>
      </c>
      <c r="H176" s="17">
        <v>39021</v>
      </c>
      <c r="I176">
        <v>120128</v>
      </c>
      <c r="J176">
        <v>132141</v>
      </c>
      <c r="K176">
        <v>0.1</v>
      </c>
      <c r="L176" t="s">
        <v>29</v>
      </c>
      <c r="M176" t="s">
        <v>51</v>
      </c>
      <c r="N176" s="17"/>
      <c r="O176">
        <v>0</v>
      </c>
    </row>
    <row r="177" spans="1:15" x14ac:dyDescent="0.3">
      <c r="A177" t="s">
        <v>301</v>
      </c>
      <c r="B177" t="s">
        <v>47</v>
      </c>
      <c r="C177" t="s">
        <v>57</v>
      </c>
      <c r="D177" t="s">
        <v>32</v>
      </c>
      <c r="E177" t="s">
        <v>28</v>
      </c>
      <c r="F177">
        <v>59</v>
      </c>
      <c r="G177" t="s">
        <v>122</v>
      </c>
      <c r="H177" s="17">
        <v>39197</v>
      </c>
      <c r="I177">
        <v>129708</v>
      </c>
      <c r="J177">
        <v>136193</v>
      </c>
      <c r="K177">
        <v>0.05</v>
      </c>
      <c r="L177" t="s">
        <v>29</v>
      </c>
      <c r="M177" t="s">
        <v>49</v>
      </c>
      <c r="N177" s="17"/>
      <c r="O177">
        <v>0</v>
      </c>
    </row>
    <row r="178" spans="1:15" x14ac:dyDescent="0.3">
      <c r="A178" t="s">
        <v>302</v>
      </c>
      <c r="B178" t="s">
        <v>47</v>
      </c>
      <c r="C178" t="s">
        <v>57</v>
      </c>
      <c r="D178" t="s">
        <v>27</v>
      </c>
      <c r="E178" t="s">
        <v>33</v>
      </c>
      <c r="F178">
        <v>55</v>
      </c>
      <c r="G178" t="s">
        <v>122</v>
      </c>
      <c r="H178" s="17">
        <v>34595</v>
      </c>
      <c r="I178">
        <v>102270</v>
      </c>
      <c r="J178">
        <v>112497</v>
      </c>
      <c r="K178">
        <v>0.1</v>
      </c>
      <c r="L178" t="s">
        <v>29</v>
      </c>
      <c r="M178" t="s">
        <v>40</v>
      </c>
      <c r="N178" s="17"/>
      <c r="O178">
        <v>0</v>
      </c>
    </row>
    <row r="179" spans="1:15" x14ac:dyDescent="0.3">
      <c r="A179" t="s">
        <v>303</v>
      </c>
      <c r="B179" t="s">
        <v>56</v>
      </c>
      <c r="C179" t="s">
        <v>38</v>
      </c>
      <c r="D179" t="s">
        <v>39</v>
      </c>
      <c r="E179" t="s">
        <v>28</v>
      </c>
      <c r="F179">
        <v>43</v>
      </c>
      <c r="G179" t="s">
        <v>135</v>
      </c>
      <c r="H179" s="17">
        <v>38564</v>
      </c>
      <c r="I179">
        <v>249686</v>
      </c>
      <c r="J179">
        <v>327089</v>
      </c>
      <c r="K179">
        <v>0.31</v>
      </c>
      <c r="L179" t="s">
        <v>34</v>
      </c>
      <c r="M179" t="s">
        <v>35</v>
      </c>
      <c r="N179" s="17"/>
      <c r="O179">
        <v>0</v>
      </c>
    </row>
    <row r="180" spans="1:15" x14ac:dyDescent="0.3">
      <c r="A180" t="s">
        <v>304</v>
      </c>
      <c r="B180" t="s">
        <v>48</v>
      </c>
      <c r="C180" t="s">
        <v>38</v>
      </c>
      <c r="D180" t="s">
        <v>32</v>
      </c>
      <c r="E180" t="s">
        <v>28</v>
      </c>
      <c r="F180">
        <v>55</v>
      </c>
      <c r="G180" t="s">
        <v>122</v>
      </c>
      <c r="H180" s="17">
        <v>37343</v>
      </c>
      <c r="I180">
        <v>50475</v>
      </c>
      <c r="J180">
        <v>50475</v>
      </c>
      <c r="K180">
        <v>0</v>
      </c>
      <c r="L180" t="s">
        <v>29</v>
      </c>
      <c r="M180" t="s">
        <v>58</v>
      </c>
      <c r="N180" s="17"/>
      <c r="O180">
        <v>0</v>
      </c>
    </row>
    <row r="181" spans="1:15" x14ac:dyDescent="0.3">
      <c r="A181" t="s">
        <v>305</v>
      </c>
      <c r="B181" t="s">
        <v>47</v>
      </c>
      <c r="C181" t="s">
        <v>57</v>
      </c>
      <c r="D181" t="s">
        <v>27</v>
      </c>
      <c r="E181" t="s">
        <v>33</v>
      </c>
      <c r="F181">
        <v>51</v>
      </c>
      <c r="G181" t="s">
        <v>125</v>
      </c>
      <c r="H181" s="17">
        <v>44014</v>
      </c>
      <c r="I181">
        <v>100099</v>
      </c>
      <c r="J181">
        <v>108107</v>
      </c>
      <c r="K181">
        <v>0.08</v>
      </c>
      <c r="L181" t="s">
        <v>29</v>
      </c>
      <c r="M181" t="s">
        <v>49</v>
      </c>
      <c r="N181" s="17"/>
      <c r="O181">
        <v>0</v>
      </c>
    </row>
    <row r="182" spans="1:15" x14ac:dyDescent="0.3">
      <c r="A182" t="s">
        <v>306</v>
      </c>
      <c r="B182" t="s">
        <v>65</v>
      </c>
      <c r="C182" t="s">
        <v>26</v>
      </c>
      <c r="D182" t="s">
        <v>32</v>
      </c>
      <c r="E182" t="s">
        <v>28</v>
      </c>
      <c r="F182">
        <v>54</v>
      </c>
      <c r="G182" t="s">
        <v>125</v>
      </c>
      <c r="H182" s="17">
        <v>42731</v>
      </c>
      <c r="I182">
        <v>41673</v>
      </c>
      <c r="J182">
        <v>41673</v>
      </c>
      <c r="K182">
        <v>0</v>
      </c>
      <c r="L182" t="s">
        <v>29</v>
      </c>
      <c r="M182" t="s">
        <v>49</v>
      </c>
      <c r="N182" s="17"/>
      <c r="O182">
        <v>0</v>
      </c>
    </row>
    <row r="183" spans="1:15" x14ac:dyDescent="0.3">
      <c r="A183" t="s">
        <v>307</v>
      </c>
      <c r="B183" t="s">
        <v>42</v>
      </c>
      <c r="C183" t="s">
        <v>57</v>
      </c>
      <c r="D183" t="s">
        <v>39</v>
      </c>
      <c r="E183" t="s">
        <v>28</v>
      </c>
      <c r="F183">
        <v>47</v>
      </c>
      <c r="G183" t="s">
        <v>125</v>
      </c>
      <c r="H183" s="17">
        <v>42928</v>
      </c>
      <c r="I183">
        <v>70996</v>
      </c>
      <c r="J183">
        <v>70996</v>
      </c>
      <c r="K183">
        <v>0</v>
      </c>
      <c r="L183" t="s">
        <v>34</v>
      </c>
      <c r="M183" t="s">
        <v>68</v>
      </c>
      <c r="N183" s="17"/>
      <c r="O183">
        <v>0</v>
      </c>
    </row>
    <row r="184" spans="1:15" x14ac:dyDescent="0.3">
      <c r="A184" t="s">
        <v>308</v>
      </c>
      <c r="B184" t="s">
        <v>48</v>
      </c>
      <c r="C184" t="s">
        <v>57</v>
      </c>
      <c r="D184" t="s">
        <v>46</v>
      </c>
      <c r="E184" t="s">
        <v>33</v>
      </c>
      <c r="F184">
        <v>55</v>
      </c>
      <c r="G184" t="s">
        <v>122</v>
      </c>
      <c r="H184" s="17">
        <v>38328</v>
      </c>
      <c r="I184">
        <v>40752</v>
      </c>
      <c r="J184">
        <v>40752</v>
      </c>
      <c r="K184">
        <v>0</v>
      </c>
      <c r="L184" t="s">
        <v>29</v>
      </c>
      <c r="M184" t="s">
        <v>43</v>
      </c>
      <c r="N184" s="17"/>
      <c r="O184">
        <v>0</v>
      </c>
    </row>
    <row r="185" spans="1:15" x14ac:dyDescent="0.3">
      <c r="A185" t="s">
        <v>309</v>
      </c>
      <c r="B185" t="s">
        <v>79</v>
      </c>
      <c r="C185" t="s">
        <v>26</v>
      </c>
      <c r="D185" t="s">
        <v>32</v>
      </c>
      <c r="E185" t="s">
        <v>28</v>
      </c>
      <c r="F185">
        <v>50</v>
      </c>
      <c r="G185" t="s">
        <v>125</v>
      </c>
      <c r="H185" s="17">
        <v>36914</v>
      </c>
      <c r="I185">
        <v>97537</v>
      </c>
      <c r="J185">
        <v>97537</v>
      </c>
      <c r="K185">
        <v>0</v>
      </c>
      <c r="L185" t="s">
        <v>34</v>
      </c>
      <c r="M185" t="s">
        <v>68</v>
      </c>
      <c r="N185" s="17"/>
      <c r="O185">
        <v>0</v>
      </c>
    </row>
    <row r="186" spans="1:15" x14ac:dyDescent="0.3">
      <c r="A186" t="s">
        <v>310</v>
      </c>
      <c r="B186" t="s">
        <v>85</v>
      </c>
      <c r="C186" t="s">
        <v>26</v>
      </c>
      <c r="D186" t="s">
        <v>27</v>
      </c>
      <c r="E186" t="s">
        <v>33</v>
      </c>
      <c r="F186">
        <v>31</v>
      </c>
      <c r="G186" t="s">
        <v>127</v>
      </c>
      <c r="H186" s="17">
        <v>44086</v>
      </c>
      <c r="I186">
        <v>96567</v>
      </c>
      <c r="J186">
        <v>96567</v>
      </c>
      <c r="K186">
        <v>0</v>
      </c>
      <c r="L186" t="s">
        <v>34</v>
      </c>
      <c r="M186" t="s">
        <v>55</v>
      </c>
      <c r="N186" s="17"/>
      <c r="O186">
        <v>0</v>
      </c>
    </row>
    <row r="187" spans="1:15" x14ac:dyDescent="0.3">
      <c r="A187" t="s">
        <v>311</v>
      </c>
      <c r="B187" t="s">
        <v>83</v>
      </c>
      <c r="C187" t="s">
        <v>26</v>
      </c>
      <c r="D187" t="s">
        <v>39</v>
      </c>
      <c r="E187" t="s">
        <v>33</v>
      </c>
      <c r="F187">
        <v>47</v>
      </c>
      <c r="G187" t="s">
        <v>125</v>
      </c>
      <c r="H187" s="17">
        <v>36229</v>
      </c>
      <c r="I187">
        <v>49404</v>
      </c>
      <c r="J187">
        <v>49404</v>
      </c>
      <c r="K187">
        <v>0</v>
      </c>
      <c r="L187" t="s">
        <v>34</v>
      </c>
      <c r="M187" t="s">
        <v>64</v>
      </c>
      <c r="N187" s="17"/>
      <c r="O187">
        <v>0</v>
      </c>
    </row>
    <row r="188" spans="1:15" x14ac:dyDescent="0.3">
      <c r="A188" t="s">
        <v>312</v>
      </c>
      <c r="B188" t="s">
        <v>85</v>
      </c>
      <c r="C188" t="s">
        <v>26</v>
      </c>
      <c r="D188" t="s">
        <v>27</v>
      </c>
      <c r="E188" t="s">
        <v>33</v>
      </c>
      <c r="F188">
        <v>29</v>
      </c>
      <c r="G188" t="s">
        <v>127</v>
      </c>
      <c r="H188" s="17">
        <v>43753</v>
      </c>
      <c r="I188">
        <v>66819</v>
      </c>
      <c r="J188">
        <v>66819</v>
      </c>
      <c r="K188">
        <v>0</v>
      </c>
      <c r="L188" t="s">
        <v>59</v>
      </c>
      <c r="M188" t="s">
        <v>61</v>
      </c>
      <c r="N188" s="17"/>
      <c r="O188">
        <v>0</v>
      </c>
    </row>
    <row r="189" spans="1:15" x14ac:dyDescent="0.3">
      <c r="A189" t="s">
        <v>313</v>
      </c>
      <c r="B189" t="s">
        <v>48</v>
      </c>
      <c r="C189" t="s">
        <v>57</v>
      </c>
      <c r="D189" t="s">
        <v>39</v>
      </c>
      <c r="E189" t="s">
        <v>33</v>
      </c>
      <c r="F189">
        <v>38</v>
      </c>
      <c r="G189" t="s">
        <v>135</v>
      </c>
      <c r="H189" s="17">
        <v>42492</v>
      </c>
      <c r="I189">
        <v>50784</v>
      </c>
      <c r="J189">
        <v>50784</v>
      </c>
      <c r="K189">
        <v>0</v>
      </c>
      <c r="L189" t="s">
        <v>59</v>
      </c>
      <c r="M189" t="s">
        <v>61</v>
      </c>
      <c r="N189" s="17"/>
      <c r="O189">
        <v>0</v>
      </c>
    </row>
    <row r="190" spans="1:15" x14ac:dyDescent="0.3">
      <c r="A190" t="s">
        <v>314</v>
      </c>
      <c r="B190" t="s">
        <v>25</v>
      </c>
      <c r="C190" t="s">
        <v>52</v>
      </c>
      <c r="D190" t="s">
        <v>27</v>
      </c>
      <c r="E190" t="s">
        <v>33</v>
      </c>
      <c r="F190">
        <v>29</v>
      </c>
      <c r="G190" t="s">
        <v>127</v>
      </c>
      <c r="H190" s="17">
        <v>43594</v>
      </c>
      <c r="I190">
        <v>125828</v>
      </c>
      <c r="J190">
        <v>144702</v>
      </c>
      <c r="K190">
        <v>0.15</v>
      </c>
      <c r="L190" t="s">
        <v>59</v>
      </c>
      <c r="M190" t="s">
        <v>76</v>
      </c>
      <c r="N190" s="17"/>
      <c r="O190">
        <v>0</v>
      </c>
    </row>
    <row r="191" spans="1:15" x14ac:dyDescent="0.3">
      <c r="A191" t="s">
        <v>315</v>
      </c>
      <c r="B191" t="s">
        <v>69</v>
      </c>
      <c r="C191" t="s">
        <v>52</v>
      </c>
      <c r="D191" t="s">
        <v>32</v>
      </c>
      <c r="E191" t="s">
        <v>33</v>
      </c>
      <c r="F191">
        <v>33</v>
      </c>
      <c r="G191" t="s">
        <v>127</v>
      </c>
      <c r="H191" s="17">
        <v>42951</v>
      </c>
      <c r="I191">
        <v>92610</v>
      </c>
      <c r="J191">
        <v>92610</v>
      </c>
      <c r="K191">
        <v>0</v>
      </c>
      <c r="L191" t="s">
        <v>29</v>
      </c>
      <c r="M191" t="s">
        <v>58</v>
      </c>
      <c r="N191" s="17"/>
      <c r="O191">
        <v>0</v>
      </c>
    </row>
    <row r="192" spans="1:15" x14ac:dyDescent="0.3">
      <c r="A192" t="s">
        <v>316</v>
      </c>
      <c r="B192" t="s">
        <v>25</v>
      </c>
      <c r="C192" t="s">
        <v>45</v>
      </c>
      <c r="D192" t="s">
        <v>39</v>
      </c>
      <c r="E192" t="s">
        <v>33</v>
      </c>
      <c r="F192">
        <v>50</v>
      </c>
      <c r="G192" t="s">
        <v>125</v>
      </c>
      <c r="H192" s="17">
        <v>37705</v>
      </c>
      <c r="I192">
        <v>123405</v>
      </c>
      <c r="J192">
        <v>139448</v>
      </c>
      <c r="K192">
        <v>0.13</v>
      </c>
      <c r="L192" t="s">
        <v>29</v>
      </c>
      <c r="M192" t="s">
        <v>58</v>
      </c>
      <c r="N192" s="17"/>
      <c r="O192">
        <v>0</v>
      </c>
    </row>
    <row r="193" spans="1:15" x14ac:dyDescent="0.3">
      <c r="A193" t="s">
        <v>317</v>
      </c>
      <c r="B193" t="s">
        <v>44</v>
      </c>
      <c r="C193" t="s">
        <v>45</v>
      </c>
      <c r="D193" t="s">
        <v>32</v>
      </c>
      <c r="E193" t="s">
        <v>28</v>
      </c>
      <c r="F193">
        <v>46</v>
      </c>
      <c r="G193" t="s">
        <v>125</v>
      </c>
      <c r="H193" s="17">
        <v>38066</v>
      </c>
      <c r="I193">
        <v>73004</v>
      </c>
      <c r="J193">
        <v>73004</v>
      </c>
      <c r="K193">
        <v>0</v>
      </c>
      <c r="L193" t="s">
        <v>34</v>
      </c>
      <c r="M193" t="s">
        <v>64</v>
      </c>
      <c r="N193" s="17"/>
      <c r="O193">
        <v>0</v>
      </c>
    </row>
    <row r="194" spans="1:15" x14ac:dyDescent="0.3">
      <c r="A194" t="s">
        <v>318</v>
      </c>
      <c r="B194" t="s">
        <v>63</v>
      </c>
      <c r="C194" t="s">
        <v>54</v>
      </c>
      <c r="D194" t="s">
        <v>46</v>
      </c>
      <c r="E194" t="s">
        <v>33</v>
      </c>
      <c r="F194">
        <v>57</v>
      </c>
      <c r="G194" t="s">
        <v>122</v>
      </c>
      <c r="H194" s="17">
        <v>36275</v>
      </c>
      <c r="I194">
        <v>95061</v>
      </c>
      <c r="J194">
        <v>104567</v>
      </c>
      <c r="K194">
        <v>0.1</v>
      </c>
      <c r="L194" t="s">
        <v>34</v>
      </c>
      <c r="M194" t="s">
        <v>55</v>
      </c>
      <c r="N194" s="17"/>
      <c r="O194">
        <v>0</v>
      </c>
    </row>
    <row r="195" spans="1:15" x14ac:dyDescent="0.3">
      <c r="A195" t="s">
        <v>319</v>
      </c>
      <c r="B195" t="s">
        <v>37</v>
      </c>
      <c r="C195" t="s">
        <v>45</v>
      </c>
      <c r="D195" t="s">
        <v>46</v>
      </c>
      <c r="E195" t="s">
        <v>28</v>
      </c>
      <c r="F195">
        <v>49</v>
      </c>
      <c r="G195" t="s">
        <v>125</v>
      </c>
      <c r="H195" s="17">
        <v>35887</v>
      </c>
      <c r="I195">
        <v>160832</v>
      </c>
      <c r="J195">
        <v>209082</v>
      </c>
      <c r="K195">
        <v>0.3</v>
      </c>
      <c r="L195" t="s">
        <v>29</v>
      </c>
      <c r="M195" t="s">
        <v>43</v>
      </c>
      <c r="N195" s="17"/>
      <c r="O195">
        <v>0</v>
      </c>
    </row>
    <row r="196" spans="1:15" x14ac:dyDescent="0.3">
      <c r="A196" t="s">
        <v>320</v>
      </c>
      <c r="B196" t="s">
        <v>86</v>
      </c>
      <c r="C196" t="s">
        <v>26</v>
      </c>
      <c r="D196" t="s">
        <v>32</v>
      </c>
      <c r="E196" t="s">
        <v>33</v>
      </c>
      <c r="F196">
        <v>54</v>
      </c>
      <c r="G196" t="s">
        <v>125</v>
      </c>
      <c r="H196" s="17">
        <v>40540</v>
      </c>
      <c r="I196">
        <v>64417</v>
      </c>
      <c r="J196">
        <v>64417</v>
      </c>
      <c r="K196">
        <v>0</v>
      </c>
      <c r="L196" t="s">
        <v>29</v>
      </c>
      <c r="M196" t="s">
        <v>58</v>
      </c>
      <c r="N196" s="17"/>
      <c r="O196">
        <v>0</v>
      </c>
    </row>
    <row r="197" spans="1:15" x14ac:dyDescent="0.3">
      <c r="A197" t="s">
        <v>321</v>
      </c>
      <c r="B197" t="s">
        <v>47</v>
      </c>
      <c r="C197" t="s">
        <v>45</v>
      </c>
      <c r="D197" t="s">
        <v>46</v>
      </c>
      <c r="E197" t="s">
        <v>33</v>
      </c>
      <c r="F197">
        <v>28</v>
      </c>
      <c r="G197" t="s">
        <v>127</v>
      </c>
      <c r="H197" s="17">
        <v>44274</v>
      </c>
      <c r="I197">
        <v>127543</v>
      </c>
      <c r="J197">
        <v>135196</v>
      </c>
      <c r="K197">
        <v>0.06</v>
      </c>
      <c r="L197" t="s">
        <v>34</v>
      </c>
      <c r="M197" t="s">
        <v>55</v>
      </c>
      <c r="N197" s="17"/>
      <c r="O197">
        <v>0</v>
      </c>
    </row>
    <row r="198" spans="1:15" x14ac:dyDescent="0.3">
      <c r="A198" t="s">
        <v>322</v>
      </c>
      <c r="B198" t="s">
        <v>48</v>
      </c>
      <c r="C198" t="s">
        <v>57</v>
      </c>
      <c r="D198" t="s">
        <v>32</v>
      </c>
      <c r="E198" t="s">
        <v>33</v>
      </c>
      <c r="F198">
        <v>30</v>
      </c>
      <c r="G198" t="s">
        <v>127</v>
      </c>
      <c r="H198" s="17">
        <v>43272</v>
      </c>
      <c r="I198">
        <v>56154</v>
      </c>
      <c r="J198">
        <v>56154</v>
      </c>
      <c r="K198">
        <v>0</v>
      </c>
      <c r="L198" t="s">
        <v>59</v>
      </c>
      <c r="M198" t="s">
        <v>76</v>
      </c>
      <c r="N198" s="17"/>
      <c r="O198">
        <v>0</v>
      </c>
    </row>
    <row r="199" spans="1:15" x14ac:dyDescent="0.3">
      <c r="A199" t="s">
        <v>323</v>
      </c>
      <c r="B199" t="s">
        <v>56</v>
      </c>
      <c r="C199" t="s">
        <v>45</v>
      </c>
      <c r="D199" t="s">
        <v>32</v>
      </c>
      <c r="E199" t="s">
        <v>28</v>
      </c>
      <c r="F199">
        <v>36</v>
      </c>
      <c r="G199" t="s">
        <v>135</v>
      </c>
      <c r="H199" s="17">
        <v>41692</v>
      </c>
      <c r="I199">
        <v>218530</v>
      </c>
      <c r="J199">
        <v>284089</v>
      </c>
      <c r="K199">
        <v>0.3</v>
      </c>
      <c r="L199" t="s">
        <v>34</v>
      </c>
      <c r="M199" t="s">
        <v>55</v>
      </c>
      <c r="N199" s="17"/>
      <c r="O199">
        <v>0</v>
      </c>
    </row>
    <row r="200" spans="1:15" x14ac:dyDescent="0.3">
      <c r="A200" t="s">
        <v>324</v>
      </c>
      <c r="B200" t="s">
        <v>86</v>
      </c>
      <c r="C200" t="s">
        <v>26</v>
      </c>
      <c r="D200" t="s">
        <v>32</v>
      </c>
      <c r="E200" t="s">
        <v>28</v>
      </c>
      <c r="F200">
        <v>36</v>
      </c>
      <c r="G200" t="s">
        <v>135</v>
      </c>
      <c r="H200" s="17">
        <v>43818</v>
      </c>
      <c r="I200">
        <v>91954</v>
      </c>
      <c r="J200">
        <v>91954</v>
      </c>
      <c r="K200">
        <v>0</v>
      </c>
      <c r="L200" t="s">
        <v>29</v>
      </c>
      <c r="M200" t="s">
        <v>58</v>
      </c>
      <c r="N200" s="17"/>
      <c r="O200">
        <v>0</v>
      </c>
    </row>
    <row r="201" spans="1:15" x14ac:dyDescent="0.3">
      <c r="A201" t="s">
        <v>325</v>
      </c>
      <c r="B201" t="s">
        <v>56</v>
      </c>
      <c r="C201" t="s">
        <v>57</v>
      </c>
      <c r="D201" t="s">
        <v>46</v>
      </c>
      <c r="E201" t="s">
        <v>28</v>
      </c>
      <c r="F201">
        <v>30</v>
      </c>
      <c r="G201" t="s">
        <v>127</v>
      </c>
      <c r="H201" s="17">
        <v>42634</v>
      </c>
      <c r="I201">
        <v>221217</v>
      </c>
      <c r="J201">
        <v>292006</v>
      </c>
      <c r="K201">
        <v>0.32</v>
      </c>
      <c r="L201" t="s">
        <v>29</v>
      </c>
      <c r="M201" t="s">
        <v>58</v>
      </c>
      <c r="N201" s="17">
        <v>43003</v>
      </c>
      <c r="O201">
        <v>1</v>
      </c>
    </row>
    <row r="202" spans="1:15" x14ac:dyDescent="0.3">
      <c r="A202" t="s">
        <v>326</v>
      </c>
      <c r="B202" t="s">
        <v>82</v>
      </c>
      <c r="C202" t="s">
        <v>26</v>
      </c>
      <c r="D202" t="s">
        <v>32</v>
      </c>
      <c r="E202" t="s">
        <v>33</v>
      </c>
      <c r="F202">
        <v>29</v>
      </c>
      <c r="G202" t="s">
        <v>127</v>
      </c>
      <c r="H202" s="17">
        <v>42866</v>
      </c>
      <c r="I202">
        <v>87536</v>
      </c>
      <c r="J202">
        <v>87536</v>
      </c>
      <c r="K202">
        <v>0</v>
      </c>
      <c r="L202" t="s">
        <v>29</v>
      </c>
      <c r="M202" t="s">
        <v>30</v>
      </c>
      <c r="N202" s="17"/>
      <c r="O202">
        <v>0</v>
      </c>
    </row>
    <row r="203" spans="1:15" x14ac:dyDescent="0.3">
      <c r="A203" t="s">
        <v>327</v>
      </c>
      <c r="B203" t="s">
        <v>48</v>
      </c>
      <c r="C203" t="s">
        <v>45</v>
      </c>
      <c r="D203" t="s">
        <v>46</v>
      </c>
      <c r="E203" t="s">
        <v>28</v>
      </c>
      <c r="F203">
        <v>47</v>
      </c>
      <c r="G203" t="s">
        <v>125</v>
      </c>
      <c r="H203" s="17">
        <v>42164</v>
      </c>
      <c r="I203">
        <v>41429</v>
      </c>
      <c r="J203">
        <v>41429</v>
      </c>
      <c r="K203">
        <v>0</v>
      </c>
      <c r="L203" t="s">
        <v>29</v>
      </c>
      <c r="M203" t="s">
        <v>30</v>
      </c>
      <c r="N203" s="17"/>
      <c r="O203">
        <v>0</v>
      </c>
    </row>
    <row r="204" spans="1:15" x14ac:dyDescent="0.3">
      <c r="A204" t="s">
        <v>328</v>
      </c>
      <c r="B204" t="s">
        <v>56</v>
      </c>
      <c r="C204" t="s">
        <v>54</v>
      </c>
      <c r="D204" t="s">
        <v>32</v>
      </c>
      <c r="E204" t="s">
        <v>33</v>
      </c>
      <c r="F204">
        <v>35</v>
      </c>
      <c r="G204" t="s">
        <v>135</v>
      </c>
      <c r="H204" s="17">
        <v>40826</v>
      </c>
      <c r="I204">
        <v>245482</v>
      </c>
      <c r="J204">
        <v>341220</v>
      </c>
      <c r="K204">
        <v>0.39</v>
      </c>
      <c r="L204" t="s">
        <v>29</v>
      </c>
      <c r="M204" t="s">
        <v>30</v>
      </c>
      <c r="N204" s="17"/>
      <c r="O204">
        <v>0</v>
      </c>
    </row>
    <row r="205" spans="1:15" x14ac:dyDescent="0.3">
      <c r="A205" t="s">
        <v>329</v>
      </c>
      <c r="B205" t="s">
        <v>80</v>
      </c>
      <c r="C205" t="s">
        <v>54</v>
      </c>
      <c r="D205" t="s">
        <v>32</v>
      </c>
      <c r="E205" t="s">
        <v>28</v>
      </c>
      <c r="F205">
        <v>25</v>
      </c>
      <c r="G205" t="s">
        <v>127</v>
      </c>
      <c r="H205" s="17">
        <v>43850</v>
      </c>
      <c r="I205">
        <v>71359</v>
      </c>
      <c r="J205">
        <v>71359</v>
      </c>
      <c r="K205">
        <v>0</v>
      </c>
      <c r="L205" t="s">
        <v>29</v>
      </c>
      <c r="M205" t="s">
        <v>43</v>
      </c>
      <c r="N205" s="17"/>
      <c r="O205">
        <v>0</v>
      </c>
    </row>
    <row r="206" spans="1:15" x14ac:dyDescent="0.3">
      <c r="A206" t="s">
        <v>330</v>
      </c>
      <c r="B206" t="s">
        <v>37</v>
      </c>
      <c r="C206" t="s">
        <v>54</v>
      </c>
      <c r="D206" t="s">
        <v>39</v>
      </c>
      <c r="E206" t="s">
        <v>33</v>
      </c>
      <c r="F206">
        <v>45</v>
      </c>
      <c r="G206" t="s">
        <v>125</v>
      </c>
      <c r="H206" s="17">
        <v>41879</v>
      </c>
      <c r="I206">
        <v>183161</v>
      </c>
      <c r="J206">
        <v>223456</v>
      </c>
      <c r="K206">
        <v>0.22</v>
      </c>
      <c r="L206" t="s">
        <v>29</v>
      </c>
      <c r="M206" t="s">
        <v>49</v>
      </c>
      <c r="N206" s="17"/>
      <c r="O206">
        <v>0</v>
      </c>
    </row>
    <row r="207" spans="1:15" x14ac:dyDescent="0.3">
      <c r="A207" t="s">
        <v>331</v>
      </c>
      <c r="B207" t="s">
        <v>87</v>
      </c>
      <c r="C207" t="s">
        <v>26</v>
      </c>
      <c r="D207" t="s">
        <v>46</v>
      </c>
      <c r="E207" t="s">
        <v>33</v>
      </c>
      <c r="F207">
        <v>58</v>
      </c>
      <c r="G207" t="s">
        <v>122</v>
      </c>
      <c r="H207" s="17">
        <v>34176</v>
      </c>
      <c r="I207">
        <v>69260</v>
      </c>
      <c r="J207">
        <v>69260</v>
      </c>
      <c r="K207">
        <v>0</v>
      </c>
      <c r="L207" t="s">
        <v>29</v>
      </c>
      <c r="M207" t="s">
        <v>43</v>
      </c>
      <c r="N207" s="17"/>
      <c r="O207">
        <v>0</v>
      </c>
    </row>
    <row r="208" spans="1:15" x14ac:dyDescent="0.3">
      <c r="A208" t="s">
        <v>332</v>
      </c>
      <c r="B208" t="s">
        <v>73</v>
      </c>
      <c r="C208" t="s">
        <v>54</v>
      </c>
      <c r="D208" t="s">
        <v>39</v>
      </c>
      <c r="E208" t="s">
        <v>33</v>
      </c>
      <c r="F208">
        <v>51</v>
      </c>
      <c r="G208" t="s">
        <v>125</v>
      </c>
      <c r="H208" s="17">
        <v>36442</v>
      </c>
      <c r="I208">
        <v>95639</v>
      </c>
      <c r="J208">
        <v>95639</v>
      </c>
      <c r="K208">
        <v>0</v>
      </c>
      <c r="L208" t="s">
        <v>29</v>
      </c>
      <c r="M208" t="s">
        <v>51</v>
      </c>
      <c r="N208" s="17"/>
      <c r="O208">
        <v>0</v>
      </c>
    </row>
    <row r="209" spans="1:15" x14ac:dyDescent="0.3">
      <c r="A209" t="s">
        <v>333</v>
      </c>
      <c r="B209" t="s">
        <v>47</v>
      </c>
      <c r="C209" t="s">
        <v>52</v>
      </c>
      <c r="D209" t="s">
        <v>27</v>
      </c>
      <c r="E209" t="s">
        <v>33</v>
      </c>
      <c r="F209">
        <v>48</v>
      </c>
      <c r="G209" t="s">
        <v>125</v>
      </c>
      <c r="H209" s="17">
        <v>38168</v>
      </c>
      <c r="I209">
        <v>120660</v>
      </c>
      <c r="J209">
        <v>129106</v>
      </c>
      <c r="K209">
        <v>7.0000000000000007E-2</v>
      </c>
      <c r="L209" t="s">
        <v>34</v>
      </c>
      <c r="M209" t="s">
        <v>68</v>
      </c>
      <c r="N209" s="17"/>
      <c r="O209">
        <v>0</v>
      </c>
    </row>
    <row r="210" spans="1:15" x14ac:dyDescent="0.3">
      <c r="A210" t="s">
        <v>334</v>
      </c>
      <c r="B210" t="s">
        <v>42</v>
      </c>
      <c r="C210" t="s">
        <v>45</v>
      </c>
      <c r="D210" t="s">
        <v>46</v>
      </c>
      <c r="E210" t="s">
        <v>33</v>
      </c>
      <c r="F210">
        <v>36</v>
      </c>
      <c r="G210" t="s">
        <v>135</v>
      </c>
      <c r="H210" s="17">
        <v>44556</v>
      </c>
      <c r="I210">
        <v>75119</v>
      </c>
      <c r="J210">
        <v>75119</v>
      </c>
      <c r="K210">
        <v>0</v>
      </c>
      <c r="L210" t="s">
        <v>29</v>
      </c>
      <c r="M210" t="s">
        <v>40</v>
      </c>
      <c r="N210" s="17"/>
      <c r="O210">
        <v>0</v>
      </c>
    </row>
    <row r="211" spans="1:15" x14ac:dyDescent="0.3">
      <c r="A211" t="s">
        <v>335</v>
      </c>
      <c r="B211" t="s">
        <v>56</v>
      </c>
      <c r="C211" t="s">
        <v>50</v>
      </c>
      <c r="D211" t="s">
        <v>27</v>
      </c>
      <c r="E211" t="s">
        <v>33</v>
      </c>
      <c r="F211">
        <v>59</v>
      </c>
      <c r="G211" t="s">
        <v>122</v>
      </c>
      <c r="H211" s="17">
        <v>40681</v>
      </c>
      <c r="I211">
        <v>192213</v>
      </c>
      <c r="J211">
        <v>269098</v>
      </c>
      <c r="K211">
        <v>0.4</v>
      </c>
      <c r="L211" t="s">
        <v>29</v>
      </c>
      <c r="M211" t="s">
        <v>40</v>
      </c>
      <c r="N211" s="17"/>
      <c r="O211">
        <v>0</v>
      </c>
    </row>
    <row r="212" spans="1:15" x14ac:dyDescent="0.3">
      <c r="A212" t="s">
        <v>336</v>
      </c>
      <c r="B212" t="s">
        <v>44</v>
      </c>
      <c r="C212" t="s">
        <v>45</v>
      </c>
      <c r="D212" t="s">
        <v>39</v>
      </c>
      <c r="E212" t="s">
        <v>28</v>
      </c>
      <c r="F212">
        <v>45</v>
      </c>
      <c r="G212" t="s">
        <v>125</v>
      </c>
      <c r="H212" s="17">
        <v>41769</v>
      </c>
      <c r="I212">
        <v>65047</v>
      </c>
      <c r="J212">
        <v>65047</v>
      </c>
      <c r="K212">
        <v>0</v>
      </c>
      <c r="L212" t="s">
        <v>59</v>
      </c>
      <c r="M212" t="s">
        <v>76</v>
      </c>
      <c r="N212" s="17"/>
      <c r="O212">
        <v>0</v>
      </c>
    </row>
    <row r="213" spans="1:15" x14ac:dyDescent="0.3">
      <c r="A213" t="s">
        <v>337</v>
      </c>
      <c r="B213" t="s">
        <v>25</v>
      </c>
      <c r="C213" t="s">
        <v>45</v>
      </c>
      <c r="D213" t="s">
        <v>32</v>
      </c>
      <c r="E213" t="s">
        <v>33</v>
      </c>
      <c r="F213">
        <v>29</v>
      </c>
      <c r="G213" t="s">
        <v>127</v>
      </c>
      <c r="H213" s="17">
        <v>42810</v>
      </c>
      <c r="I213">
        <v>151413</v>
      </c>
      <c r="J213">
        <v>174125</v>
      </c>
      <c r="K213">
        <v>0.15</v>
      </c>
      <c r="L213" t="s">
        <v>29</v>
      </c>
      <c r="M213" t="s">
        <v>30</v>
      </c>
      <c r="N213" s="17"/>
      <c r="O213">
        <v>0</v>
      </c>
    </row>
    <row r="214" spans="1:15" x14ac:dyDescent="0.3">
      <c r="A214" t="s">
        <v>338</v>
      </c>
      <c r="B214" t="s">
        <v>42</v>
      </c>
      <c r="C214" t="s">
        <v>50</v>
      </c>
      <c r="D214" t="s">
        <v>39</v>
      </c>
      <c r="E214" t="s">
        <v>33</v>
      </c>
      <c r="F214">
        <v>62</v>
      </c>
      <c r="G214" t="s">
        <v>122</v>
      </c>
      <c r="H214" s="17">
        <v>37733</v>
      </c>
      <c r="I214">
        <v>76906</v>
      </c>
      <c r="J214">
        <v>76906</v>
      </c>
      <c r="K214">
        <v>0</v>
      </c>
      <c r="L214" t="s">
        <v>29</v>
      </c>
      <c r="M214" t="s">
        <v>30</v>
      </c>
      <c r="N214" s="17"/>
      <c r="O214">
        <v>0</v>
      </c>
    </row>
    <row r="215" spans="1:15" x14ac:dyDescent="0.3">
      <c r="A215" t="s">
        <v>339</v>
      </c>
      <c r="B215" t="s">
        <v>47</v>
      </c>
      <c r="C215" t="s">
        <v>26</v>
      </c>
      <c r="D215" t="s">
        <v>46</v>
      </c>
      <c r="E215" t="s">
        <v>33</v>
      </c>
      <c r="F215">
        <v>51</v>
      </c>
      <c r="G215" t="s">
        <v>125</v>
      </c>
      <c r="H215" s="17">
        <v>34388</v>
      </c>
      <c r="I215">
        <v>122802</v>
      </c>
      <c r="J215">
        <v>128942</v>
      </c>
      <c r="K215">
        <v>0.05</v>
      </c>
      <c r="L215" t="s">
        <v>34</v>
      </c>
      <c r="M215" t="s">
        <v>55</v>
      </c>
      <c r="N215" s="17"/>
      <c r="O215">
        <v>0</v>
      </c>
    </row>
    <row r="216" spans="1:15" x14ac:dyDescent="0.3">
      <c r="A216" t="s">
        <v>340</v>
      </c>
      <c r="B216" t="s">
        <v>80</v>
      </c>
      <c r="C216" t="s">
        <v>54</v>
      </c>
      <c r="D216" t="s">
        <v>27</v>
      </c>
      <c r="E216" t="s">
        <v>33</v>
      </c>
      <c r="F216">
        <v>47</v>
      </c>
      <c r="G216" t="s">
        <v>125</v>
      </c>
      <c r="H216" s="17">
        <v>35990</v>
      </c>
      <c r="I216">
        <v>99091</v>
      </c>
      <c r="J216">
        <v>99091</v>
      </c>
      <c r="K216">
        <v>0</v>
      </c>
      <c r="L216" t="s">
        <v>29</v>
      </c>
      <c r="M216" t="s">
        <v>51</v>
      </c>
      <c r="N216" s="17"/>
      <c r="O216">
        <v>0</v>
      </c>
    </row>
    <row r="217" spans="1:15" x14ac:dyDescent="0.3">
      <c r="A217" t="s">
        <v>341</v>
      </c>
      <c r="B217" t="s">
        <v>53</v>
      </c>
      <c r="C217" t="s">
        <v>54</v>
      </c>
      <c r="D217" t="s">
        <v>32</v>
      </c>
      <c r="E217" t="s">
        <v>33</v>
      </c>
      <c r="F217">
        <v>40</v>
      </c>
      <c r="G217" t="s">
        <v>135</v>
      </c>
      <c r="H217" s="17">
        <v>39506</v>
      </c>
      <c r="I217">
        <v>113987</v>
      </c>
      <c r="J217">
        <v>113987</v>
      </c>
      <c r="K217">
        <v>0</v>
      </c>
      <c r="L217" t="s">
        <v>59</v>
      </c>
      <c r="M217" t="s">
        <v>60</v>
      </c>
      <c r="N217" s="17"/>
      <c r="O217">
        <v>0</v>
      </c>
    </row>
    <row r="218" spans="1:15" x14ac:dyDescent="0.3">
      <c r="A218" t="s">
        <v>342</v>
      </c>
      <c r="B218" t="s">
        <v>42</v>
      </c>
      <c r="C218" t="s">
        <v>38</v>
      </c>
      <c r="D218" t="s">
        <v>46</v>
      </c>
      <c r="E218" t="s">
        <v>28</v>
      </c>
      <c r="F218">
        <v>28</v>
      </c>
      <c r="G218" t="s">
        <v>127</v>
      </c>
      <c r="H218" s="17">
        <v>44078</v>
      </c>
      <c r="I218">
        <v>95045</v>
      </c>
      <c r="J218">
        <v>95045</v>
      </c>
      <c r="K218">
        <v>0</v>
      </c>
      <c r="L218" t="s">
        <v>29</v>
      </c>
      <c r="M218" t="s">
        <v>40</v>
      </c>
      <c r="N218" s="17"/>
      <c r="O218">
        <v>0</v>
      </c>
    </row>
    <row r="219" spans="1:15" x14ac:dyDescent="0.3">
      <c r="A219" t="s">
        <v>343</v>
      </c>
      <c r="B219" t="s">
        <v>56</v>
      </c>
      <c r="C219" t="s">
        <v>57</v>
      </c>
      <c r="D219" t="s">
        <v>39</v>
      </c>
      <c r="E219" t="s">
        <v>28</v>
      </c>
      <c r="F219">
        <v>29</v>
      </c>
      <c r="G219" t="s">
        <v>127</v>
      </c>
      <c r="H219" s="17">
        <v>42740</v>
      </c>
      <c r="I219">
        <v>190401</v>
      </c>
      <c r="J219">
        <v>260849</v>
      </c>
      <c r="K219">
        <v>0.37</v>
      </c>
      <c r="L219" t="s">
        <v>29</v>
      </c>
      <c r="M219" t="s">
        <v>58</v>
      </c>
      <c r="N219" s="17"/>
      <c r="O219">
        <v>0</v>
      </c>
    </row>
    <row r="220" spans="1:15" x14ac:dyDescent="0.3">
      <c r="A220" t="s">
        <v>344</v>
      </c>
      <c r="B220" t="s">
        <v>42</v>
      </c>
      <c r="C220" t="s">
        <v>38</v>
      </c>
      <c r="D220" t="s">
        <v>46</v>
      </c>
      <c r="E220" t="s">
        <v>33</v>
      </c>
      <c r="F220">
        <v>46</v>
      </c>
      <c r="G220" t="s">
        <v>125</v>
      </c>
      <c r="H220" s="17">
        <v>41294</v>
      </c>
      <c r="I220">
        <v>86061</v>
      </c>
      <c r="J220">
        <v>86061</v>
      </c>
      <c r="K220">
        <v>0</v>
      </c>
      <c r="L220" t="s">
        <v>59</v>
      </c>
      <c r="M220" t="s">
        <v>61</v>
      </c>
      <c r="N220" s="17"/>
      <c r="O220">
        <v>0</v>
      </c>
    </row>
    <row r="221" spans="1:15" x14ac:dyDescent="0.3">
      <c r="A221" t="s">
        <v>345</v>
      </c>
      <c r="B221" t="s">
        <v>81</v>
      </c>
      <c r="C221" t="s">
        <v>45</v>
      </c>
      <c r="D221" t="s">
        <v>39</v>
      </c>
      <c r="E221" t="s">
        <v>33</v>
      </c>
      <c r="F221">
        <v>45</v>
      </c>
      <c r="G221" t="s">
        <v>125</v>
      </c>
      <c r="H221" s="17">
        <v>44237</v>
      </c>
      <c r="I221">
        <v>79882</v>
      </c>
      <c r="J221">
        <v>79882</v>
      </c>
      <c r="K221">
        <v>0</v>
      </c>
      <c r="L221" t="s">
        <v>29</v>
      </c>
      <c r="M221" t="s">
        <v>43</v>
      </c>
      <c r="N221" s="17"/>
      <c r="O221">
        <v>0</v>
      </c>
    </row>
    <row r="222" spans="1:15" x14ac:dyDescent="0.3">
      <c r="A222" t="s">
        <v>346</v>
      </c>
      <c r="B222" t="s">
        <v>56</v>
      </c>
      <c r="C222" t="s">
        <v>54</v>
      </c>
      <c r="D222" t="s">
        <v>32</v>
      </c>
      <c r="E222" t="s">
        <v>28</v>
      </c>
      <c r="F222">
        <v>30</v>
      </c>
      <c r="G222" t="s">
        <v>127</v>
      </c>
      <c r="H222" s="17">
        <v>43165</v>
      </c>
      <c r="I222">
        <v>255431</v>
      </c>
      <c r="J222">
        <v>347386</v>
      </c>
      <c r="K222">
        <v>0.36</v>
      </c>
      <c r="L222" t="s">
        <v>29</v>
      </c>
      <c r="M222" t="s">
        <v>58</v>
      </c>
      <c r="N222" s="17"/>
      <c r="O222">
        <v>0</v>
      </c>
    </row>
    <row r="223" spans="1:15" x14ac:dyDescent="0.3">
      <c r="A223" t="s">
        <v>347</v>
      </c>
      <c r="B223" t="s">
        <v>86</v>
      </c>
      <c r="C223" t="s">
        <v>26</v>
      </c>
      <c r="D223" t="s">
        <v>32</v>
      </c>
      <c r="E223" t="s">
        <v>28</v>
      </c>
      <c r="F223">
        <v>48</v>
      </c>
      <c r="G223" t="s">
        <v>125</v>
      </c>
      <c r="H223" s="17">
        <v>37855</v>
      </c>
      <c r="I223">
        <v>82017</v>
      </c>
      <c r="J223">
        <v>82017</v>
      </c>
      <c r="K223">
        <v>0</v>
      </c>
      <c r="L223" t="s">
        <v>34</v>
      </c>
      <c r="M223" t="s">
        <v>64</v>
      </c>
      <c r="N223" s="17"/>
      <c r="O223">
        <v>0</v>
      </c>
    </row>
    <row r="224" spans="1:15" x14ac:dyDescent="0.3">
      <c r="A224" t="s">
        <v>348</v>
      </c>
      <c r="B224" t="s">
        <v>48</v>
      </c>
      <c r="C224" t="s">
        <v>38</v>
      </c>
      <c r="D224" t="s">
        <v>32</v>
      </c>
      <c r="E224" t="s">
        <v>28</v>
      </c>
      <c r="F224">
        <v>51</v>
      </c>
      <c r="G224" t="s">
        <v>125</v>
      </c>
      <c r="H224" s="17">
        <v>42753</v>
      </c>
      <c r="I224">
        <v>53799</v>
      </c>
      <c r="J224">
        <v>53799</v>
      </c>
      <c r="K224">
        <v>0</v>
      </c>
      <c r="L224" t="s">
        <v>29</v>
      </c>
      <c r="M224" t="s">
        <v>58</v>
      </c>
      <c r="N224" s="17"/>
      <c r="O224">
        <v>0</v>
      </c>
    </row>
    <row r="225" spans="1:15" x14ac:dyDescent="0.3">
      <c r="A225" t="s">
        <v>349</v>
      </c>
      <c r="B225" t="s">
        <v>42</v>
      </c>
      <c r="C225" t="s">
        <v>45</v>
      </c>
      <c r="D225" t="s">
        <v>46</v>
      </c>
      <c r="E225" t="s">
        <v>28</v>
      </c>
      <c r="F225">
        <v>28</v>
      </c>
      <c r="G225" t="s">
        <v>127</v>
      </c>
      <c r="H225" s="17">
        <v>44380</v>
      </c>
      <c r="I225">
        <v>82739</v>
      </c>
      <c r="J225">
        <v>82739</v>
      </c>
      <c r="K225">
        <v>0</v>
      </c>
      <c r="L225" t="s">
        <v>29</v>
      </c>
      <c r="M225" t="s">
        <v>43</v>
      </c>
      <c r="N225" s="17"/>
      <c r="O225">
        <v>0</v>
      </c>
    </row>
    <row r="226" spans="1:15" x14ac:dyDescent="0.3">
      <c r="A226" t="s">
        <v>350</v>
      </c>
      <c r="B226" t="s">
        <v>75</v>
      </c>
      <c r="C226" t="s">
        <v>26</v>
      </c>
      <c r="D226" t="s">
        <v>32</v>
      </c>
      <c r="E226" t="s">
        <v>28</v>
      </c>
      <c r="F226">
        <v>36</v>
      </c>
      <c r="G226" t="s">
        <v>135</v>
      </c>
      <c r="H226" s="17">
        <v>41789</v>
      </c>
      <c r="I226">
        <v>99080</v>
      </c>
      <c r="J226">
        <v>99080</v>
      </c>
      <c r="K226">
        <v>0</v>
      </c>
      <c r="L226" t="s">
        <v>29</v>
      </c>
      <c r="M226" t="s">
        <v>40</v>
      </c>
      <c r="N226" s="17"/>
      <c r="O226">
        <v>0</v>
      </c>
    </row>
    <row r="227" spans="1:15" x14ac:dyDescent="0.3">
      <c r="A227" t="s">
        <v>351</v>
      </c>
      <c r="B227" t="s">
        <v>81</v>
      </c>
      <c r="C227" t="s">
        <v>45</v>
      </c>
      <c r="D227" t="s">
        <v>46</v>
      </c>
      <c r="E227" t="s">
        <v>28</v>
      </c>
      <c r="F227">
        <v>40</v>
      </c>
      <c r="G227" t="s">
        <v>135</v>
      </c>
      <c r="H227" s="17">
        <v>40563</v>
      </c>
      <c r="I227">
        <v>96719</v>
      </c>
      <c r="J227">
        <v>96719</v>
      </c>
      <c r="K227">
        <v>0</v>
      </c>
      <c r="L227" t="s">
        <v>34</v>
      </c>
      <c r="M227" t="s">
        <v>68</v>
      </c>
      <c r="N227" s="17"/>
      <c r="O227">
        <v>0</v>
      </c>
    </row>
    <row r="228" spans="1:15" x14ac:dyDescent="0.3">
      <c r="A228" t="s">
        <v>352</v>
      </c>
      <c r="B228" t="s">
        <v>37</v>
      </c>
      <c r="C228" t="s">
        <v>52</v>
      </c>
      <c r="D228" t="s">
        <v>27</v>
      </c>
      <c r="E228" t="s">
        <v>28</v>
      </c>
      <c r="F228">
        <v>51</v>
      </c>
      <c r="G228" t="s">
        <v>125</v>
      </c>
      <c r="H228" s="17">
        <v>44283</v>
      </c>
      <c r="I228">
        <v>180687</v>
      </c>
      <c r="J228">
        <v>215018</v>
      </c>
      <c r="K228">
        <v>0.19</v>
      </c>
      <c r="L228" t="s">
        <v>29</v>
      </c>
      <c r="M228" t="s">
        <v>43</v>
      </c>
      <c r="N228" s="17"/>
      <c r="O228">
        <v>0</v>
      </c>
    </row>
    <row r="229" spans="1:15" x14ac:dyDescent="0.3">
      <c r="A229" t="s">
        <v>353</v>
      </c>
      <c r="B229" t="s">
        <v>63</v>
      </c>
      <c r="C229" t="s">
        <v>54</v>
      </c>
      <c r="D229" t="s">
        <v>46</v>
      </c>
      <c r="E229" t="s">
        <v>33</v>
      </c>
      <c r="F229">
        <v>45</v>
      </c>
      <c r="G229" t="s">
        <v>125</v>
      </c>
      <c r="H229" s="17">
        <v>36993</v>
      </c>
      <c r="I229">
        <v>95743</v>
      </c>
      <c r="J229">
        <v>110104</v>
      </c>
      <c r="K229">
        <v>0.15</v>
      </c>
      <c r="L229" t="s">
        <v>29</v>
      </c>
      <c r="M229" t="s">
        <v>51</v>
      </c>
      <c r="N229" s="17">
        <v>40193</v>
      </c>
      <c r="O229">
        <v>1</v>
      </c>
    </row>
    <row r="230" spans="1:15" x14ac:dyDescent="0.3">
      <c r="A230" t="s">
        <v>354</v>
      </c>
      <c r="B230" t="s">
        <v>80</v>
      </c>
      <c r="C230" t="s">
        <v>54</v>
      </c>
      <c r="D230" t="s">
        <v>27</v>
      </c>
      <c r="E230" t="s">
        <v>28</v>
      </c>
      <c r="F230">
        <v>44</v>
      </c>
      <c r="G230" t="s">
        <v>135</v>
      </c>
      <c r="H230" s="17">
        <v>40060</v>
      </c>
      <c r="I230">
        <v>89695</v>
      </c>
      <c r="J230">
        <v>89695</v>
      </c>
      <c r="K230">
        <v>0</v>
      </c>
      <c r="L230" t="s">
        <v>29</v>
      </c>
      <c r="M230" t="s">
        <v>51</v>
      </c>
      <c r="N230" s="17"/>
      <c r="O230">
        <v>0</v>
      </c>
    </row>
    <row r="231" spans="1:15" x14ac:dyDescent="0.3">
      <c r="A231" t="s">
        <v>355</v>
      </c>
      <c r="B231" t="s">
        <v>47</v>
      </c>
      <c r="C231" t="s">
        <v>38</v>
      </c>
      <c r="D231" t="s">
        <v>32</v>
      </c>
      <c r="E231" t="s">
        <v>33</v>
      </c>
      <c r="F231">
        <v>64</v>
      </c>
      <c r="G231" t="s">
        <v>122</v>
      </c>
      <c r="H231" s="17">
        <v>35996</v>
      </c>
      <c r="I231">
        <v>122753</v>
      </c>
      <c r="J231">
        <v>133801</v>
      </c>
      <c r="K231">
        <v>0.09</v>
      </c>
      <c r="L231" t="s">
        <v>34</v>
      </c>
      <c r="M231" t="s">
        <v>35</v>
      </c>
      <c r="N231" s="17"/>
      <c r="O231">
        <v>0</v>
      </c>
    </row>
    <row r="232" spans="1:15" x14ac:dyDescent="0.3">
      <c r="A232" t="s">
        <v>356</v>
      </c>
      <c r="B232" t="s">
        <v>69</v>
      </c>
      <c r="C232" t="s">
        <v>52</v>
      </c>
      <c r="D232" t="s">
        <v>27</v>
      </c>
      <c r="E232" t="s">
        <v>33</v>
      </c>
      <c r="F232">
        <v>30</v>
      </c>
      <c r="G232" t="s">
        <v>127</v>
      </c>
      <c r="H232" s="17">
        <v>42078</v>
      </c>
      <c r="I232">
        <v>93734</v>
      </c>
      <c r="J232">
        <v>93734</v>
      </c>
      <c r="K232">
        <v>0</v>
      </c>
      <c r="L232" t="s">
        <v>29</v>
      </c>
      <c r="M232" t="s">
        <v>43</v>
      </c>
      <c r="N232" s="17"/>
      <c r="O232">
        <v>0</v>
      </c>
    </row>
    <row r="233" spans="1:15" x14ac:dyDescent="0.3">
      <c r="A233" t="s">
        <v>357</v>
      </c>
      <c r="B233" t="s">
        <v>48</v>
      </c>
      <c r="C233" t="s">
        <v>50</v>
      </c>
      <c r="D233" t="s">
        <v>46</v>
      </c>
      <c r="E233" t="s">
        <v>33</v>
      </c>
      <c r="F233">
        <v>28</v>
      </c>
      <c r="G233" t="s">
        <v>127</v>
      </c>
      <c r="H233" s="17">
        <v>42867</v>
      </c>
      <c r="I233">
        <v>52069</v>
      </c>
      <c r="J233">
        <v>52069</v>
      </c>
      <c r="K233">
        <v>0</v>
      </c>
      <c r="L233" t="s">
        <v>34</v>
      </c>
      <c r="M233" t="s">
        <v>35</v>
      </c>
      <c r="N233" s="17"/>
      <c r="O233">
        <v>0</v>
      </c>
    </row>
    <row r="234" spans="1:15" x14ac:dyDescent="0.3">
      <c r="A234" t="s">
        <v>358</v>
      </c>
      <c r="B234" t="s">
        <v>56</v>
      </c>
      <c r="C234" t="s">
        <v>50</v>
      </c>
      <c r="D234" t="s">
        <v>46</v>
      </c>
      <c r="E234" t="s">
        <v>28</v>
      </c>
      <c r="F234">
        <v>33</v>
      </c>
      <c r="G234" t="s">
        <v>127</v>
      </c>
      <c r="H234" s="17">
        <v>44181</v>
      </c>
      <c r="I234">
        <v>258426</v>
      </c>
      <c r="J234">
        <v>361796</v>
      </c>
      <c r="K234">
        <v>0.4</v>
      </c>
      <c r="L234" t="s">
        <v>59</v>
      </c>
      <c r="M234" t="s">
        <v>61</v>
      </c>
      <c r="N234" s="17"/>
      <c r="O234">
        <v>0</v>
      </c>
    </row>
    <row r="235" spans="1:15" x14ac:dyDescent="0.3">
      <c r="A235" t="s">
        <v>359</v>
      </c>
      <c r="B235" t="s">
        <v>47</v>
      </c>
      <c r="C235" t="s">
        <v>38</v>
      </c>
      <c r="D235" t="s">
        <v>39</v>
      </c>
      <c r="E235" t="s">
        <v>33</v>
      </c>
      <c r="F235">
        <v>51</v>
      </c>
      <c r="G235" t="s">
        <v>125</v>
      </c>
      <c r="H235" s="17">
        <v>34746</v>
      </c>
      <c r="I235">
        <v>125375</v>
      </c>
      <c r="J235">
        <v>136659</v>
      </c>
      <c r="K235">
        <v>0.09</v>
      </c>
      <c r="L235" t="s">
        <v>29</v>
      </c>
      <c r="M235" t="s">
        <v>40</v>
      </c>
      <c r="N235" s="17"/>
      <c r="O235">
        <v>0</v>
      </c>
    </row>
    <row r="236" spans="1:15" x14ac:dyDescent="0.3">
      <c r="A236" t="s">
        <v>360</v>
      </c>
      <c r="B236" t="s">
        <v>56</v>
      </c>
      <c r="C236" t="s">
        <v>50</v>
      </c>
      <c r="D236" t="s">
        <v>32</v>
      </c>
      <c r="E236" t="s">
        <v>33</v>
      </c>
      <c r="F236">
        <v>25</v>
      </c>
      <c r="G236" t="s">
        <v>127</v>
      </c>
      <c r="H236" s="17">
        <v>44235</v>
      </c>
      <c r="I236">
        <v>198243</v>
      </c>
      <c r="J236">
        <v>259698</v>
      </c>
      <c r="K236">
        <v>0.31</v>
      </c>
      <c r="L236" t="s">
        <v>29</v>
      </c>
      <c r="M236" t="s">
        <v>49</v>
      </c>
      <c r="N236" s="17"/>
      <c r="O236">
        <v>0</v>
      </c>
    </row>
    <row r="237" spans="1:15" x14ac:dyDescent="0.3">
      <c r="A237" t="s">
        <v>361</v>
      </c>
      <c r="B237" t="s">
        <v>77</v>
      </c>
      <c r="C237" t="s">
        <v>54</v>
      </c>
      <c r="D237" t="s">
        <v>27</v>
      </c>
      <c r="E237" t="s">
        <v>28</v>
      </c>
      <c r="F237">
        <v>42</v>
      </c>
      <c r="G237" t="s">
        <v>135</v>
      </c>
      <c r="H237" s="17">
        <v>43062</v>
      </c>
      <c r="I237">
        <v>96023</v>
      </c>
      <c r="J237">
        <v>96023</v>
      </c>
      <c r="K237">
        <v>0</v>
      </c>
      <c r="L237" t="s">
        <v>29</v>
      </c>
      <c r="M237" t="s">
        <v>49</v>
      </c>
      <c r="N237" s="17"/>
      <c r="O237">
        <v>0</v>
      </c>
    </row>
    <row r="238" spans="1:15" x14ac:dyDescent="0.3">
      <c r="A238" t="s">
        <v>362</v>
      </c>
      <c r="B238" t="s">
        <v>42</v>
      </c>
      <c r="C238" t="s">
        <v>57</v>
      </c>
      <c r="D238" t="s">
        <v>27</v>
      </c>
      <c r="E238" t="s">
        <v>28</v>
      </c>
      <c r="F238">
        <v>34</v>
      </c>
      <c r="G238" t="s">
        <v>127</v>
      </c>
      <c r="H238" s="17">
        <v>41085</v>
      </c>
      <c r="I238">
        <v>83066</v>
      </c>
      <c r="J238">
        <v>83066</v>
      </c>
      <c r="K238">
        <v>0</v>
      </c>
      <c r="L238" t="s">
        <v>29</v>
      </c>
      <c r="M238" t="s">
        <v>40</v>
      </c>
      <c r="N238" s="17">
        <v>41430</v>
      </c>
      <c r="O238">
        <v>1</v>
      </c>
    </row>
    <row r="239" spans="1:15" x14ac:dyDescent="0.3">
      <c r="A239" t="s">
        <v>363</v>
      </c>
      <c r="B239" t="s">
        <v>66</v>
      </c>
      <c r="C239" t="s">
        <v>45</v>
      </c>
      <c r="D239" t="s">
        <v>27</v>
      </c>
      <c r="E239" t="s">
        <v>28</v>
      </c>
      <c r="F239">
        <v>48</v>
      </c>
      <c r="G239" t="s">
        <v>125</v>
      </c>
      <c r="H239" s="17">
        <v>41773</v>
      </c>
      <c r="I239">
        <v>61216</v>
      </c>
      <c r="J239">
        <v>61216</v>
      </c>
      <c r="K239">
        <v>0</v>
      </c>
      <c r="L239" t="s">
        <v>29</v>
      </c>
      <c r="M239" t="s">
        <v>30</v>
      </c>
      <c r="N239" s="17"/>
      <c r="O239">
        <v>0</v>
      </c>
    </row>
    <row r="240" spans="1:15" x14ac:dyDescent="0.3">
      <c r="A240" t="s">
        <v>364</v>
      </c>
      <c r="B240" t="s">
        <v>25</v>
      </c>
      <c r="C240" t="s">
        <v>50</v>
      </c>
      <c r="D240" t="s">
        <v>46</v>
      </c>
      <c r="E240" t="s">
        <v>33</v>
      </c>
      <c r="F240">
        <v>33</v>
      </c>
      <c r="G240" t="s">
        <v>127</v>
      </c>
      <c r="H240" s="17">
        <v>41315</v>
      </c>
      <c r="I240">
        <v>144231</v>
      </c>
      <c r="J240">
        <v>164423</v>
      </c>
      <c r="K240">
        <v>0.14000000000000001</v>
      </c>
      <c r="L240" t="s">
        <v>29</v>
      </c>
      <c r="M240" t="s">
        <v>58</v>
      </c>
      <c r="N240" s="17">
        <v>44029</v>
      </c>
      <c r="O240">
        <v>1</v>
      </c>
    </row>
    <row r="241" spans="1:15" x14ac:dyDescent="0.3">
      <c r="A241" t="s">
        <v>365</v>
      </c>
      <c r="B241" t="s">
        <v>70</v>
      </c>
      <c r="C241" t="s">
        <v>52</v>
      </c>
      <c r="D241" t="s">
        <v>27</v>
      </c>
      <c r="E241" t="s">
        <v>33</v>
      </c>
      <c r="F241">
        <v>41</v>
      </c>
      <c r="G241" t="s">
        <v>135</v>
      </c>
      <c r="H241" s="17">
        <v>39379</v>
      </c>
      <c r="I241">
        <v>51630</v>
      </c>
      <c r="J241">
        <v>51630</v>
      </c>
      <c r="K241">
        <v>0</v>
      </c>
      <c r="L241" t="s">
        <v>34</v>
      </c>
      <c r="M241" t="s">
        <v>64</v>
      </c>
      <c r="N241" s="17"/>
      <c r="O241">
        <v>0</v>
      </c>
    </row>
    <row r="242" spans="1:15" x14ac:dyDescent="0.3">
      <c r="A242" t="s">
        <v>366</v>
      </c>
      <c r="B242" t="s">
        <v>25</v>
      </c>
      <c r="C242" t="s">
        <v>45</v>
      </c>
      <c r="D242" t="s">
        <v>46</v>
      </c>
      <c r="E242" t="s">
        <v>33</v>
      </c>
      <c r="F242">
        <v>55</v>
      </c>
      <c r="G242" t="s">
        <v>122</v>
      </c>
      <c r="H242" s="17">
        <v>41594</v>
      </c>
      <c r="I242">
        <v>124129</v>
      </c>
      <c r="J242">
        <v>142748</v>
      </c>
      <c r="K242">
        <v>0.15</v>
      </c>
      <c r="L242" t="s">
        <v>59</v>
      </c>
      <c r="M242" t="s">
        <v>76</v>
      </c>
      <c r="N242" s="17"/>
      <c r="O242">
        <v>0</v>
      </c>
    </row>
    <row r="243" spans="1:15" x14ac:dyDescent="0.3">
      <c r="A243" t="s">
        <v>367</v>
      </c>
      <c r="B243" t="s">
        <v>77</v>
      </c>
      <c r="C243" t="s">
        <v>54</v>
      </c>
      <c r="D243" t="s">
        <v>32</v>
      </c>
      <c r="E243" t="s">
        <v>33</v>
      </c>
      <c r="F243">
        <v>36</v>
      </c>
      <c r="G243" t="s">
        <v>135</v>
      </c>
      <c r="H243" s="17">
        <v>39912</v>
      </c>
      <c r="I243">
        <v>60055</v>
      </c>
      <c r="J243">
        <v>60055</v>
      </c>
      <c r="K243">
        <v>0</v>
      </c>
      <c r="L243" t="s">
        <v>29</v>
      </c>
      <c r="M243" t="s">
        <v>30</v>
      </c>
      <c r="N243" s="17"/>
      <c r="O243">
        <v>0</v>
      </c>
    </row>
    <row r="244" spans="1:15" x14ac:dyDescent="0.3">
      <c r="A244" t="s">
        <v>368</v>
      </c>
      <c r="B244" t="s">
        <v>37</v>
      </c>
      <c r="C244" t="s">
        <v>54</v>
      </c>
      <c r="D244" t="s">
        <v>27</v>
      </c>
      <c r="E244" t="s">
        <v>33</v>
      </c>
      <c r="F244">
        <v>31</v>
      </c>
      <c r="G244" t="s">
        <v>127</v>
      </c>
      <c r="H244" s="17">
        <v>44069</v>
      </c>
      <c r="I244">
        <v>189290</v>
      </c>
      <c r="J244">
        <v>230934</v>
      </c>
      <c r="K244">
        <v>0.22</v>
      </c>
      <c r="L244" t="s">
        <v>59</v>
      </c>
      <c r="M244" t="s">
        <v>76</v>
      </c>
      <c r="N244" s="17">
        <v>44099</v>
      </c>
      <c r="O244">
        <v>1</v>
      </c>
    </row>
    <row r="245" spans="1:15" x14ac:dyDescent="0.3">
      <c r="A245" t="s">
        <v>369</v>
      </c>
      <c r="B245" t="s">
        <v>56</v>
      </c>
      <c r="C245" t="s">
        <v>26</v>
      </c>
      <c r="D245" t="s">
        <v>46</v>
      </c>
      <c r="E245" t="s">
        <v>28</v>
      </c>
      <c r="F245">
        <v>53</v>
      </c>
      <c r="G245" t="s">
        <v>125</v>
      </c>
      <c r="H245" s="17">
        <v>39568</v>
      </c>
      <c r="I245">
        <v>182202</v>
      </c>
      <c r="J245">
        <v>236863</v>
      </c>
      <c r="K245">
        <v>0.3</v>
      </c>
      <c r="L245" t="s">
        <v>29</v>
      </c>
      <c r="M245" t="s">
        <v>51</v>
      </c>
      <c r="N245" s="17"/>
      <c r="O245">
        <v>0</v>
      </c>
    </row>
    <row r="246" spans="1:15" x14ac:dyDescent="0.3">
      <c r="A246" t="s">
        <v>370</v>
      </c>
      <c r="B246" t="s">
        <v>47</v>
      </c>
      <c r="C246" t="s">
        <v>45</v>
      </c>
      <c r="D246" t="s">
        <v>39</v>
      </c>
      <c r="E246" t="s">
        <v>33</v>
      </c>
      <c r="F246">
        <v>43</v>
      </c>
      <c r="G246" t="s">
        <v>135</v>
      </c>
      <c r="H246" s="17">
        <v>38748</v>
      </c>
      <c r="I246">
        <v>117518</v>
      </c>
      <c r="J246">
        <v>125744</v>
      </c>
      <c r="K246">
        <v>7.0000000000000007E-2</v>
      </c>
      <c r="L246" t="s">
        <v>29</v>
      </c>
      <c r="M246" t="s">
        <v>30</v>
      </c>
      <c r="N246" s="17"/>
      <c r="O246">
        <v>0</v>
      </c>
    </row>
    <row r="247" spans="1:15" x14ac:dyDescent="0.3">
      <c r="A247" t="s">
        <v>371</v>
      </c>
      <c r="B247" t="s">
        <v>25</v>
      </c>
      <c r="C247" t="s">
        <v>38</v>
      </c>
      <c r="D247" t="s">
        <v>32</v>
      </c>
      <c r="E247" t="s">
        <v>28</v>
      </c>
      <c r="F247">
        <v>37</v>
      </c>
      <c r="G247" t="s">
        <v>135</v>
      </c>
      <c r="H247" s="17">
        <v>41329</v>
      </c>
      <c r="I247">
        <v>157474</v>
      </c>
      <c r="J247">
        <v>174796</v>
      </c>
      <c r="K247">
        <v>0.11</v>
      </c>
      <c r="L247" t="s">
        <v>59</v>
      </c>
      <c r="M247" t="s">
        <v>61</v>
      </c>
      <c r="N247" s="17"/>
      <c r="O247">
        <v>0</v>
      </c>
    </row>
    <row r="248" spans="1:15" x14ac:dyDescent="0.3">
      <c r="A248" t="s">
        <v>372</v>
      </c>
      <c r="B248" t="s">
        <v>47</v>
      </c>
      <c r="C248" t="s">
        <v>57</v>
      </c>
      <c r="D248" t="s">
        <v>32</v>
      </c>
      <c r="E248" t="s">
        <v>33</v>
      </c>
      <c r="F248">
        <v>38</v>
      </c>
      <c r="G248" t="s">
        <v>135</v>
      </c>
      <c r="H248" s="17">
        <v>39544</v>
      </c>
      <c r="I248">
        <v>126856</v>
      </c>
      <c r="J248">
        <v>134467</v>
      </c>
      <c r="K248">
        <v>0.06</v>
      </c>
      <c r="L248" t="s">
        <v>29</v>
      </c>
      <c r="M248" t="s">
        <v>58</v>
      </c>
      <c r="N248" s="17"/>
      <c r="O248">
        <v>0</v>
      </c>
    </row>
    <row r="249" spans="1:15" x14ac:dyDescent="0.3">
      <c r="A249" t="s">
        <v>373</v>
      </c>
      <c r="B249" t="s">
        <v>25</v>
      </c>
      <c r="C249" t="s">
        <v>50</v>
      </c>
      <c r="D249" t="s">
        <v>32</v>
      </c>
      <c r="E249" t="s">
        <v>28</v>
      </c>
      <c r="F249">
        <v>49</v>
      </c>
      <c r="G249" t="s">
        <v>125</v>
      </c>
      <c r="H249" s="17">
        <v>36983</v>
      </c>
      <c r="I249">
        <v>129124</v>
      </c>
      <c r="J249">
        <v>144619</v>
      </c>
      <c r="K249">
        <v>0.12</v>
      </c>
      <c r="L249" t="s">
        <v>34</v>
      </c>
      <c r="M249" t="s">
        <v>55</v>
      </c>
      <c r="N249" s="17"/>
      <c r="O249">
        <v>0</v>
      </c>
    </row>
    <row r="250" spans="1:15" x14ac:dyDescent="0.3">
      <c r="A250" t="s">
        <v>374</v>
      </c>
      <c r="B250" t="s">
        <v>37</v>
      </c>
      <c r="C250" t="s">
        <v>45</v>
      </c>
      <c r="D250" t="s">
        <v>27</v>
      </c>
      <c r="E250" t="s">
        <v>28</v>
      </c>
      <c r="F250">
        <v>45</v>
      </c>
      <c r="G250" t="s">
        <v>125</v>
      </c>
      <c r="H250" s="17">
        <v>37316</v>
      </c>
      <c r="I250">
        <v>165181</v>
      </c>
      <c r="J250">
        <v>191610</v>
      </c>
      <c r="K250">
        <v>0.16</v>
      </c>
      <c r="L250" t="s">
        <v>29</v>
      </c>
      <c r="M250" t="s">
        <v>30</v>
      </c>
      <c r="N250" s="17"/>
      <c r="O250">
        <v>0</v>
      </c>
    </row>
    <row r="251" spans="1:15" x14ac:dyDescent="0.3">
      <c r="A251" t="s">
        <v>375</v>
      </c>
      <c r="B251" t="s">
        <v>56</v>
      </c>
      <c r="C251" t="s">
        <v>38</v>
      </c>
      <c r="D251" t="s">
        <v>46</v>
      </c>
      <c r="E251" t="s">
        <v>33</v>
      </c>
      <c r="F251">
        <v>50</v>
      </c>
      <c r="G251" t="s">
        <v>125</v>
      </c>
      <c r="H251" s="17">
        <v>38004</v>
      </c>
      <c r="I251">
        <v>247939</v>
      </c>
      <c r="J251">
        <v>334718</v>
      </c>
      <c r="K251">
        <v>0.35</v>
      </c>
      <c r="L251" t="s">
        <v>59</v>
      </c>
      <c r="M251" t="s">
        <v>61</v>
      </c>
      <c r="N251" s="17"/>
      <c r="O251">
        <v>0</v>
      </c>
    </row>
    <row r="252" spans="1:15" x14ac:dyDescent="0.3">
      <c r="A252" t="s">
        <v>376</v>
      </c>
      <c r="B252" t="s">
        <v>37</v>
      </c>
      <c r="C252" t="s">
        <v>54</v>
      </c>
      <c r="D252" t="s">
        <v>39</v>
      </c>
      <c r="E252" t="s">
        <v>33</v>
      </c>
      <c r="F252">
        <v>64</v>
      </c>
      <c r="G252" t="s">
        <v>122</v>
      </c>
      <c r="H252" s="17">
        <v>42972</v>
      </c>
      <c r="I252">
        <v>169509</v>
      </c>
      <c r="J252">
        <v>200021</v>
      </c>
      <c r="K252">
        <v>0.18</v>
      </c>
      <c r="L252" t="s">
        <v>59</v>
      </c>
      <c r="M252" t="s">
        <v>60</v>
      </c>
      <c r="N252" s="17"/>
      <c r="O252">
        <v>0</v>
      </c>
    </row>
    <row r="253" spans="1:15" x14ac:dyDescent="0.3">
      <c r="A253" t="s">
        <v>377</v>
      </c>
      <c r="B253" t="s">
        <v>25</v>
      </c>
      <c r="C253" t="s">
        <v>50</v>
      </c>
      <c r="D253" t="s">
        <v>32</v>
      </c>
      <c r="E253" t="s">
        <v>28</v>
      </c>
      <c r="F253">
        <v>55</v>
      </c>
      <c r="G253" t="s">
        <v>122</v>
      </c>
      <c r="H253" s="17">
        <v>40552</v>
      </c>
      <c r="I253">
        <v>138521</v>
      </c>
      <c r="J253">
        <v>152373</v>
      </c>
      <c r="K253">
        <v>0.1</v>
      </c>
      <c r="L253" t="s">
        <v>29</v>
      </c>
      <c r="M253" t="s">
        <v>49</v>
      </c>
      <c r="N253" s="17"/>
      <c r="O253">
        <v>0</v>
      </c>
    </row>
    <row r="254" spans="1:15" x14ac:dyDescent="0.3">
      <c r="A254" t="s">
        <v>378</v>
      </c>
      <c r="B254" t="s">
        <v>63</v>
      </c>
      <c r="C254" t="s">
        <v>54</v>
      </c>
      <c r="D254" t="s">
        <v>39</v>
      </c>
      <c r="E254" t="s">
        <v>28</v>
      </c>
      <c r="F254">
        <v>45</v>
      </c>
      <c r="G254" t="s">
        <v>125</v>
      </c>
      <c r="H254" s="17">
        <v>41712</v>
      </c>
      <c r="I254">
        <v>113873</v>
      </c>
      <c r="J254">
        <v>126399</v>
      </c>
      <c r="K254">
        <v>0.11</v>
      </c>
      <c r="L254" t="s">
        <v>59</v>
      </c>
      <c r="M254" t="s">
        <v>61</v>
      </c>
      <c r="N254" s="17"/>
      <c r="O254">
        <v>0</v>
      </c>
    </row>
    <row r="255" spans="1:15" x14ac:dyDescent="0.3">
      <c r="A255" t="s">
        <v>379</v>
      </c>
      <c r="B255" t="s">
        <v>67</v>
      </c>
      <c r="C255" t="s">
        <v>26</v>
      </c>
      <c r="D255" t="s">
        <v>46</v>
      </c>
      <c r="E255" t="s">
        <v>28</v>
      </c>
      <c r="F255">
        <v>39</v>
      </c>
      <c r="G255" t="s">
        <v>135</v>
      </c>
      <c r="H255" s="17">
        <v>43229</v>
      </c>
      <c r="I255">
        <v>73317</v>
      </c>
      <c r="J255">
        <v>73317</v>
      </c>
      <c r="K255">
        <v>0</v>
      </c>
      <c r="L255" t="s">
        <v>29</v>
      </c>
      <c r="M255" t="s">
        <v>49</v>
      </c>
      <c r="N255" s="17"/>
      <c r="O255">
        <v>0</v>
      </c>
    </row>
    <row r="256" spans="1:15" x14ac:dyDescent="0.3">
      <c r="A256" t="s">
        <v>380</v>
      </c>
      <c r="B256" t="s">
        <v>86</v>
      </c>
      <c r="C256" t="s">
        <v>26</v>
      </c>
      <c r="D256" t="s">
        <v>39</v>
      </c>
      <c r="E256" t="s">
        <v>28</v>
      </c>
      <c r="F256">
        <v>40</v>
      </c>
      <c r="G256" t="s">
        <v>135</v>
      </c>
      <c r="H256" s="17">
        <v>41451</v>
      </c>
      <c r="I256">
        <v>69096</v>
      </c>
      <c r="J256">
        <v>69096</v>
      </c>
      <c r="K256">
        <v>0</v>
      </c>
      <c r="L256" t="s">
        <v>29</v>
      </c>
      <c r="M256" t="s">
        <v>30</v>
      </c>
      <c r="N256" s="17"/>
      <c r="O256">
        <v>0</v>
      </c>
    </row>
    <row r="257" spans="1:15" x14ac:dyDescent="0.3">
      <c r="A257" t="s">
        <v>381</v>
      </c>
      <c r="B257" t="s">
        <v>69</v>
      </c>
      <c r="C257" t="s">
        <v>52</v>
      </c>
      <c r="D257" t="s">
        <v>32</v>
      </c>
      <c r="E257" t="s">
        <v>33</v>
      </c>
      <c r="F257">
        <v>48</v>
      </c>
      <c r="G257" t="s">
        <v>125</v>
      </c>
      <c r="H257" s="17">
        <v>38454</v>
      </c>
      <c r="I257">
        <v>87158</v>
      </c>
      <c r="J257">
        <v>87158</v>
      </c>
      <c r="K257">
        <v>0</v>
      </c>
      <c r="L257" t="s">
        <v>59</v>
      </c>
      <c r="M257" t="s">
        <v>60</v>
      </c>
      <c r="N257" s="17"/>
      <c r="O257">
        <v>0</v>
      </c>
    </row>
    <row r="258" spans="1:15" x14ac:dyDescent="0.3">
      <c r="A258" t="s">
        <v>382</v>
      </c>
      <c r="B258" t="s">
        <v>77</v>
      </c>
      <c r="C258" t="s">
        <v>54</v>
      </c>
      <c r="D258" t="s">
        <v>46</v>
      </c>
      <c r="E258" t="s">
        <v>33</v>
      </c>
      <c r="F258">
        <v>64</v>
      </c>
      <c r="G258" t="s">
        <v>122</v>
      </c>
      <c r="H258" s="17">
        <v>33875</v>
      </c>
      <c r="I258">
        <v>70778</v>
      </c>
      <c r="J258">
        <v>70778</v>
      </c>
      <c r="K258">
        <v>0</v>
      </c>
      <c r="L258" t="s">
        <v>29</v>
      </c>
      <c r="M258" t="s">
        <v>51</v>
      </c>
      <c r="N258" s="17"/>
      <c r="O258">
        <v>0</v>
      </c>
    </row>
    <row r="259" spans="1:15" x14ac:dyDescent="0.3">
      <c r="A259" t="s">
        <v>383</v>
      </c>
      <c r="B259" t="s">
        <v>37</v>
      </c>
      <c r="C259" t="s">
        <v>52</v>
      </c>
      <c r="D259" t="s">
        <v>39</v>
      </c>
      <c r="E259" t="s">
        <v>28</v>
      </c>
      <c r="F259">
        <v>65</v>
      </c>
      <c r="G259" t="s">
        <v>142</v>
      </c>
      <c r="H259" s="17">
        <v>38130</v>
      </c>
      <c r="I259">
        <v>153938</v>
      </c>
      <c r="J259">
        <v>184726</v>
      </c>
      <c r="K259">
        <v>0.2</v>
      </c>
      <c r="L259" t="s">
        <v>29</v>
      </c>
      <c r="M259" t="s">
        <v>43</v>
      </c>
      <c r="N259" s="17"/>
      <c r="O259">
        <v>0</v>
      </c>
    </row>
    <row r="260" spans="1:15" x14ac:dyDescent="0.3">
      <c r="A260" t="s">
        <v>384</v>
      </c>
      <c r="B260" t="s">
        <v>83</v>
      </c>
      <c r="C260" t="s">
        <v>26</v>
      </c>
      <c r="D260" t="s">
        <v>27</v>
      </c>
      <c r="E260" t="s">
        <v>33</v>
      </c>
      <c r="F260">
        <v>43</v>
      </c>
      <c r="G260" t="s">
        <v>135</v>
      </c>
      <c r="H260" s="17">
        <v>43224</v>
      </c>
      <c r="I260">
        <v>59888</v>
      </c>
      <c r="J260">
        <v>59888</v>
      </c>
      <c r="K260">
        <v>0</v>
      </c>
      <c r="L260" t="s">
        <v>34</v>
      </c>
      <c r="M260" t="s">
        <v>64</v>
      </c>
      <c r="N260" s="17"/>
      <c r="O260">
        <v>0</v>
      </c>
    </row>
    <row r="261" spans="1:15" x14ac:dyDescent="0.3">
      <c r="A261" t="s">
        <v>385</v>
      </c>
      <c r="B261" t="s">
        <v>77</v>
      </c>
      <c r="C261" t="s">
        <v>54</v>
      </c>
      <c r="D261" t="s">
        <v>46</v>
      </c>
      <c r="E261" t="s">
        <v>33</v>
      </c>
      <c r="F261">
        <v>50</v>
      </c>
      <c r="G261" t="s">
        <v>125</v>
      </c>
      <c r="H261" s="17">
        <v>43447</v>
      </c>
      <c r="I261">
        <v>63098</v>
      </c>
      <c r="J261">
        <v>63098</v>
      </c>
      <c r="K261">
        <v>0</v>
      </c>
      <c r="L261" t="s">
        <v>29</v>
      </c>
      <c r="M261" t="s">
        <v>58</v>
      </c>
      <c r="N261" s="17"/>
      <c r="O261">
        <v>0</v>
      </c>
    </row>
    <row r="262" spans="1:15" x14ac:dyDescent="0.3">
      <c r="A262" t="s">
        <v>386</v>
      </c>
      <c r="B262" t="s">
        <v>56</v>
      </c>
      <c r="C262" t="s">
        <v>38</v>
      </c>
      <c r="D262" t="s">
        <v>46</v>
      </c>
      <c r="E262" t="s">
        <v>28</v>
      </c>
      <c r="F262">
        <v>27</v>
      </c>
      <c r="G262" t="s">
        <v>127</v>
      </c>
      <c r="H262" s="17">
        <v>44545</v>
      </c>
      <c r="I262">
        <v>255369</v>
      </c>
      <c r="J262">
        <v>339641</v>
      </c>
      <c r="K262">
        <v>0.33</v>
      </c>
      <c r="L262" t="s">
        <v>59</v>
      </c>
      <c r="M262" t="s">
        <v>76</v>
      </c>
      <c r="N262" s="17"/>
      <c r="O262">
        <v>0</v>
      </c>
    </row>
    <row r="263" spans="1:15" x14ac:dyDescent="0.3">
      <c r="A263" t="s">
        <v>387</v>
      </c>
      <c r="B263" t="s">
        <v>25</v>
      </c>
      <c r="C263" t="s">
        <v>52</v>
      </c>
      <c r="D263" t="s">
        <v>32</v>
      </c>
      <c r="E263" t="s">
        <v>28</v>
      </c>
      <c r="F263">
        <v>55</v>
      </c>
      <c r="G263" t="s">
        <v>122</v>
      </c>
      <c r="H263" s="17">
        <v>38301</v>
      </c>
      <c r="I263">
        <v>142318</v>
      </c>
      <c r="J263">
        <v>162243</v>
      </c>
      <c r="K263">
        <v>0.14000000000000001</v>
      </c>
      <c r="L263" t="s">
        <v>29</v>
      </c>
      <c r="M263" t="s">
        <v>40</v>
      </c>
      <c r="N263" s="17"/>
      <c r="O263">
        <v>0</v>
      </c>
    </row>
    <row r="264" spans="1:15" x14ac:dyDescent="0.3">
      <c r="A264" t="s">
        <v>388</v>
      </c>
      <c r="B264" t="s">
        <v>74</v>
      </c>
      <c r="C264" t="s">
        <v>52</v>
      </c>
      <c r="D264" t="s">
        <v>32</v>
      </c>
      <c r="E264" t="s">
        <v>33</v>
      </c>
      <c r="F264">
        <v>41</v>
      </c>
      <c r="G264" t="s">
        <v>135</v>
      </c>
      <c r="H264" s="17">
        <v>38219</v>
      </c>
      <c r="I264">
        <v>49186</v>
      </c>
      <c r="J264">
        <v>49186</v>
      </c>
      <c r="K264">
        <v>0</v>
      </c>
      <c r="L264" t="s">
        <v>29</v>
      </c>
      <c r="M264" t="s">
        <v>51</v>
      </c>
      <c r="N264" s="17">
        <v>39616</v>
      </c>
      <c r="O264">
        <v>1</v>
      </c>
    </row>
    <row r="265" spans="1:15" x14ac:dyDescent="0.3">
      <c r="A265" t="s">
        <v>389</v>
      </c>
      <c r="B265" t="s">
        <v>56</v>
      </c>
      <c r="C265" t="s">
        <v>52</v>
      </c>
      <c r="D265" t="s">
        <v>27</v>
      </c>
      <c r="E265" t="s">
        <v>28</v>
      </c>
      <c r="F265">
        <v>34</v>
      </c>
      <c r="G265" t="s">
        <v>127</v>
      </c>
      <c r="H265" s="17">
        <v>43673</v>
      </c>
      <c r="I265">
        <v>220937</v>
      </c>
      <c r="J265">
        <v>304893</v>
      </c>
      <c r="K265">
        <v>0.38</v>
      </c>
      <c r="L265" t="s">
        <v>29</v>
      </c>
      <c r="M265" t="s">
        <v>51</v>
      </c>
      <c r="N265" s="17"/>
      <c r="O265">
        <v>0</v>
      </c>
    </row>
    <row r="266" spans="1:15" x14ac:dyDescent="0.3">
      <c r="A266" t="s">
        <v>390</v>
      </c>
      <c r="B266" t="s">
        <v>37</v>
      </c>
      <c r="C266" t="s">
        <v>26</v>
      </c>
      <c r="D266" t="s">
        <v>39</v>
      </c>
      <c r="E266" t="s">
        <v>28</v>
      </c>
      <c r="F266">
        <v>47</v>
      </c>
      <c r="G266" t="s">
        <v>125</v>
      </c>
      <c r="H266" s="17">
        <v>41208</v>
      </c>
      <c r="I266">
        <v>183156</v>
      </c>
      <c r="J266">
        <v>238103</v>
      </c>
      <c r="K266">
        <v>0.3</v>
      </c>
      <c r="L266" t="s">
        <v>29</v>
      </c>
      <c r="M266" t="s">
        <v>30</v>
      </c>
      <c r="N266" s="17"/>
      <c r="O266">
        <v>0</v>
      </c>
    </row>
    <row r="267" spans="1:15" x14ac:dyDescent="0.3">
      <c r="A267" t="s">
        <v>391</v>
      </c>
      <c r="B267" t="s">
        <v>56</v>
      </c>
      <c r="C267" t="s">
        <v>26</v>
      </c>
      <c r="D267" t="s">
        <v>39</v>
      </c>
      <c r="E267" t="s">
        <v>28</v>
      </c>
      <c r="F267">
        <v>32</v>
      </c>
      <c r="G267" t="s">
        <v>127</v>
      </c>
      <c r="H267" s="17">
        <v>44034</v>
      </c>
      <c r="I267">
        <v>192749</v>
      </c>
      <c r="J267">
        <v>252501</v>
      </c>
      <c r="K267">
        <v>0.31</v>
      </c>
      <c r="L267" t="s">
        <v>29</v>
      </c>
      <c r="M267" t="s">
        <v>40</v>
      </c>
      <c r="N267" s="17"/>
      <c r="O267">
        <v>0</v>
      </c>
    </row>
    <row r="268" spans="1:15" x14ac:dyDescent="0.3">
      <c r="A268" t="s">
        <v>392</v>
      </c>
      <c r="B268" t="s">
        <v>25</v>
      </c>
      <c r="C268" t="s">
        <v>26</v>
      </c>
      <c r="D268" t="s">
        <v>32</v>
      </c>
      <c r="E268" t="s">
        <v>28</v>
      </c>
      <c r="F268">
        <v>39</v>
      </c>
      <c r="G268" t="s">
        <v>135</v>
      </c>
      <c r="H268" s="17">
        <v>42819</v>
      </c>
      <c r="I268">
        <v>135325</v>
      </c>
      <c r="J268">
        <v>154270</v>
      </c>
      <c r="K268">
        <v>0.14000000000000001</v>
      </c>
      <c r="L268" t="s">
        <v>29</v>
      </c>
      <c r="M268" t="s">
        <v>43</v>
      </c>
      <c r="N268" s="17"/>
      <c r="O268">
        <v>0</v>
      </c>
    </row>
    <row r="269" spans="1:15" x14ac:dyDescent="0.3">
      <c r="A269" t="s">
        <v>393</v>
      </c>
      <c r="B269" t="s">
        <v>42</v>
      </c>
      <c r="C269" t="s">
        <v>45</v>
      </c>
      <c r="D269" t="s">
        <v>39</v>
      </c>
      <c r="E269" t="s">
        <v>28</v>
      </c>
      <c r="F269">
        <v>26</v>
      </c>
      <c r="G269" t="s">
        <v>127</v>
      </c>
      <c r="H269" s="17">
        <v>43752</v>
      </c>
      <c r="I269">
        <v>79356</v>
      </c>
      <c r="J269">
        <v>79356</v>
      </c>
      <c r="K269">
        <v>0</v>
      </c>
      <c r="L269" t="s">
        <v>29</v>
      </c>
      <c r="M269" t="s">
        <v>43</v>
      </c>
      <c r="N269" s="17"/>
      <c r="O269">
        <v>0</v>
      </c>
    </row>
    <row r="270" spans="1:15" x14ac:dyDescent="0.3">
      <c r="A270" t="s">
        <v>394</v>
      </c>
      <c r="B270" t="s">
        <v>80</v>
      </c>
      <c r="C270" t="s">
        <v>54</v>
      </c>
      <c r="D270" t="s">
        <v>32</v>
      </c>
      <c r="E270" t="s">
        <v>33</v>
      </c>
      <c r="F270">
        <v>40</v>
      </c>
      <c r="G270" t="s">
        <v>135</v>
      </c>
      <c r="H270" s="17">
        <v>38540</v>
      </c>
      <c r="I270">
        <v>74412</v>
      </c>
      <c r="J270">
        <v>74412</v>
      </c>
      <c r="K270">
        <v>0</v>
      </c>
      <c r="L270" t="s">
        <v>29</v>
      </c>
      <c r="M270" t="s">
        <v>30</v>
      </c>
      <c r="N270" s="17"/>
      <c r="O270">
        <v>0</v>
      </c>
    </row>
    <row r="271" spans="1:15" x14ac:dyDescent="0.3">
      <c r="A271" t="s">
        <v>395</v>
      </c>
      <c r="B271" t="s">
        <v>41</v>
      </c>
      <c r="C271" t="s">
        <v>26</v>
      </c>
      <c r="D271" t="s">
        <v>32</v>
      </c>
      <c r="E271" t="s">
        <v>28</v>
      </c>
      <c r="F271">
        <v>32</v>
      </c>
      <c r="G271" t="s">
        <v>127</v>
      </c>
      <c r="H271" s="17">
        <v>43010</v>
      </c>
      <c r="I271">
        <v>61886</v>
      </c>
      <c r="J271">
        <v>67456</v>
      </c>
      <c r="K271">
        <v>0.09</v>
      </c>
      <c r="L271" t="s">
        <v>59</v>
      </c>
      <c r="M271" t="s">
        <v>61</v>
      </c>
      <c r="N271" s="17"/>
      <c r="O271">
        <v>0</v>
      </c>
    </row>
    <row r="272" spans="1:15" x14ac:dyDescent="0.3">
      <c r="A272" t="s">
        <v>396</v>
      </c>
      <c r="B272" t="s">
        <v>37</v>
      </c>
      <c r="C272" t="s">
        <v>50</v>
      </c>
      <c r="D272" t="s">
        <v>27</v>
      </c>
      <c r="E272" t="s">
        <v>28</v>
      </c>
      <c r="F272">
        <v>58</v>
      </c>
      <c r="G272" t="s">
        <v>122</v>
      </c>
      <c r="H272" s="17">
        <v>37755</v>
      </c>
      <c r="I272">
        <v>173071</v>
      </c>
      <c r="J272">
        <v>223262</v>
      </c>
      <c r="K272">
        <v>0.28999999999999998</v>
      </c>
      <c r="L272" t="s">
        <v>29</v>
      </c>
      <c r="M272" t="s">
        <v>58</v>
      </c>
      <c r="N272" s="17"/>
      <c r="O272">
        <v>0</v>
      </c>
    </row>
    <row r="273" spans="1:15" x14ac:dyDescent="0.3">
      <c r="A273" t="s">
        <v>397</v>
      </c>
      <c r="B273" t="s">
        <v>71</v>
      </c>
      <c r="C273" t="s">
        <v>54</v>
      </c>
      <c r="D273" t="s">
        <v>27</v>
      </c>
      <c r="E273" t="s">
        <v>28</v>
      </c>
      <c r="F273">
        <v>58</v>
      </c>
      <c r="G273" t="s">
        <v>122</v>
      </c>
      <c r="H273" s="17">
        <v>34999</v>
      </c>
      <c r="I273">
        <v>70189</v>
      </c>
      <c r="J273">
        <v>70189</v>
      </c>
      <c r="K273">
        <v>0</v>
      </c>
      <c r="L273" t="s">
        <v>29</v>
      </c>
      <c r="M273" t="s">
        <v>58</v>
      </c>
      <c r="N273" s="17"/>
      <c r="O273">
        <v>0</v>
      </c>
    </row>
    <row r="274" spans="1:15" x14ac:dyDescent="0.3">
      <c r="A274" t="s">
        <v>398</v>
      </c>
      <c r="B274" t="s">
        <v>56</v>
      </c>
      <c r="C274" t="s">
        <v>45</v>
      </c>
      <c r="D274" t="s">
        <v>27</v>
      </c>
      <c r="E274" t="s">
        <v>28</v>
      </c>
      <c r="F274">
        <v>42</v>
      </c>
      <c r="G274" t="s">
        <v>135</v>
      </c>
      <c r="H274" s="17">
        <v>41528</v>
      </c>
      <c r="I274">
        <v>181452</v>
      </c>
      <c r="J274">
        <v>235888</v>
      </c>
      <c r="K274">
        <v>0.3</v>
      </c>
      <c r="L274" t="s">
        <v>29</v>
      </c>
      <c r="M274" t="s">
        <v>58</v>
      </c>
      <c r="N274" s="17"/>
      <c r="O274">
        <v>0</v>
      </c>
    </row>
    <row r="275" spans="1:15" x14ac:dyDescent="0.3">
      <c r="A275" t="s">
        <v>399</v>
      </c>
      <c r="B275" t="s">
        <v>70</v>
      </c>
      <c r="C275" t="s">
        <v>52</v>
      </c>
      <c r="D275" t="s">
        <v>39</v>
      </c>
      <c r="E275" t="s">
        <v>33</v>
      </c>
      <c r="F275">
        <v>26</v>
      </c>
      <c r="G275" t="s">
        <v>127</v>
      </c>
      <c r="H275" s="17">
        <v>44267</v>
      </c>
      <c r="I275">
        <v>70369</v>
      </c>
      <c r="J275">
        <v>70369</v>
      </c>
      <c r="K275">
        <v>0</v>
      </c>
      <c r="L275" t="s">
        <v>29</v>
      </c>
      <c r="M275" t="s">
        <v>30</v>
      </c>
      <c r="N275" s="17"/>
      <c r="O275">
        <v>0</v>
      </c>
    </row>
    <row r="276" spans="1:15" x14ac:dyDescent="0.3">
      <c r="A276" t="s">
        <v>400</v>
      </c>
      <c r="B276" t="s">
        <v>42</v>
      </c>
      <c r="C276" t="s">
        <v>50</v>
      </c>
      <c r="D276" t="s">
        <v>32</v>
      </c>
      <c r="E276" t="s">
        <v>33</v>
      </c>
      <c r="F276">
        <v>38</v>
      </c>
      <c r="G276" t="s">
        <v>135</v>
      </c>
      <c r="H276" s="17">
        <v>39634</v>
      </c>
      <c r="I276">
        <v>78056</v>
      </c>
      <c r="J276">
        <v>78056</v>
      </c>
      <c r="K276">
        <v>0</v>
      </c>
      <c r="L276" t="s">
        <v>59</v>
      </c>
      <c r="M276" t="s">
        <v>76</v>
      </c>
      <c r="N276" s="17"/>
      <c r="O276">
        <v>0</v>
      </c>
    </row>
    <row r="277" spans="1:15" x14ac:dyDescent="0.3">
      <c r="A277" t="s">
        <v>401</v>
      </c>
      <c r="B277" t="s">
        <v>37</v>
      </c>
      <c r="C277" t="s">
        <v>38</v>
      </c>
      <c r="D277" t="s">
        <v>27</v>
      </c>
      <c r="E277" t="s">
        <v>33</v>
      </c>
      <c r="F277">
        <v>64</v>
      </c>
      <c r="G277" t="s">
        <v>122</v>
      </c>
      <c r="H277" s="17">
        <v>35187</v>
      </c>
      <c r="I277">
        <v>189933</v>
      </c>
      <c r="J277">
        <v>233618</v>
      </c>
      <c r="K277">
        <v>0.23</v>
      </c>
      <c r="L277" t="s">
        <v>29</v>
      </c>
      <c r="M277" t="s">
        <v>49</v>
      </c>
      <c r="N277" s="17"/>
      <c r="O277">
        <v>0</v>
      </c>
    </row>
    <row r="278" spans="1:15" x14ac:dyDescent="0.3">
      <c r="A278" t="s">
        <v>402</v>
      </c>
      <c r="B278" t="s">
        <v>72</v>
      </c>
      <c r="C278" t="s">
        <v>54</v>
      </c>
      <c r="D278" t="s">
        <v>39</v>
      </c>
      <c r="E278" t="s">
        <v>33</v>
      </c>
      <c r="F278">
        <v>38</v>
      </c>
      <c r="G278" t="s">
        <v>135</v>
      </c>
      <c r="H278" s="17">
        <v>40360</v>
      </c>
      <c r="I278">
        <v>78237</v>
      </c>
      <c r="J278">
        <v>78237</v>
      </c>
      <c r="K278">
        <v>0</v>
      </c>
      <c r="L278" t="s">
        <v>29</v>
      </c>
      <c r="M278" t="s">
        <v>43</v>
      </c>
      <c r="N278" s="17"/>
      <c r="O278">
        <v>0</v>
      </c>
    </row>
    <row r="279" spans="1:15" x14ac:dyDescent="0.3">
      <c r="A279" t="s">
        <v>403</v>
      </c>
      <c r="B279" t="s">
        <v>48</v>
      </c>
      <c r="C279" t="s">
        <v>50</v>
      </c>
      <c r="D279" t="s">
        <v>27</v>
      </c>
      <c r="E279" t="s">
        <v>28</v>
      </c>
      <c r="F279">
        <v>55</v>
      </c>
      <c r="G279" t="s">
        <v>122</v>
      </c>
      <c r="H279" s="17">
        <v>35242</v>
      </c>
      <c r="I279">
        <v>48687</v>
      </c>
      <c r="J279">
        <v>48687</v>
      </c>
      <c r="K279">
        <v>0</v>
      </c>
      <c r="L279" t="s">
        <v>59</v>
      </c>
      <c r="M279" t="s">
        <v>61</v>
      </c>
      <c r="N279" s="17"/>
      <c r="O279">
        <v>0</v>
      </c>
    </row>
    <row r="280" spans="1:15" x14ac:dyDescent="0.3">
      <c r="A280" t="s">
        <v>404</v>
      </c>
      <c r="B280" t="s">
        <v>25</v>
      </c>
      <c r="C280" t="s">
        <v>57</v>
      </c>
      <c r="D280" t="s">
        <v>32</v>
      </c>
      <c r="E280" t="s">
        <v>28</v>
      </c>
      <c r="F280">
        <v>45</v>
      </c>
      <c r="G280" t="s">
        <v>125</v>
      </c>
      <c r="H280" s="17">
        <v>38218</v>
      </c>
      <c r="I280">
        <v>121065</v>
      </c>
      <c r="J280">
        <v>139225</v>
      </c>
      <c r="K280">
        <v>0.15</v>
      </c>
      <c r="L280" t="s">
        <v>59</v>
      </c>
      <c r="M280" t="s">
        <v>61</v>
      </c>
      <c r="N280" s="17"/>
      <c r="O280">
        <v>0</v>
      </c>
    </row>
    <row r="281" spans="1:15" x14ac:dyDescent="0.3">
      <c r="A281" t="s">
        <v>405</v>
      </c>
      <c r="B281" t="s">
        <v>42</v>
      </c>
      <c r="C281" t="s">
        <v>45</v>
      </c>
      <c r="D281" t="s">
        <v>46</v>
      </c>
      <c r="E281" t="s">
        <v>33</v>
      </c>
      <c r="F281">
        <v>43</v>
      </c>
      <c r="G281" t="s">
        <v>135</v>
      </c>
      <c r="H281" s="17">
        <v>38093</v>
      </c>
      <c r="I281">
        <v>94246</v>
      </c>
      <c r="J281">
        <v>94246</v>
      </c>
      <c r="K281">
        <v>0</v>
      </c>
      <c r="L281" t="s">
        <v>29</v>
      </c>
      <c r="M281" t="s">
        <v>51</v>
      </c>
      <c r="N281" s="17"/>
      <c r="O281">
        <v>0</v>
      </c>
    </row>
    <row r="282" spans="1:15" x14ac:dyDescent="0.3">
      <c r="A282" t="s">
        <v>406</v>
      </c>
      <c r="B282" t="s">
        <v>83</v>
      </c>
      <c r="C282" t="s">
        <v>26</v>
      </c>
      <c r="D282" t="s">
        <v>32</v>
      </c>
      <c r="E282" t="s">
        <v>28</v>
      </c>
      <c r="F282">
        <v>34</v>
      </c>
      <c r="G282" t="s">
        <v>127</v>
      </c>
      <c r="H282" s="17">
        <v>42512</v>
      </c>
      <c r="I282">
        <v>44614</v>
      </c>
      <c r="J282">
        <v>44614</v>
      </c>
      <c r="K282">
        <v>0</v>
      </c>
      <c r="L282" t="s">
        <v>29</v>
      </c>
      <c r="M282" t="s">
        <v>49</v>
      </c>
      <c r="N282" s="17"/>
      <c r="O282">
        <v>0</v>
      </c>
    </row>
    <row r="283" spans="1:15" x14ac:dyDescent="0.3">
      <c r="A283" t="s">
        <v>407</v>
      </c>
      <c r="B283" t="s">
        <v>56</v>
      </c>
      <c r="C283" t="s">
        <v>26</v>
      </c>
      <c r="D283" t="s">
        <v>27</v>
      </c>
      <c r="E283" t="s">
        <v>33</v>
      </c>
      <c r="F283">
        <v>40</v>
      </c>
      <c r="G283" t="s">
        <v>135</v>
      </c>
      <c r="H283" s="17">
        <v>44143</v>
      </c>
      <c r="I283">
        <v>234469</v>
      </c>
      <c r="J283">
        <v>307154</v>
      </c>
      <c r="K283">
        <v>0.31</v>
      </c>
      <c r="L283" t="s">
        <v>34</v>
      </c>
      <c r="M283" t="s">
        <v>68</v>
      </c>
      <c r="N283" s="17"/>
      <c r="O283">
        <v>0</v>
      </c>
    </row>
    <row r="284" spans="1:15" x14ac:dyDescent="0.3">
      <c r="A284" t="s">
        <v>408</v>
      </c>
      <c r="B284" t="s">
        <v>72</v>
      </c>
      <c r="C284" t="s">
        <v>54</v>
      </c>
      <c r="D284" t="s">
        <v>27</v>
      </c>
      <c r="E284" t="s">
        <v>33</v>
      </c>
      <c r="F284">
        <v>52</v>
      </c>
      <c r="G284" t="s">
        <v>125</v>
      </c>
      <c r="H284" s="17">
        <v>44022</v>
      </c>
      <c r="I284">
        <v>88272</v>
      </c>
      <c r="J284">
        <v>88272</v>
      </c>
      <c r="K284">
        <v>0</v>
      </c>
      <c r="L284" t="s">
        <v>59</v>
      </c>
      <c r="M284" t="s">
        <v>76</v>
      </c>
      <c r="N284" s="17"/>
      <c r="O284">
        <v>0</v>
      </c>
    </row>
    <row r="285" spans="1:15" x14ac:dyDescent="0.3">
      <c r="A285" t="s">
        <v>409</v>
      </c>
      <c r="B285" t="s">
        <v>66</v>
      </c>
      <c r="C285" t="s">
        <v>38</v>
      </c>
      <c r="D285" t="s">
        <v>46</v>
      </c>
      <c r="E285" t="s">
        <v>33</v>
      </c>
      <c r="F285">
        <v>52</v>
      </c>
      <c r="G285" t="s">
        <v>125</v>
      </c>
      <c r="H285" s="17">
        <v>42992</v>
      </c>
      <c r="I285">
        <v>74449</v>
      </c>
      <c r="J285">
        <v>74449</v>
      </c>
      <c r="K285">
        <v>0</v>
      </c>
      <c r="L285" t="s">
        <v>34</v>
      </c>
      <c r="M285" t="s">
        <v>64</v>
      </c>
      <c r="N285" s="17"/>
      <c r="O285">
        <v>0</v>
      </c>
    </row>
    <row r="286" spans="1:15" x14ac:dyDescent="0.3">
      <c r="A286" t="s">
        <v>410</v>
      </c>
      <c r="B286" t="s">
        <v>56</v>
      </c>
      <c r="C286" t="s">
        <v>54</v>
      </c>
      <c r="D286" t="s">
        <v>39</v>
      </c>
      <c r="E286" t="s">
        <v>33</v>
      </c>
      <c r="F286">
        <v>47</v>
      </c>
      <c r="G286" t="s">
        <v>125</v>
      </c>
      <c r="H286" s="17">
        <v>41071</v>
      </c>
      <c r="I286">
        <v>222941</v>
      </c>
      <c r="J286">
        <v>309888</v>
      </c>
      <c r="K286">
        <v>0.39</v>
      </c>
      <c r="L286" t="s">
        <v>34</v>
      </c>
      <c r="M286" t="s">
        <v>64</v>
      </c>
      <c r="N286" s="17"/>
      <c r="O286">
        <v>0</v>
      </c>
    </row>
    <row r="287" spans="1:15" x14ac:dyDescent="0.3">
      <c r="A287" t="s">
        <v>411</v>
      </c>
      <c r="B287" t="s">
        <v>48</v>
      </c>
      <c r="C287" t="s">
        <v>57</v>
      </c>
      <c r="D287" t="s">
        <v>32</v>
      </c>
      <c r="E287" t="s">
        <v>28</v>
      </c>
      <c r="F287">
        <v>65</v>
      </c>
      <c r="G287" t="s">
        <v>142</v>
      </c>
      <c r="H287" s="17">
        <v>41543</v>
      </c>
      <c r="I287">
        <v>50341</v>
      </c>
      <c r="J287">
        <v>50341</v>
      </c>
      <c r="K287">
        <v>0</v>
      </c>
      <c r="L287" t="s">
        <v>34</v>
      </c>
      <c r="M287" t="s">
        <v>64</v>
      </c>
      <c r="N287" s="17"/>
      <c r="O287">
        <v>0</v>
      </c>
    </row>
    <row r="288" spans="1:15" x14ac:dyDescent="0.3">
      <c r="A288" t="s">
        <v>412</v>
      </c>
      <c r="B288" t="s">
        <v>70</v>
      </c>
      <c r="C288" t="s">
        <v>52</v>
      </c>
      <c r="D288" t="s">
        <v>46</v>
      </c>
      <c r="E288" t="s">
        <v>28</v>
      </c>
      <c r="F288">
        <v>31</v>
      </c>
      <c r="G288" t="s">
        <v>127</v>
      </c>
      <c r="H288" s="17">
        <v>44297</v>
      </c>
      <c r="I288">
        <v>72235</v>
      </c>
      <c r="J288">
        <v>72235</v>
      </c>
      <c r="K288">
        <v>0</v>
      </c>
      <c r="L288" t="s">
        <v>59</v>
      </c>
      <c r="M288" t="s">
        <v>60</v>
      </c>
      <c r="N288" s="17"/>
      <c r="O288">
        <v>0</v>
      </c>
    </row>
    <row r="289" spans="1:15" x14ac:dyDescent="0.3">
      <c r="A289" t="s">
        <v>413</v>
      </c>
      <c r="B289" t="s">
        <v>42</v>
      </c>
      <c r="C289" t="s">
        <v>50</v>
      </c>
      <c r="D289" t="s">
        <v>46</v>
      </c>
      <c r="E289" t="s">
        <v>28</v>
      </c>
      <c r="F289">
        <v>41</v>
      </c>
      <c r="G289" t="s">
        <v>135</v>
      </c>
      <c r="H289" s="17">
        <v>42533</v>
      </c>
      <c r="I289">
        <v>70165</v>
      </c>
      <c r="J289">
        <v>70165</v>
      </c>
      <c r="K289">
        <v>0</v>
      </c>
      <c r="L289" t="s">
        <v>29</v>
      </c>
      <c r="M289" t="s">
        <v>58</v>
      </c>
      <c r="N289" s="17"/>
      <c r="O289">
        <v>0</v>
      </c>
    </row>
    <row r="290" spans="1:15" x14ac:dyDescent="0.3">
      <c r="A290" t="s">
        <v>414</v>
      </c>
      <c r="B290" t="s">
        <v>25</v>
      </c>
      <c r="C290" t="s">
        <v>57</v>
      </c>
      <c r="D290" t="s">
        <v>39</v>
      </c>
      <c r="E290" t="s">
        <v>33</v>
      </c>
      <c r="F290">
        <v>30</v>
      </c>
      <c r="G290" t="s">
        <v>127</v>
      </c>
      <c r="H290" s="17">
        <v>44030</v>
      </c>
      <c r="I290">
        <v>148485</v>
      </c>
      <c r="J290">
        <v>170758</v>
      </c>
      <c r="K290">
        <v>0.15</v>
      </c>
      <c r="L290" t="s">
        <v>29</v>
      </c>
      <c r="M290" t="s">
        <v>49</v>
      </c>
      <c r="N290" s="17"/>
      <c r="O290">
        <v>0</v>
      </c>
    </row>
    <row r="291" spans="1:15" x14ac:dyDescent="0.3">
      <c r="A291" t="s">
        <v>415</v>
      </c>
      <c r="B291" t="s">
        <v>31</v>
      </c>
      <c r="C291" t="s">
        <v>26</v>
      </c>
      <c r="D291" t="s">
        <v>32</v>
      </c>
      <c r="E291" t="s">
        <v>28</v>
      </c>
      <c r="F291">
        <v>58</v>
      </c>
      <c r="G291" t="s">
        <v>122</v>
      </c>
      <c r="H291" s="17">
        <v>38521</v>
      </c>
      <c r="I291">
        <v>86089</v>
      </c>
      <c r="J291">
        <v>86089</v>
      </c>
      <c r="K291">
        <v>0</v>
      </c>
      <c r="L291" t="s">
        <v>29</v>
      </c>
      <c r="M291" t="s">
        <v>40</v>
      </c>
      <c r="N291" s="17"/>
      <c r="O291">
        <v>0</v>
      </c>
    </row>
    <row r="292" spans="1:15" x14ac:dyDescent="0.3">
      <c r="A292" t="s">
        <v>416</v>
      </c>
      <c r="B292" t="s">
        <v>63</v>
      </c>
      <c r="C292" t="s">
        <v>54</v>
      </c>
      <c r="D292" t="s">
        <v>27</v>
      </c>
      <c r="E292" t="s">
        <v>33</v>
      </c>
      <c r="F292">
        <v>54</v>
      </c>
      <c r="G292" t="s">
        <v>125</v>
      </c>
      <c r="H292" s="17">
        <v>39382</v>
      </c>
      <c r="I292">
        <v>106313</v>
      </c>
      <c r="J292">
        <v>122260</v>
      </c>
      <c r="K292">
        <v>0.15</v>
      </c>
      <c r="L292" t="s">
        <v>29</v>
      </c>
      <c r="M292" t="s">
        <v>40</v>
      </c>
      <c r="N292" s="17"/>
      <c r="O292">
        <v>0</v>
      </c>
    </row>
    <row r="293" spans="1:15" x14ac:dyDescent="0.3">
      <c r="A293" t="s">
        <v>417</v>
      </c>
      <c r="B293" t="s">
        <v>48</v>
      </c>
      <c r="C293" t="s">
        <v>57</v>
      </c>
      <c r="D293" t="s">
        <v>27</v>
      </c>
      <c r="E293" t="s">
        <v>28</v>
      </c>
      <c r="F293">
        <v>40</v>
      </c>
      <c r="G293" t="s">
        <v>135</v>
      </c>
      <c r="H293" s="17">
        <v>44251</v>
      </c>
      <c r="I293">
        <v>46833</v>
      </c>
      <c r="J293">
        <v>46833</v>
      </c>
      <c r="K293">
        <v>0</v>
      </c>
      <c r="L293" t="s">
        <v>34</v>
      </c>
      <c r="M293" t="s">
        <v>68</v>
      </c>
      <c r="N293" s="17">
        <v>44510</v>
      </c>
      <c r="O293">
        <v>1</v>
      </c>
    </row>
    <row r="294" spans="1:15" x14ac:dyDescent="0.3">
      <c r="A294" t="s">
        <v>418</v>
      </c>
      <c r="B294" t="s">
        <v>37</v>
      </c>
      <c r="C294" t="s">
        <v>38</v>
      </c>
      <c r="D294" t="s">
        <v>27</v>
      </c>
      <c r="E294" t="s">
        <v>28</v>
      </c>
      <c r="F294">
        <v>63</v>
      </c>
      <c r="G294" t="s">
        <v>122</v>
      </c>
      <c r="H294" s="17">
        <v>36826</v>
      </c>
      <c r="I294">
        <v>155320</v>
      </c>
      <c r="J294">
        <v>181724</v>
      </c>
      <c r="K294">
        <v>0.17</v>
      </c>
      <c r="L294" t="s">
        <v>34</v>
      </c>
      <c r="M294" t="s">
        <v>35</v>
      </c>
      <c r="N294" s="17"/>
      <c r="O294">
        <v>0</v>
      </c>
    </row>
    <row r="295" spans="1:15" x14ac:dyDescent="0.3">
      <c r="A295" t="s">
        <v>419</v>
      </c>
      <c r="B295" t="s">
        <v>42</v>
      </c>
      <c r="C295" t="s">
        <v>50</v>
      </c>
      <c r="D295" t="s">
        <v>32</v>
      </c>
      <c r="E295" t="s">
        <v>33</v>
      </c>
      <c r="F295">
        <v>40</v>
      </c>
      <c r="G295" t="s">
        <v>135</v>
      </c>
      <c r="H295" s="17">
        <v>42384</v>
      </c>
      <c r="I295">
        <v>89984</v>
      </c>
      <c r="J295">
        <v>89984</v>
      </c>
      <c r="K295">
        <v>0</v>
      </c>
      <c r="L295" t="s">
        <v>34</v>
      </c>
      <c r="M295" t="s">
        <v>68</v>
      </c>
      <c r="N295" s="17"/>
      <c r="O295">
        <v>0</v>
      </c>
    </row>
    <row r="296" spans="1:15" x14ac:dyDescent="0.3">
      <c r="A296" t="s">
        <v>420</v>
      </c>
      <c r="B296" t="s">
        <v>63</v>
      </c>
      <c r="C296" t="s">
        <v>54</v>
      </c>
      <c r="D296" t="s">
        <v>39</v>
      </c>
      <c r="E296" t="s">
        <v>28</v>
      </c>
      <c r="F296">
        <v>65</v>
      </c>
      <c r="G296" t="s">
        <v>142</v>
      </c>
      <c r="H296" s="17">
        <v>38792</v>
      </c>
      <c r="I296">
        <v>83756</v>
      </c>
      <c r="J296">
        <v>95482</v>
      </c>
      <c r="K296">
        <v>0.14000000000000001</v>
      </c>
      <c r="L296" t="s">
        <v>34</v>
      </c>
      <c r="M296" t="s">
        <v>55</v>
      </c>
      <c r="N296" s="17"/>
      <c r="O296">
        <v>0</v>
      </c>
    </row>
    <row r="297" spans="1:15" x14ac:dyDescent="0.3">
      <c r="A297" t="s">
        <v>421</v>
      </c>
      <c r="B297" t="s">
        <v>37</v>
      </c>
      <c r="C297" t="s">
        <v>52</v>
      </c>
      <c r="D297" t="s">
        <v>46</v>
      </c>
      <c r="E297" t="s">
        <v>28</v>
      </c>
      <c r="F297">
        <v>57</v>
      </c>
      <c r="G297" t="s">
        <v>122</v>
      </c>
      <c r="H297" s="17">
        <v>42667</v>
      </c>
      <c r="I297">
        <v>176324</v>
      </c>
      <c r="J297">
        <v>216879</v>
      </c>
      <c r="K297">
        <v>0.23</v>
      </c>
      <c r="L297" t="s">
        <v>34</v>
      </c>
      <c r="M297" t="s">
        <v>55</v>
      </c>
      <c r="N297" s="17"/>
      <c r="O297">
        <v>0</v>
      </c>
    </row>
    <row r="298" spans="1:15" x14ac:dyDescent="0.3">
      <c r="A298" t="s">
        <v>422</v>
      </c>
      <c r="B298" t="s">
        <v>42</v>
      </c>
      <c r="C298" t="s">
        <v>50</v>
      </c>
      <c r="D298" t="s">
        <v>39</v>
      </c>
      <c r="E298" t="s">
        <v>33</v>
      </c>
      <c r="F298">
        <v>27</v>
      </c>
      <c r="G298" t="s">
        <v>127</v>
      </c>
      <c r="H298" s="17">
        <v>44482</v>
      </c>
      <c r="I298">
        <v>74077</v>
      </c>
      <c r="J298">
        <v>74077</v>
      </c>
      <c r="K298">
        <v>0</v>
      </c>
      <c r="L298" t="s">
        <v>29</v>
      </c>
      <c r="M298" t="s">
        <v>30</v>
      </c>
      <c r="N298" s="17"/>
      <c r="O298">
        <v>0</v>
      </c>
    </row>
    <row r="299" spans="1:15" x14ac:dyDescent="0.3">
      <c r="A299" t="s">
        <v>423</v>
      </c>
      <c r="B299" t="s">
        <v>47</v>
      </c>
      <c r="C299" t="s">
        <v>52</v>
      </c>
      <c r="D299" t="s">
        <v>32</v>
      </c>
      <c r="E299" t="s">
        <v>28</v>
      </c>
      <c r="F299">
        <v>31</v>
      </c>
      <c r="G299" t="s">
        <v>127</v>
      </c>
      <c r="H299" s="17">
        <v>44214</v>
      </c>
      <c r="I299">
        <v>104162</v>
      </c>
      <c r="J299">
        <v>111453</v>
      </c>
      <c r="K299">
        <v>7.0000000000000007E-2</v>
      </c>
      <c r="L299" t="s">
        <v>29</v>
      </c>
      <c r="M299" t="s">
        <v>51</v>
      </c>
      <c r="N299" s="17"/>
      <c r="O299">
        <v>0</v>
      </c>
    </row>
    <row r="300" spans="1:15" x14ac:dyDescent="0.3">
      <c r="A300" t="s">
        <v>424</v>
      </c>
      <c r="B300" t="s">
        <v>85</v>
      </c>
      <c r="C300" t="s">
        <v>26</v>
      </c>
      <c r="D300" t="s">
        <v>46</v>
      </c>
      <c r="E300" t="s">
        <v>28</v>
      </c>
      <c r="F300">
        <v>45</v>
      </c>
      <c r="G300" t="s">
        <v>125</v>
      </c>
      <c r="H300" s="17">
        <v>40418</v>
      </c>
      <c r="I300">
        <v>82162</v>
      </c>
      <c r="J300">
        <v>82162</v>
      </c>
      <c r="K300">
        <v>0</v>
      </c>
      <c r="L300" t="s">
        <v>34</v>
      </c>
      <c r="M300" t="s">
        <v>64</v>
      </c>
      <c r="N300" s="17">
        <v>44107</v>
      </c>
      <c r="O300">
        <v>1</v>
      </c>
    </row>
    <row r="301" spans="1:15" x14ac:dyDescent="0.3">
      <c r="A301" t="s">
        <v>425</v>
      </c>
      <c r="B301" t="s">
        <v>44</v>
      </c>
      <c r="C301" t="s">
        <v>45</v>
      </c>
      <c r="D301" t="s">
        <v>39</v>
      </c>
      <c r="E301" t="s">
        <v>28</v>
      </c>
      <c r="F301">
        <v>47</v>
      </c>
      <c r="G301" t="s">
        <v>125</v>
      </c>
      <c r="H301" s="17">
        <v>42195</v>
      </c>
      <c r="I301">
        <v>63880</v>
      </c>
      <c r="J301">
        <v>63880</v>
      </c>
      <c r="K301">
        <v>0</v>
      </c>
      <c r="L301" t="s">
        <v>34</v>
      </c>
      <c r="M301" t="s">
        <v>35</v>
      </c>
      <c r="N301" s="17"/>
      <c r="O301">
        <v>0</v>
      </c>
    </row>
    <row r="302" spans="1:15" x14ac:dyDescent="0.3">
      <c r="A302" t="s">
        <v>426</v>
      </c>
      <c r="B302" t="s">
        <v>77</v>
      </c>
      <c r="C302" t="s">
        <v>54</v>
      </c>
      <c r="D302" t="s">
        <v>27</v>
      </c>
      <c r="E302" t="s">
        <v>28</v>
      </c>
      <c r="F302">
        <v>55</v>
      </c>
      <c r="G302" t="s">
        <v>122</v>
      </c>
      <c r="H302" s="17">
        <v>41525</v>
      </c>
      <c r="I302">
        <v>73248</v>
      </c>
      <c r="J302">
        <v>73248</v>
      </c>
      <c r="K302">
        <v>0</v>
      </c>
      <c r="L302" t="s">
        <v>29</v>
      </c>
      <c r="M302" t="s">
        <v>58</v>
      </c>
      <c r="N302" s="17"/>
      <c r="O302">
        <v>0</v>
      </c>
    </row>
    <row r="303" spans="1:15" x14ac:dyDescent="0.3">
      <c r="A303" t="s">
        <v>427</v>
      </c>
      <c r="B303" t="s">
        <v>42</v>
      </c>
      <c r="C303" t="s">
        <v>50</v>
      </c>
      <c r="D303" t="s">
        <v>32</v>
      </c>
      <c r="E303" t="s">
        <v>33</v>
      </c>
      <c r="F303">
        <v>51</v>
      </c>
      <c r="G303" t="s">
        <v>125</v>
      </c>
      <c r="H303" s="17">
        <v>44113</v>
      </c>
      <c r="I303">
        <v>91853</v>
      </c>
      <c r="J303">
        <v>91853</v>
      </c>
      <c r="K303">
        <v>0</v>
      </c>
      <c r="L303" t="s">
        <v>29</v>
      </c>
      <c r="M303" t="s">
        <v>40</v>
      </c>
      <c r="N303" s="17"/>
      <c r="O303">
        <v>0</v>
      </c>
    </row>
    <row r="304" spans="1:15" x14ac:dyDescent="0.3">
      <c r="A304" t="s">
        <v>428</v>
      </c>
      <c r="B304" t="s">
        <v>37</v>
      </c>
      <c r="C304" t="s">
        <v>38</v>
      </c>
      <c r="D304" t="s">
        <v>39</v>
      </c>
      <c r="E304" t="s">
        <v>33</v>
      </c>
      <c r="F304">
        <v>25</v>
      </c>
      <c r="G304" t="s">
        <v>127</v>
      </c>
      <c r="H304" s="17">
        <v>43844</v>
      </c>
      <c r="I304">
        <v>168014</v>
      </c>
      <c r="J304">
        <v>213378</v>
      </c>
      <c r="K304">
        <v>0.27</v>
      </c>
      <c r="L304" t="s">
        <v>29</v>
      </c>
      <c r="M304" t="s">
        <v>40</v>
      </c>
      <c r="N304" s="17">
        <v>44404</v>
      </c>
      <c r="O304">
        <v>1</v>
      </c>
    </row>
    <row r="305" spans="1:15" x14ac:dyDescent="0.3">
      <c r="A305" t="s">
        <v>429</v>
      </c>
      <c r="B305" t="s">
        <v>80</v>
      </c>
      <c r="C305" t="s">
        <v>54</v>
      </c>
      <c r="D305" t="s">
        <v>46</v>
      </c>
      <c r="E305" t="s">
        <v>28</v>
      </c>
      <c r="F305">
        <v>37</v>
      </c>
      <c r="G305" t="s">
        <v>135</v>
      </c>
      <c r="H305" s="17">
        <v>42995</v>
      </c>
      <c r="I305">
        <v>70770</v>
      </c>
      <c r="J305">
        <v>70770</v>
      </c>
      <c r="K305">
        <v>0</v>
      </c>
      <c r="L305" t="s">
        <v>29</v>
      </c>
      <c r="M305" t="s">
        <v>49</v>
      </c>
      <c r="N305" s="17"/>
      <c r="O305">
        <v>0</v>
      </c>
    </row>
    <row r="306" spans="1:15" x14ac:dyDescent="0.3">
      <c r="A306" t="s">
        <v>430</v>
      </c>
      <c r="B306" t="s">
        <v>70</v>
      </c>
      <c r="C306" t="s">
        <v>52</v>
      </c>
      <c r="D306" t="s">
        <v>46</v>
      </c>
      <c r="E306" t="s">
        <v>33</v>
      </c>
      <c r="F306">
        <v>62</v>
      </c>
      <c r="G306" t="s">
        <v>122</v>
      </c>
      <c r="H306" s="17">
        <v>38271</v>
      </c>
      <c r="I306">
        <v>50825</v>
      </c>
      <c r="J306">
        <v>50825</v>
      </c>
      <c r="K306">
        <v>0</v>
      </c>
      <c r="L306" t="s">
        <v>29</v>
      </c>
      <c r="M306" t="s">
        <v>30</v>
      </c>
      <c r="N306" s="17"/>
      <c r="O306">
        <v>0</v>
      </c>
    </row>
    <row r="307" spans="1:15" x14ac:dyDescent="0.3">
      <c r="A307" t="s">
        <v>431</v>
      </c>
      <c r="B307" t="s">
        <v>25</v>
      </c>
      <c r="C307" t="s">
        <v>38</v>
      </c>
      <c r="D307" t="s">
        <v>27</v>
      </c>
      <c r="E307" t="s">
        <v>33</v>
      </c>
      <c r="F307">
        <v>31</v>
      </c>
      <c r="G307" t="s">
        <v>127</v>
      </c>
      <c r="H307" s="17">
        <v>42266</v>
      </c>
      <c r="I307">
        <v>145846</v>
      </c>
      <c r="J307">
        <v>167723</v>
      </c>
      <c r="K307">
        <v>0.15</v>
      </c>
      <c r="L307" t="s">
        <v>59</v>
      </c>
      <c r="M307" t="s">
        <v>60</v>
      </c>
      <c r="N307" s="17"/>
      <c r="O307">
        <v>0</v>
      </c>
    </row>
    <row r="308" spans="1:15" x14ac:dyDescent="0.3">
      <c r="A308" t="s">
        <v>432</v>
      </c>
      <c r="B308" t="s">
        <v>25</v>
      </c>
      <c r="C308" t="s">
        <v>52</v>
      </c>
      <c r="D308" t="s">
        <v>27</v>
      </c>
      <c r="E308" t="s">
        <v>28</v>
      </c>
      <c r="F308">
        <v>64</v>
      </c>
      <c r="G308" t="s">
        <v>122</v>
      </c>
      <c r="H308" s="17">
        <v>37962</v>
      </c>
      <c r="I308">
        <v>125807</v>
      </c>
      <c r="J308">
        <v>144678</v>
      </c>
      <c r="K308">
        <v>0.15</v>
      </c>
      <c r="L308" t="s">
        <v>29</v>
      </c>
      <c r="M308" t="s">
        <v>40</v>
      </c>
      <c r="N308" s="17"/>
      <c r="O308">
        <v>0</v>
      </c>
    </row>
    <row r="309" spans="1:15" x14ac:dyDescent="0.3">
      <c r="A309" t="s">
        <v>433</v>
      </c>
      <c r="B309" t="s">
        <v>48</v>
      </c>
      <c r="C309" t="s">
        <v>45</v>
      </c>
      <c r="D309" t="s">
        <v>39</v>
      </c>
      <c r="E309" t="s">
        <v>33</v>
      </c>
      <c r="F309">
        <v>25</v>
      </c>
      <c r="G309" t="s">
        <v>127</v>
      </c>
      <c r="H309" s="17">
        <v>44405</v>
      </c>
      <c r="I309">
        <v>46845</v>
      </c>
      <c r="J309">
        <v>46845</v>
      </c>
      <c r="K309">
        <v>0</v>
      </c>
      <c r="L309" t="s">
        <v>29</v>
      </c>
      <c r="M309" t="s">
        <v>49</v>
      </c>
      <c r="N309" s="17"/>
      <c r="O309">
        <v>0</v>
      </c>
    </row>
    <row r="310" spans="1:15" x14ac:dyDescent="0.3">
      <c r="A310" t="s">
        <v>434</v>
      </c>
      <c r="B310" t="s">
        <v>25</v>
      </c>
      <c r="C310" t="s">
        <v>57</v>
      </c>
      <c r="D310" t="s">
        <v>46</v>
      </c>
      <c r="E310" t="s">
        <v>28</v>
      </c>
      <c r="F310">
        <v>59</v>
      </c>
      <c r="G310" t="s">
        <v>122</v>
      </c>
      <c r="H310" s="17">
        <v>39689</v>
      </c>
      <c r="I310">
        <v>157969</v>
      </c>
      <c r="J310">
        <v>173766</v>
      </c>
      <c r="K310">
        <v>0.1</v>
      </c>
      <c r="L310" t="s">
        <v>34</v>
      </c>
      <c r="M310" t="s">
        <v>35</v>
      </c>
      <c r="N310" s="17"/>
      <c r="O310">
        <v>0</v>
      </c>
    </row>
    <row r="311" spans="1:15" x14ac:dyDescent="0.3">
      <c r="A311" t="s">
        <v>435</v>
      </c>
      <c r="B311" t="s">
        <v>84</v>
      </c>
      <c r="C311" t="s">
        <v>26</v>
      </c>
      <c r="D311" t="s">
        <v>46</v>
      </c>
      <c r="E311" t="s">
        <v>28</v>
      </c>
      <c r="F311">
        <v>40</v>
      </c>
      <c r="G311" t="s">
        <v>135</v>
      </c>
      <c r="H311" s="17">
        <v>40522</v>
      </c>
      <c r="I311">
        <v>97807</v>
      </c>
      <c r="J311">
        <v>97807</v>
      </c>
      <c r="K311">
        <v>0</v>
      </c>
      <c r="L311" t="s">
        <v>29</v>
      </c>
      <c r="M311" t="s">
        <v>40</v>
      </c>
      <c r="N311" s="17"/>
      <c r="O311">
        <v>0</v>
      </c>
    </row>
    <row r="312" spans="1:15" x14ac:dyDescent="0.3">
      <c r="A312" t="s">
        <v>436</v>
      </c>
      <c r="B312" t="s">
        <v>70</v>
      </c>
      <c r="C312" t="s">
        <v>52</v>
      </c>
      <c r="D312" t="s">
        <v>32</v>
      </c>
      <c r="E312" t="s">
        <v>33</v>
      </c>
      <c r="F312">
        <v>31</v>
      </c>
      <c r="G312" t="s">
        <v>127</v>
      </c>
      <c r="H312" s="17">
        <v>42347</v>
      </c>
      <c r="I312">
        <v>73854</v>
      </c>
      <c r="J312">
        <v>73854</v>
      </c>
      <c r="K312">
        <v>0</v>
      </c>
      <c r="L312" t="s">
        <v>29</v>
      </c>
      <c r="M312" t="s">
        <v>30</v>
      </c>
      <c r="N312" s="17"/>
      <c r="O312">
        <v>0</v>
      </c>
    </row>
    <row r="313" spans="1:15" x14ac:dyDescent="0.3">
      <c r="A313" t="s">
        <v>437</v>
      </c>
      <c r="B313" t="s">
        <v>25</v>
      </c>
      <c r="C313" t="s">
        <v>50</v>
      </c>
      <c r="D313" t="s">
        <v>32</v>
      </c>
      <c r="E313" t="s">
        <v>33</v>
      </c>
      <c r="F313">
        <v>45</v>
      </c>
      <c r="G313" t="s">
        <v>125</v>
      </c>
      <c r="H313" s="17">
        <v>39063</v>
      </c>
      <c r="I313">
        <v>149537</v>
      </c>
      <c r="J313">
        <v>170472</v>
      </c>
      <c r="K313">
        <v>0.14000000000000001</v>
      </c>
      <c r="L313" t="s">
        <v>29</v>
      </c>
      <c r="M313" t="s">
        <v>30</v>
      </c>
      <c r="N313" s="17"/>
      <c r="O313">
        <v>0</v>
      </c>
    </row>
    <row r="314" spans="1:15" x14ac:dyDescent="0.3">
      <c r="A314" t="s">
        <v>438</v>
      </c>
      <c r="B314" t="s">
        <v>25</v>
      </c>
      <c r="C314" t="s">
        <v>45</v>
      </c>
      <c r="D314" t="s">
        <v>32</v>
      </c>
      <c r="E314" t="s">
        <v>28</v>
      </c>
      <c r="F314">
        <v>49</v>
      </c>
      <c r="G314" t="s">
        <v>125</v>
      </c>
      <c r="H314" s="17">
        <v>41379</v>
      </c>
      <c r="I314">
        <v>128303</v>
      </c>
      <c r="J314">
        <v>147548</v>
      </c>
      <c r="K314">
        <v>0.15</v>
      </c>
      <c r="L314" t="s">
        <v>29</v>
      </c>
      <c r="M314" t="s">
        <v>43</v>
      </c>
      <c r="N314" s="17"/>
      <c r="O314">
        <v>0</v>
      </c>
    </row>
    <row r="315" spans="1:15" x14ac:dyDescent="0.3">
      <c r="A315" t="s">
        <v>439</v>
      </c>
      <c r="B315" t="s">
        <v>78</v>
      </c>
      <c r="C315" t="s">
        <v>26</v>
      </c>
      <c r="D315" t="s">
        <v>39</v>
      </c>
      <c r="E315" t="s">
        <v>33</v>
      </c>
      <c r="F315">
        <v>46</v>
      </c>
      <c r="G315" t="s">
        <v>125</v>
      </c>
      <c r="H315" s="17">
        <v>38513</v>
      </c>
      <c r="I315">
        <v>67374</v>
      </c>
      <c r="J315">
        <v>67374</v>
      </c>
      <c r="K315">
        <v>0</v>
      </c>
      <c r="L315" t="s">
        <v>29</v>
      </c>
      <c r="M315" t="s">
        <v>51</v>
      </c>
      <c r="N315" s="17"/>
      <c r="O315">
        <v>0</v>
      </c>
    </row>
    <row r="316" spans="1:15" x14ac:dyDescent="0.3">
      <c r="A316" t="s">
        <v>440</v>
      </c>
      <c r="B316" t="s">
        <v>47</v>
      </c>
      <c r="C316" t="s">
        <v>52</v>
      </c>
      <c r="D316" t="s">
        <v>46</v>
      </c>
      <c r="E316" t="s">
        <v>33</v>
      </c>
      <c r="F316">
        <v>46</v>
      </c>
      <c r="G316" t="s">
        <v>125</v>
      </c>
      <c r="H316" s="17">
        <v>40810</v>
      </c>
      <c r="I316">
        <v>102167</v>
      </c>
      <c r="J316">
        <v>108297</v>
      </c>
      <c r="K316">
        <v>0.06</v>
      </c>
      <c r="L316" t="s">
        <v>59</v>
      </c>
      <c r="M316" t="s">
        <v>61</v>
      </c>
      <c r="N316" s="17"/>
      <c r="O316">
        <v>0</v>
      </c>
    </row>
    <row r="317" spans="1:15" x14ac:dyDescent="0.3">
      <c r="A317" t="s">
        <v>441</v>
      </c>
      <c r="B317" t="s">
        <v>25</v>
      </c>
      <c r="C317" t="s">
        <v>45</v>
      </c>
      <c r="D317" t="s">
        <v>32</v>
      </c>
      <c r="E317" t="s">
        <v>33</v>
      </c>
      <c r="F317">
        <v>45</v>
      </c>
      <c r="G317" t="s">
        <v>125</v>
      </c>
      <c r="H317" s="17">
        <v>39332</v>
      </c>
      <c r="I317">
        <v>151027</v>
      </c>
      <c r="J317">
        <v>166130</v>
      </c>
      <c r="K317">
        <v>0.1</v>
      </c>
      <c r="L317" t="s">
        <v>34</v>
      </c>
      <c r="M317" t="s">
        <v>55</v>
      </c>
      <c r="N317" s="17"/>
      <c r="O317">
        <v>0</v>
      </c>
    </row>
    <row r="318" spans="1:15" x14ac:dyDescent="0.3">
      <c r="A318" t="s">
        <v>442</v>
      </c>
      <c r="B318" t="s">
        <v>47</v>
      </c>
      <c r="C318" t="s">
        <v>50</v>
      </c>
      <c r="D318" t="s">
        <v>39</v>
      </c>
      <c r="E318" t="s">
        <v>33</v>
      </c>
      <c r="F318">
        <v>40</v>
      </c>
      <c r="G318" t="s">
        <v>135</v>
      </c>
      <c r="H318" s="17">
        <v>43147</v>
      </c>
      <c r="I318">
        <v>120905</v>
      </c>
      <c r="J318">
        <v>126950</v>
      </c>
      <c r="K318">
        <v>0.05</v>
      </c>
      <c r="L318" t="s">
        <v>29</v>
      </c>
      <c r="M318" t="s">
        <v>30</v>
      </c>
      <c r="N318" s="17"/>
      <c r="O318">
        <v>0</v>
      </c>
    </row>
    <row r="319" spans="1:15" x14ac:dyDescent="0.3">
      <c r="A319" t="s">
        <v>443</v>
      </c>
      <c r="B319" t="s">
        <v>56</v>
      </c>
      <c r="C319" t="s">
        <v>38</v>
      </c>
      <c r="D319" t="s">
        <v>32</v>
      </c>
      <c r="E319" t="s">
        <v>28</v>
      </c>
      <c r="F319">
        <v>48</v>
      </c>
      <c r="G319" t="s">
        <v>125</v>
      </c>
      <c r="H319" s="17">
        <v>43253</v>
      </c>
      <c r="I319">
        <v>231567</v>
      </c>
      <c r="J319">
        <v>314931</v>
      </c>
      <c r="K319">
        <v>0.36</v>
      </c>
      <c r="L319" t="s">
        <v>29</v>
      </c>
      <c r="M319" t="s">
        <v>30</v>
      </c>
      <c r="N319" s="17"/>
      <c r="O319">
        <v>0</v>
      </c>
    </row>
    <row r="320" spans="1:15" x14ac:dyDescent="0.3">
      <c r="A320" t="s">
        <v>444</v>
      </c>
      <c r="B320" t="s">
        <v>56</v>
      </c>
      <c r="C320" t="s">
        <v>26</v>
      </c>
      <c r="D320" t="s">
        <v>27</v>
      </c>
      <c r="E320" t="s">
        <v>33</v>
      </c>
      <c r="F320">
        <v>31</v>
      </c>
      <c r="G320" t="s">
        <v>127</v>
      </c>
      <c r="H320" s="17">
        <v>42197</v>
      </c>
      <c r="I320">
        <v>215388</v>
      </c>
      <c r="J320">
        <v>286466</v>
      </c>
      <c r="K320">
        <v>0.33</v>
      </c>
      <c r="L320" t="s">
        <v>29</v>
      </c>
      <c r="M320" t="s">
        <v>49</v>
      </c>
      <c r="N320" s="17"/>
      <c r="O320">
        <v>0</v>
      </c>
    </row>
    <row r="321" spans="1:15" x14ac:dyDescent="0.3">
      <c r="A321" t="s">
        <v>445</v>
      </c>
      <c r="B321" t="s">
        <v>25</v>
      </c>
      <c r="C321" t="s">
        <v>45</v>
      </c>
      <c r="D321" t="s">
        <v>39</v>
      </c>
      <c r="E321" t="s">
        <v>28</v>
      </c>
      <c r="F321">
        <v>30</v>
      </c>
      <c r="G321" t="s">
        <v>127</v>
      </c>
      <c r="H321" s="17">
        <v>42168</v>
      </c>
      <c r="I321">
        <v>127972</v>
      </c>
      <c r="J321">
        <v>142049</v>
      </c>
      <c r="K321">
        <v>0.11</v>
      </c>
      <c r="L321" t="s">
        <v>29</v>
      </c>
      <c r="M321" t="s">
        <v>30</v>
      </c>
      <c r="N321" s="17"/>
      <c r="O321">
        <v>0</v>
      </c>
    </row>
    <row r="322" spans="1:15" x14ac:dyDescent="0.3">
      <c r="A322" t="s">
        <v>446</v>
      </c>
      <c r="B322" t="s">
        <v>73</v>
      </c>
      <c r="C322" t="s">
        <v>54</v>
      </c>
      <c r="D322" t="s">
        <v>46</v>
      </c>
      <c r="E322" t="s">
        <v>28</v>
      </c>
      <c r="F322">
        <v>55</v>
      </c>
      <c r="G322" t="s">
        <v>122</v>
      </c>
      <c r="H322" s="17">
        <v>34915</v>
      </c>
      <c r="I322">
        <v>80701</v>
      </c>
      <c r="J322">
        <v>80701</v>
      </c>
      <c r="K322">
        <v>0</v>
      </c>
      <c r="L322" t="s">
        <v>29</v>
      </c>
      <c r="M322" t="s">
        <v>40</v>
      </c>
      <c r="N322" s="17">
        <v>38456</v>
      </c>
      <c r="O322">
        <v>1</v>
      </c>
    </row>
    <row r="323" spans="1:15" x14ac:dyDescent="0.3">
      <c r="A323" t="s">
        <v>447</v>
      </c>
      <c r="B323" t="s">
        <v>47</v>
      </c>
      <c r="C323" t="s">
        <v>57</v>
      </c>
      <c r="D323" t="s">
        <v>46</v>
      </c>
      <c r="E323" t="s">
        <v>33</v>
      </c>
      <c r="F323">
        <v>28</v>
      </c>
      <c r="G323" t="s">
        <v>127</v>
      </c>
      <c r="H323" s="17">
        <v>43863</v>
      </c>
      <c r="I323">
        <v>115417</v>
      </c>
      <c r="J323">
        <v>122342</v>
      </c>
      <c r="K323">
        <v>0.06</v>
      </c>
      <c r="L323" t="s">
        <v>34</v>
      </c>
      <c r="M323" t="s">
        <v>55</v>
      </c>
      <c r="N323" s="17"/>
      <c r="O323">
        <v>0</v>
      </c>
    </row>
    <row r="324" spans="1:15" x14ac:dyDescent="0.3">
      <c r="A324" t="s">
        <v>448</v>
      </c>
      <c r="B324" t="s">
        <v>62</v>
      </c>
      <c r="C324" t="s">
        <v>54</v>
      </c>
      <c r="D324" t="s">
        <v>46</v>
      </c>
      <c r="E324" t="s">
        <v>28</v>
      </c>
      <c r="F324">
        <v>45</v>
      </c>
      <c r="G324" t="s">
        <v>125</v>
      </c>
      <c r="H324" s="17">
        <v>43635</v>
      </c>
      <c r="I324">
        <v>88045</v>
      </c>
      <c r="J324">
        <v>88045</v>
      </c>
      <c r="K324">
        <v>0</v>
      </c>
      <c r="L324" t="s">
        <v>29</v>
      </c>
      <c r="M324" t="s">
        <v>40</v>
      </c>
      <c r="N324" s="17"/>
      <c r="O324">
        <v>0</v>
      </c>
    </row>
    <row r="325" spans="1:15" x14ac:dyDescent="0.3">
      <c r="A325" t="s">
        <v>449</v>
      </c>
      <c r="B325" t="s">
        <v>41</v>
      </c>
      <c r="C325" t="s">
        <v>26</v>
      </c>
      <c r="D325" t="s">
        <v>39</v>
      </c>
      <c r="E325" t="s">
        <v>28</v>
      </c>
      <c r="F325">
        <v>45</v>
      </c>
      <c r="G325" t="s">
        <v>125</v>
      </c>
      <c r="H325" s="17">
        <v>43185</v>
      </c>
      <c r="I325">
        <v>86478</v>
      </c>
      <c r="J325">
        <v>91667</v>
      </c>
      <c r="K325">
        <v>0.06</v>
      </c>
      <c r="L325" t="s">
        <v>29</v>
      </c>
      <c r="M325" t="s">
        <v>51</v>
      </c>
      <c r="N325" s="17"/>
      <c r="O325">
        <v>0</v>
      </c>
    </row>
    <row r="326" spans="1:15" x14ac:dyDescent="0.3">
      <c r="A326" t="s">
        <v>450</v>
      </c>
      <c r="B326" t="s">
        <v>56</v>
      </c>
      <c r="C326" t="s">
        <v>54</v>
      </c>
      <c r="D326" t="s">
        <v>32</v>
      </c>
      <c r="E326" t="s">
        <v>33</v>
      </c>
      <c r="F326">
        <v>63</v>
      </c>
      <c r="G326" t="s">
        <v>122</v>
      </c>
      <c r="H326" s="17">
        <v>42387</v>
      </c>
      <c r="I326">
        <v>180994</v>
      </c>
      <c r="J326">
        <v>251582</v>
      </c>
      <c r="K326">
        <v>0.39</v>
      </c>
      <c r="L326" t="s">
        <v>29</v>
      </c>
      <c r="M326" t="s">
        <v>30</v>
      </c>
      <c r="N326" s="17"/>
      <c r="O326">
        <v>0</v>
      </c>
    </row>
    <row r="327" spans="1:15" x14ac:dyDescent="0.3">
      <c r="A327" t="s">
        <v>451</v>
      </c>
      <c r="B327" t="s">
        <v>66</v>
      </c>
      <c r="C327" t="s">
        <v>38</v>
      </c>
      <c r="D327" t="s">
        <v>27</v>
      </c>
      <c r="E327" t="s">
        <v>28</v>
      </c>
      <c r="F327">
        <v>55</v>
      </c>
      <c r="G327" t="s">
        <v>122</v>
      </c>
      <c r="H327" s="17">
        <v>39418</v>
      </c>
      <c r="I327">
        <v>64494</v>
      </c>
      <c r="J327">
        <v>64494</v>
      </c>
      <c r="K327">
        <v>0</v>
      </c>
      <c r="L327" t="s">
        <v>29</v>
      </c>
      <c r="M327" t="s">
        <v>58</v>
      </c>
      <c r="N327" s="17"/>
      <c r="O327">
        <v>0</v>
      </c>
    </row>
    <row r="328" spans="1:15" x14ac:dyDescent="0.3">
      <c r="A328" t="s">
        <v>452</v>
      </c>
      <c r="B328" t="s">
        <v>44</v>
      </c>
      <c r="C328" t="s">
        <v>45</v>
      </c>
      <c r="D328" t="s">
        <v>32</v>
      </c>
      <c r="E328" t="s">
        <v>33</v>
      </c>
      <c r="F328">
        <v>47</v>
      </c>
      <c r="G328" t="s">
        <v>125</v>
      </c>
      <c r="H328" s="17">
        <v>37550</v>
      </c>
      <c r="I328">
        <v>70122</v>
      </c>
      <c r="J328">
        <v>70122</v>
      </c>
      <c r="K328">
        <v>0</v>
      </c>
      <c r="L328" t="s">
        <v>29</v>
      </c>
      <c r="M328" t="s">
        <v>58</v>
      </c>
      <c r="N328" s="17"/>
      <c r="O328">
        <v>0</v>
      </c>
    </row>
    <row r="329" spans="1:15" x14ac:dyDescent="0.3">
      <c r="A329" t="s">
        <v>453</v>
      </c>
      <c r="B329" t="s">
        <v>37</v>
      </c>
      <c r="C329" t="s">
        <v>50</v>
      </c>
      <c r="D329" t="s">
        <v>32</v>
      </c>
      <c r="E329" t="s">
        <v>33</v>
      </c>
      <c r="F329">
        <v>29</v>
      </c>
      <c r="G329" t="s">
        <v>127</v>
      </c>
      <c r="H329" s="17">
        <v>42785</v>
      </c>
      <c r="I329">
        <v>181854</v>
      </c>
      <c r="J329">
        <v>234592</v>
      </c>
      <c r="K329">
        <v>0.28999999999999998</v>
      </c>
      <c r="L329" t="s">
        <v>29</v>
      </c>
      <c r="M329" t="s">
        <v>30</v>
      </c>
      <c r="N329" s="17">
        <v>43945</v>
      </c>
      <c r="O329">
        <v>1</v>
      </c>
    </row>
    <row r="330" spans="1:15" x14ac:dyDescent="0.3">
      <c r="A330" t="s">
        <v>454</v>
      </c>
      <c r="B330" t="s">
        <v>74</v>
      </c>
      <c r="C330" t="s">
        <v>52</v>
      </c>
      <c r="D330" t="s">
        <v>39</v>
      </c>
      <c r="E330" t="s">
        <v>28</v>
      </c>
      <c r="F330">
        <v>34</v>
      </c>
      <c r="G330" t="s">
        <v>127</v>
      </c>
      <c r="H330" s="17">
        <v>42664</v>
      </c>
      <c r="I330">
        <v>52811</v>
      </c>
      <c r="J330">
        <v>52811</v>
      </c>
      <c r="K330">
        <v>0</v>
      </c>
      <c r="L330" t="s">
        <v>29</v>
      </c>
      <c r="M330" t="s">
        <v>49</v>
      </c>
      <c r="N330" s="17"/>
      <c r="O330">
        <v>0</v>
      </c>
    </row>
    <row r="331" spans="1:15" x14ac:dyDescent="0.3">
      <c r="A331" t="s">
        <v>455</v>
      </c>
      <c r="B331" t="s">
        <v>83</v>
      </c>
      <c r="C331" t="s">
        <v>26</v>
      </c>
      <c r="D331" t="s">
        <v>27</v>
      </c>
      <c r="E331" t="s">
        <v>28</v>
      </c>
      <c r="F331">
        <v>28</v>
      </c>
      <c r="G331" t="s">
        <v>127</v>
      </c>
      <c r="H331" s="17">
        <v>43763</v>
      </c>
      <c r="I331">
        <v>50111</v>
      </c>
      <c r="J331">
        <v>50111</v>
      </c>
      <c r="K331">
        <v>0</v>
      </c>
      <c r="L331" t="s">
        <v>34</v>
      </c>
      <c r="M331" t="s">
        <v>68</v>
      </c>
      <c r="N331" s="17"/>
      <c r="O331">
        <v>0</v>
      </c>
    </row>
    <row r="332" spans="1:15" x14ac:dyDescent="0.3">
      <c r="A332" t="s">
        <v>456</v>
      </c>
      <c r="B332" t="s">
        <v>87</v>
      </c>
      <c r="C332" t="s">
        <v>26</v>
      </c>
      <c r="D332" t="s">
        <v>32</v>
      </c>
      <c r="E332" t="s">
        <v>33</v>
      </c>
      <c r="F332">
        <v>31</v>
      </c>
      <c r="G332" t="s">
        <v>127</v>
      </c>
      <c r="H332" s="17">
        <v>42497</v>
      </c>
      <c r="I332">
        <v>71192</v>
      </c>
      <c r="J332">
        <v>71192</v>
      </c>
      <c r="K332">
        <v>0</v>
      </c>
      <c r="L332" t="s">
        <v>29</v>
      </c>
      <c r="M332" t="s">
        <v>51</v>
      </c>
      <c r="N332" s="17"/>
      <c r="O332">
        <v>0</v>
      </c>
    </row>
    <row r="333" spans="1:15" x14ac:dyDescent="0.3">
      <c r="A333" t="s">
        <v>457</v>
      </c>
      <c r="B333" t="s">
        <v>37</v>
      </c>
      <c r="C333" t="s">
        <v>45</v>
      </c>
      <c r="D333" t="s">
        <v>32</v>
      </c>
      <c r="E333" t="s">
        <v>28</v>
      </c>
      <c r="F333">
        <v>50</v>
      </c>
      <c r="G333" t="s">
        <v>125</v>
      </c>
      <c r="H333" s="17">
        <v>43452</v>
      </c>
      <c r="I333">
        <v>155351</v>
      </c>
      <c r="J333">
        <v>186421</v>
      </c>
      <c r="K333">
        <v>0.2</v>
      </c>
      <c r="L333" t="s">
        <v>29</v>
      </c>
      <c r="M333" t="s">
        <v>30</v>
      </c>
      <c r="N333" s="17"/>
      <c r="O333">
        <v>0</v>
      </c>
    </row>
    <row r="334" spans="1:15" x14ac:dyDescent="0.3">
      <c r="A334" t="s">
        <v>458</v>
      </c>
      <c r="B334" t="s">
        <v>37</v>
      </c>
      <c r="C334" t="s">
        <v>52</v>
      </c>
      <c r="D334" t="s">
        <v>39</v>
      </c>
      <c r="E334" t="s">
        <v>33</v>
      </c>
      <c r="F334">
        <v>39</v>
      </c>
      <c r="G334" t="s">
        <v>135</v>
      </c>
      <c r="H334" s="17">
        <v>39049</v>
      </c>
      <c r="I334">
        <v>161690</v>
      </c>
      <c r="J334">
        <v>208580</v>
      </c>
      <c r="K334">
        <v>0.28999999999999998</v>
      </c>
      <c r="L334" t="s">
        <v>34</v>
      </c>
      <c r="M334" t="s">
        <v>64</v>
      </c>
      <c r="N334" s="17"/>
      <c r="O334">
        <v>0</v>
      </c>
    </row>
    <row r="335" spans="1:15" x14ac:dyDescent="0.3">
      <c r="A335" t="s">
        <v>459</v>
      </c>
      <c r="B335" t="s">
        <v>80</v>
      </c>
      <c r="C335" t="s">
        <v>54</v>
      </c>
      <c r="D335" t="s">
        <v>39</v>
      </c>
      <c r="E335" t="s">
        <v>28</v>
      </c>
      <c r="F335">
        <v>35</v>
      </c>
      <c r="G335" t="s">
        <v>135</v>
      </c>
      <c r="H335" s="17">
        <v>42776</v>
      </c>
      <c r="I335">
        <v>60132</v>
      </c>
      <c r="J335">
        <v>60132</v>
      </c>
      <c r="K335">
        <v>0</v>
      </c>
      <c r="L335" t="s">
        <v>34</v>
      </c>
      <c r="M335" t="s">
        <v>35</v>
      </c>
      <c r="N335" s="17"/>
      <c r="O335">
        <v>0</v>
      </c>
    </row>
    <row r="336" spans="1:15" x14ac:dyDescent="0.3">
      <c r="A336" t="s">
        <v>460</v>
      </c>
      <c r="B336" t="s">
        <v>78</v>
      </c>
      <c r="C336" t="s">
        <v>26</v>
      </c>
      <c r="D336" t="s">
        <v>32</v>
      </c>
      <c r="E336" t="s">
        <v>33</v>
      </c>
      <c r="F336">
        <v>54</v>
      </c>
      <c r="G336" t="s">
        <v>125</v>
      </c>
      <c r="H336" s="17">
        <v>34631</v>
      </c>
      <c r="I336">
        <v>87216</v>
      </c>
      <c r="J336">
        <v>87216</v>
      </c>
      <c r="K336">
        <v>0</v>
      </c>
      <c r="L336" t="s">
        <v>29</v>
      </c>
      <c r="M336" t="s">
        <v>49</v>
      </c>
      <c r="N336" s="17"/>
      <c r="O336">
        <v>0</v>
      </c>
    </row>
    <row r="337" spans="1:15" x14ac:dyDescent="0.3">
      <c r="A337" t="s">
        <v>461</v>
      </c>
      <c r="B337" t="s">
        <v>83</v>
      </c>
      <c r="C337" t="s">
        <v>26</v>
      </c>
      <c r="D337" t="s">
        <v>46</v>
      </c>
      <c r="E337" t="s">
        <v>33</v>
      </c>
      <c r="F337">
        <v>47</v>
      </c>
      <c r="G337" t="s">
        <v>125</v>
      </c>
      <c r="H337" s="17">
        <v>43944</v>
      </c>
      <c r="I337">
        <v>50069</v>
      </c>
      <c r="J337">
        <v>50069</v>
      </c>
      <c r="K337">
        <v>0</v>
      </c>
      <c r="L337" t="s">
        <v>29</v>
      </c>
      <c r="M337" t="s">
        <v>30</v>
      </c>
      <c r="N337" s="17"/>
      <c r="O337">
        <v>0</v>
      </c>
    </row>
    <row r="338" spans="1:15" x14ac:dyDescent="0.3">
      <c r="A338" t="s">
        <v>462</v>
      </c>
      <c r="B338" t="s">
        <v>37</v>
      </c>
      <c r="C338" t="s">
        <v>26</v>
      </c>
      <c r="D338" t="s">
        <v>39</v>
      </c>
      <c r="E338" t="s">
        <v>28</v>
      </c>
      <c r="F338">
        <v>26</v>
      </c>
      <c r="G338" t="s">
        <v>127</v>
      </c>
      <c r="H338" s="17">
        <v>44403</v>
      </c>
      <c r="I338">
        <v>151108</v>
      </c>
      <c r="J338">
        <v>184352</v>
      </c>
      <c r="K338">
        <v>0.22</v>
      </c>
      <c r="L338" t="s">
        <v>29</v>
      </c>
      <c r="M338" t="s">
        <v>43</v>
      </c>
      <c r="N338" s="17"/>
      <c r="O338">
        <v>0</v>
      </c>
    </row>
    <row r="339" spans="1:15" x14ac:dyDescent="0.3">
      <c r="A339" t="s">
        <v>463</v>
      </c>
      <c r="B339" t="s">
        <v>41</v>
      </c>
      <c r="C339" t="s">
        <v>26</v>
      </c>
      <c r="D339" t="s">
        <v>32</v>
      </c>
      <c r="E339" t="s">
        <v>28</v>
      </c>
      <c r="F339">
        <v>42</v>
      </c>
      <c r="G339" t="s">
        <v>135</v>
      </c>
      <c r="H339" s="17">
        <v>38640</v>
      </c>
      <c r="I339">
        <v>67398</v>
      </c>
      <c r="J339">
        <v>72116</v>
      </c>
      <c r="K339">
        <v>7.0000000000000007E-2</v>
      </c>
      <c r="L339" t="s">
        <v>29</v>
      </c>
      <c r="M339" t="s">
        <v>43</v>
      </c>
      <c r="N339" s="17"/>
      <c r="O339">
        <v>0</v>
      </c>
    </row>
    <row r="340" spans="1:15" x14ac:dyDescent="0.3">
      <c r="A340" t="s">
        <v>464</v>
      </c>
      <c r="B340" t="s">
        <v>80</v>
      </c>
      <c r="C340" t="s">
        <v>54</v>
      </c>
      <c r="D340" t="s">
        <v>27</v>
      </c>
      <c r="E340" t="s">
        <v>28</v>
      </c>
      <c r="F340">
        <v>47</v>
      </c>
      <c r="G340" t="s">
        <v>125</v>
      </c>
      <c r="H340" s="17">
        <v>42245</v>
      </c>
      <c r="I340">
        <v>68488</v>
      </c>
      <c r="J340">
        <v>68488</v>
      </c>
      <c r="K340">
        <v>0</v>
      </c>
      <c r="L340" t="s">
        <v>29</v>
      </c>
      <c r="M340" t="s">
        <v>30</v>
      </c>
      <c r="N340" s="17"/>
      <c r="O340">
        <v>0</v>
      </c>
    </row>
    <row r="341" spans="1:15" x14ac:dyDescent="0.3">
      <c r="A341" t="s">
        <v>465</v>
      </c>
      <c r="B341" t="s">
        <v>62</v>
      </c>
      <c r="C341" t="s">
        <v>54</v>
      </c>
      <c r="D341" t="s">
        <v>32</v>
      </c>
      <c r="E341" t="s">
        <v>28</v>
      </c>
      <c r="F341">
        <v>60</v>
      </c>
      <c r="G341" t="s">
        <v>122</v>
      </c>
      <c r="H341" s="17">
        <v>35992</v>
      </c>
      <c r="I341">
        <v>92932</v>
      </c>
      <c r="J341">
        <v>92932</v>
      </c>
      <c r="K341">
        <v>0</v>
      </c>
      <c r="L341" t="s">
        <v>29</v>
      </c>
      <c r="M341" t="s">
        <v>58</v>
      </c>
      <c r="N341" s="17"/>
      <c r="O341">
        <v>0</v>
      </c>
    </row>
    <row r="342" spans="1:15" x14ac:dyDescent="0.3">
      <c r="A342" t="s">
        <v>466</v>
      </c>
      <c r="B342" t="s">
        <v>48</v>
      </c>
      <c r="C342" t="s">
        <v>38</v>
      </c>
      <c r="D342" t="s">
        <v>46</v>
      </c>
      <c r="E342" t="s">
        <v>28</v>
      </c>
      <c r="F342">
        <v>36</v>
      </c>
      <c r="G342" t="s">
        <v>135</v>
      </c>
      <c r="H342" s="17">
        <v>39994</v>
      </c>
      <c r="I342">
        <v>43363</v>
      </c>
      <c r="J342">
        <v>43363</v>
      </c>
      <c r="K342">
        <v>0</v>
      </c>
      <c r="L342" t="s">
        <v>29</v>
      </c>
      <c r="M342" t="s">
        <v>51</v>
      </c>
      <c r="N342" s="17"/>
      <c r="O342">
        <v>0</v>
      </c>
    </row>
    <row r="343" spans="1:15" x14ac:dyDescent="0.3">
      <c r="A343" t="s">
        <v>467</v>
      </c>
      <c r="B343" t="s">
        <v>86</v>
      </c>
      <c r="C343" t="s">
        <v>26</v>
      </c>
      <c r="D343" t="s">
        <v>39</v>
      </c>
      <c r="E343" t="s">
        <v>33</v>
      </c>
      <c r="F343">
        <v>31</v>
      </c>
      <c r="G343" t="s">
        <v>127</v>
      </c>
      <c r="H343" s="17">
        <v>42780</v>
      </c>
      <c r="I343">
        <v>95963</v>
      </c>
      <c r="J343">
        <v>95963</v>
      </c>
      <c r="K343">
        <v>0</v>
      </c>
      <c r="L343" t="s">
        <v>34</v>
      </c>
      <c r="M343" t="s">
        <v>68</v>
      </c>
      <c r="N343" s="17"/>
      <c r="O343">
        <v>0</v>
      </c>
    </row>
    <row r="344" spans="1:15" x14ac:dyDescent="0.3">
      <c r="A344" t="s">
        <v>468</v>
      </c>
      <c r="B344" t="s">
        <v>47</v>
      </c>
      <c r="C344" t="s">
        <v>38</v>
      </c>
      <c r="D344" t="s">
        <v>39</v>
      </c>
      <c r="E344" t="s">
        <v>28</v>
      </c>
      <c r="F344">
        <v>55</v>
      </c>
      <c r="G344" t="s">
        <v>122</v>
      </c>
      <c r="H344" s="17">
        <v>40297</v>
      </c>
      <c r="I344">
        <v>111038</v>
      </c>
      <c r="J344">
        <v>116590</v>
      </c>
      <c r="K344">
        <v>0.05</v>
      </c>
      <c r="L344" t="s">
        <v>59</v>
      </c>
      <c r="M344" t="s">
        <v>76</v>
      </c>
      <c r="N344" s="17"/>
      <c r="O344">
        <v>0</v>
      </c>
    </row>
    <row r="345" spans="1:15" x14ac:dyDescent="0.3">
      <c r="A345" t="s">
        <v>469</v>
      </c>
      <c r="B345" t="s">
        <v>56</v>
      </c>
      <c r="C345" t="s">
        <v>54</v>
      </c>
      <c r="D345" t="s">
        <v>27</v>
      </c>
      <c r="E345" t="s">
        <v>28</v>
      </c>
      <c r="F345">
        <v>51</v>
      </c>
      <c r="G345" t="s">
        <v>125</v>
      </c>
      <c r="H345" s="17">
        <v>35230</v>
      </c>
      <c r="I345">
        <v>200246</v>
      </c>
      <c r="J345">
        <v>268330</v>
      </c>
      <c r="K345">
        <v>0.34</v>
      </c>
      <c r="L345" t="s">
        <v>29</v>
      </c>
      <c r="M345" t="s">
        <v>58</v>
      </c>
      <c r="N345" s="17"/>
      <c r="O345">
        <v>0</v>
      </c>
    </row>
    <row r="346" spans="1:15" x14ac:dyDescent="0.3">
      <c r="A346" t="s">
        <v>470</v>
      </c>
      <c r="B346" t="s">
        <v>56</v>
      </c>
      <c r="C346" t="s">
        <v>26</v>
      </c>
      <c r="D346" t="s">
        <v>46</v>
      </c>
      <c r="E346" t="s">
        <v>28</v>
      </c>
      <c r="F346">
        <v>48</v>
      </c>
      <c r="G346" t="s">
        <v>125</v>
      </c>
      <c r="H346" s="17">
        <v>42053</v>
      </c>
      <c r="I346">
        <v>194871</v>
      </c>
      <c r="J346">
        <v>263076</v>
      </c>
      <c r="K346">
        <v>0.35</v>
      </c>
      <c r="L346" t="s">
        <v>29</v>
      </c>
      <c r="M346" t="s">
        <v>58</v>
      </c>
      <c r="N346" s="17"/>
      <c r="O346">
        <v>0</v>
      </c>
    </row>
    <row r="347" spans="1:15" x14ac:dyDescent="0.3">
      <c r="A347" t="s">
        <v>471</v>
      </c>
      <c r="B347" t="s">
        <v>42</v>
      </c>
      <c r="C347" t="s">
        <v>50</v>
      </c>
      <c r="D347" t="s">
        <v>27</v>
      </c>
      <c r="E347" t="s">
        <v>33</v>
      </c>
      <c r="F347">
        <v>58</v>
      </c>
      <c r="G347" t="s">
        <v>122</v>
      </c>
      <c r="H347" s="17">
        <v>34592</v>
      </c>
      <c r="I347">
        <v>98769</v>
      </c>
      <c r="J347">
        <v>98769</v>
      </c>
      <c r="K347">
        <v>0</v>
      </c>
      <c r="L347" t="s">
        <v>59</v>
      </c>
      <c r="M347" t="s">
        <v>61</v>
      </c>
      <c r="N347" s="17">
        <v>42646</v>
      </c>
      <c r="O347">
        <v>1</v>
      </c>
    </row>
    <row r="348" spans="1:15" x14ac:dyDescent="0.3">
      <c r="A348" t="s">
        <v>472</v>
      </c>
      <c r="B348" t="s">
        <v>44</v>
      </c>
      <c r="C348" t="s">
        <v>45</v>
      </c>
      <c r="D348" t="s">
        <v>27</v>
      </c>
      <c r="E348" t="s">
        <v>28</v>
      </c>
      <c r="F348">
        <v>29</v>
      </c>
      <c r="G348" t="s">
        <v>127</v>
      </c>
      <c r="H348" s="17">
        <v>43239</v>
      </c>
      <c r="I348">
        <v>65334</v>
      </c>
      <c r="J348">
        <v>65334</v>
      </c>
      <c r="K348">
        <v>0</v>
      </c>
      <c r="L348" t="s">
        <v>59</v>
      </c>
      <c r="M348" t="s">
        <v>61</v>
      </c>
      <c r="N348" s="17"/>
      <c r="O348">
        <v>0</v>
      </c>
    </row>
    <row r="349" spans="1:15" x14ac:dyDescent="0.3">
      <c r="A349" t="s">
        <v>473</v>
      </c>
      <c r="B349" t="s">
        <v>31</v>
      </c>
      <c r="C349" t="s">
        <v>26</v>
      </c>
      <c r="D349" t="s">
        <v>32</v>
      </c>
      <c r="E349" t="s">
        <v>28</v>
      </c>
      <c r="F349">
        <v>25</v>
      </c>
      <c r="G349" t="s">
        <v>127</v>
      </c>
      <c r="H349" s="17">
        <v>44327</v>
      </c>
      <c r="I349">
        <v>83934</v>
      </c>
      <c r="J349">
        <v>83934</v>
      </c>
      <c r="K349">
        <v>0</v>
      </c>
      <c r="L349" t="s">
        <v>29</v>
      </c>
      <c r="M349" t="s">
        <v>49</v>
      </c>
      <c r="N349" s="17"/>
      <c r="O349">
        <v>0</v>
      </c>
    </row>
    <row r="350" spans="1:15" x14ac:dyDescent="0.3">
      <c r="A350" t="s">
        <v>474</v>
      </c>
      <c r="B350" t="s">
        <v>37</v>
      </c>
      <c r="C350" t="s">
        <v>50</v>
      </c>
      <c r="D350" t="s">
        <v>27</v>
      </c>
      <c r="E350" t="s">
        <v>33</v>
      </c>
      <c r="F350">
        <v>36</v>
      </c>
      <c r="G350" t="s">
        <v>135</v>
      </c>
      <c r="H350" s="17">
        <v>42616</v>
      </c>
      <c r="I350">
        <v>150399</v>
      </c>
      <c r="J350">
        <v>192511</v>
      </c>
      <c r="K350">
        <v>0.28000000000000003</v>
      </c>
      <c r="L350" t="s">
        <v>29</v>
      </c>
      <c r="M350" t="s">
        <v>40</v>
      </c>
      <c r="N350" s="17"/>
      <c r="O350">
        <v>0</v>
      </c>
    </row>
    <row r="351" spans="1:15" x14ac:dyDescent="0.3">
      <c r="A351" t="s">
        <v>475</v>
      </c>
      <c r="B351" t="s">
        <v>37</v>
      </c>
      <c r="C351" t="s">
        <v>52</v>
      </c>
      <c r="D351" t="s">
        <v>27</v>
      </c>
      <c r="E351" t="s">
        <v>33</v>
      </c>
      <c r="F351">
        <v>37</v>
      </c>
      <c r="G351" t="s">
        <v>135</v>
      </c>
      <c r="H351" s="17">
        <v>41048</v>
      </c>
      <c r="I351">
        <v>160280</v>
      </c>
      <c r="J351">
        <v>190733</v>
      </c>
      <c r="K351">
        <v>0.19</v>
      </c>
      <c r="L351" t="s">
        <v>34</v>
      </c>
      <c r="M351" t="s">
        <v>64</v>
      </c>
      <c r="N351" s="17"/>
      <c r="O351">
        <v>0</v>
      </c>
    </row>
    <row r="352" spans="1:15" x14ac:dyDescent="0.3">
      <c r="A352" t="s">
        <v>476</v>
      </c>
      <c r="B352" t="s">
        <v>74</v>
      </c>
      <c r="C352" t="s">
        <v>52</v>
      </c>
      <c r="D352" t="s">
        <v>39</v>
      </c>
      <c r="E352" t="s">
        <v>33</v>
      </c>
      <c r="F352">
        <v>57</v>
      </c>
      <c r="G352" t="s">
        <v>122</v>
      </c>
      <c r="H352" s="17">
        <v>35548</v>
      </c>
      <c r="I352">
        <v>54051</v>
      </c>
      <c r="J352">
        <v>54051</v>
      </c>
      <c r="K352">
        <v>0</v>
      </c>
      <c r="L352" t="s">
        <v>29</v>
      </c>
      <c r="M352" t="s">
        <v>49</v>
      </c>
      <c r="N352" s="17">
        <v>36079</v>
      </c>
      <c r="O352">
        <v>1</v>
      </c>
    </row>
    <row r="353" spans="1:15" x14ac:dyDescent="0.3">
      <c r="A353" t="s">
        <v>477</v>
      </c>
      <c r="B353" t="s">
        <v>37</v>
      </c>
      <c r="C353" t="s">
        <v>54</v>
      </c>
      <c r="D353" t="s">
        <v>27</v>
      </c>
      <c r="E353" t="s">
        <v>28</v>
      </c>
      <c r="F353">
        <v>59</v>
      </c>
      <c r="G353" t="s">
        <v>122</v>
      </c>
      <c r="H353" s="17">
        <v>37726</v>
      </c>
      <c r="I353">
        <v>150699</v>
      </c>
      <c r="J353">
        <v>194402</v>
      </c>
      <c r="K353">
        <v>0.28999999999999998</v>
      </c>
      <c r="L353" t="s">
        <v>59</v>
      </c>
      <c r="M353" t="s">
        <v>76</v>
      </c>
      <c r="N353" s="17"/>
      <c r="O353">
        <v>0</v>
      </c>
    </row>
    <row r="354" spans="1:15" x14ac:dyDescent="0.3">
      <c r="A354" t="s">
        <v>478</v>
      </c>
      <c r="B354" t="s">
        <v>66</v>
      </c>
      <c r="C354" t="s">
        <v>57</v>
      </c>
      <c r="D354" t="s">
        <v>39</v>
      </c>
      <c r="E354" t="s">
        <v>33</v>
      </c>
      <c r="F354">
        <v>37</v>
      </c>
      <c r="G354" t="s">
        <v>135</v>
      </c>
      <c r="H354" s="17">
        <v>41363</v>
      </c>
      <c r="I354">
        <v>69570</v>
      </c>
      <c r="J354">
        <v>69570</v>
      </c>
      <c r="K354">
        <v>0</v>
      </c>
      <c r="L354" t="s">
        <v>29</v>
      </c>
      <c r="M354" t="s">
        <v>49</v>
      </c>
      <c r="N354" s="17"/>
      <c r="O354">
        <v>0</v>
      </c>
    </row>
    <row r="355" spans="1:15" x14ac:dyDescent="0.3">
      <c r="A355" t="s">
        <v>479</v>
      </c>
      <c r="B355" t="s">
        <v>86</v>
      </c>
      <c r="C355" t="s">
        <v>26</v>
      </c>
      <c r="D355" t="s">
        <v>32</v>
      </c>
      <c r="E355" t="s">
        <v>28</v>
      </c>
      <c r="F355">
        <v>30</v>
      </c>
      <c r="G355" t="s">
        <v>127</v>
      </c>
      <c r="H355" s="17">
        <v>43553</v>
      </c>
      <c r="I355">
        <v>86774</v>
      </c>
      <c r="J355">
        <v>86774</v>
      </c>
      <c r="K355">
        <v>0</v>
      </c>
      <c r="L355" t="s">
        <v>34</v>
      </c>
      <c r="M355" t="s">
        <v>68</v>
      </c>
      <c r="N355" s="17"/>
      <c r="O355">
        <v>0</v>
      </c>
    </row>
    <row r="356" spans="1:15" x14ac:dyDescent="0.3">
      <c r="A356" t="s">
        <v>480</v>
      </c>
      <c r="B356" t="s">
        <v>70</v>
      </c>
      <c r="C356" t="s">
        <v>52</v>
      </c>
      <c r="D356" t="s">
        <v>32</v>
      </c>
      <c r="E356" t="s">
        <v>33</v>
      </c>
      <c r="F356">
        <v>49</v>
      </c>
      <c r="G356" t="s">
        <v>125</v>
      </c>
      <c r="H356" s="17">
        <v>36979</v>
      </c>
      <c r="I356">
        <v>57606</v>
      </c>
      <c r="J356">
        <v>57606</v>
      </c>
      <c r="K356">
        <v>0</v>
      </c>
      <c r="L356" t="s">
        <v>29</v>
      </c>
      <c r="M356" t="s">
        <v>49</v>
      </c>
      <c r="N356" s="17"/>
      <c r="O356">
        <v>0</v>
      </c>
    </row>
    <row r="357" spans="1:15" x14ac:dyDescent="0.3">
      <c r="A357" t="s">
        <v>481</v>
      </c>
      <c r="B357" t="s">
        <v>25</v>
      </c>
      <c r="C357" t="s">
        <v>38</v>
      </c>
      <c r="D357" t="s">
        <v>46</v>
      </c>
      <c r="E357" t="s">
        <v>28</v>
      </c>
      <c r="F357">
        <v>48</v>
      </c>
      <c r="G357" t="s">
        <v>125</v>
      </c>
      <c r="H357" s="17">
        <v>37144</v>
      </c>
      <c r="I357">
        <v>125730</v>
      </c>
      <c r="J357">
        <v>139560</v>
      </c>
      <c r="K357">
        <v>0.11</v>
      </c>
      <c r="L357" t="s">
        <v>34</v>
      </c>
      <c r="M357" t="s">
        <v>35</v>
      </c>
      <c r="N357" s="17"/>
      <c r="O357">
        <v>0</v>
      </c>
    </row>
    <row r="358" spans="1:15" x14ac:dyDescent="0.3">
      <c r="A358" t="s">
        <v>482</v>
      </c>
      <c r="B358" t="s">
        <v>82</v>
      </c>
      <c r="C358" t="s">
        <v>26</v>
      </c>
      <c r="D358" t="s">
        <v>27</v>
      </c>
      <c r="E358" t="s">
        <v>28</v>
      </c>
      <c r="F358">
        <v>51</v>
      </c>
      <c r="G358" t="s">
        <v>125</v>
      </c>
      <c r="H358" s="17">
        <v>40964</v>
      </c>
      <c r="I358">
        <v>64170</v>
      </c>
      <c r="J358">
        <v>64170</v>
      </c>
      <c r="K358">
        <v>0</v>
      </c>
      <c r="L358" t="s">
        <v>29</v>
      </c>
      <c r="M358" t="s">
        <v>58</v>
      </c>
      <c r="N358" s="17"/>
      <c r="O358">
        <v>0</v>
      </c>
    </row>
    <row r="359" spans="1:15" x14ac:dyDescent="0.3">
      <c r="A359" t="s">
        <v>483</v>
      </c>
      <c r="B359" t="s">
        <v>69</v>
      </c>
      <c r="C359" t="s">
        <v>52</v>
      </c>
      <c r="D359" t="s">
        <v>39</v>
      </c>
      <c r="E359" t="s">
        <v>33</v>
      </c>
      <c r="F359">
        <v>56</v>
      </c>
      <c r="G359" t="s">
        <v>122</v>
      </c>
      <c r="H359" s="17">
        <v>35816</v>
      </c>
      <c r="I359">
        <v>72303</v>
      </c>
      <c r="J359">
        <v>72303</v>
      </c>
      <c r="K359">
        <v>0</v>
      </c>
      <c r="L359" t="s">
        <v>29</v>
      </c>
      <c r="M359" t="s">
        <v>43</v>
      </c>
      <c r="N359" s="17"/>
      <c r="O359">
        <v>0</v>
      </c>
    </row>
    <row r="360" spans="1:15" x14ac:dyDescent="0.3">
      <c r="A360" t="s">
        <v>484</v>
      </c>
      <c r="B360" t="s">
        <v>47</v>
      </c>
      <c r="C360" t="s">
        <v>45</v>
      </c>
      <c r="D360" t="s">
        <v>27</v>
      </c>
      <c r="E360" t="s">
        <v>33</v>
      </c>
      <c r="F360">
        <v>36</v>
      </c>
      <c r="G360" t="s">
        <v>135</v>
      </c>
      <c r="H360" s="17">
        <v>41116</v>
      </c>
      <c r="I360">
        <v>105891</v>
      </c>
      <c r="J360">
        <v>113303</v>
      </c>
      <c r="K360">
        <v>7.0000000000000007E-2</v>
      </c>
      <c r="L360" t="s">
        <v>29</v>
      </c>
      <c r="M360" t="s">
        <v>30</v>
      </c>
      <c r="N360" s="17"/>
      <c r="O360">
        <v>0</v>
      </c>
    </row>
    <row r="361" spans="1:15" x14ac:dyDescent="0.3">
      <c r="A361" t="s">
        <v>485</v>
      </c>
      <c r="B361" t="s">
        <v>56</v>
      </c>
      <c r="C361" t="s">
        <v>57</v>
      </c>
      <c r="D361" t="s">
        <v>39</v>
      </c>
      <c r="E361" t="s">
        <v>33</v>
      </c>
      <c r="F361">
        <v>38</v>
      </c>
      <c r="G361" t="s">
        <v>135</v>
      </c>
      <c r="H361" s="17">
        <v>44433</v>
      </c>
      <c r="I361">
        <v>255230</v>
      </c>
      <c r="J361">
        <v>347113</v>
      </c>
      <c r="K361">
        <v>0.36</v>
      </c>
      <c r="L361" t="s">
        <v>29</v>
      </c>
      <c r="M361" t="s">
        <v>51</v>
      </c>
      <c r="N361" s="17"/>
      <c r="O361">
        <v>0</v>
      </c>
    </row>
    <row r="362" spans="1:15" x14ac:dyDescent="0.3">
      <c r="A362" t="s">
        <v>486</v>
      </c>
      <c r="B362" t="s">
        <v>66</v>
      </c>
      <c r="C362" t="s">
        <v>45</v>
      </c>
      <c r="D362" t="s">
        <v>32</v>
      </c>
      <c r="E362" t="s">
        <v>28</v>
      </c>
      <c r="F362">
        <v>56</v>
      </c>
      <c r="G362" t="s">
        <v>122</v>
      </c>
      <c r="H362" s="17">
        <v>33770</v>
      </c>
      <c r="I362">
        <v>59591</v>
      </c>
      <c r="J362">
        <v>59591</v>
      </c>
      <c r="K362">
        <v>0</v>
      </c>
      <c r="L362" t="s">
        <v>59</v>
      </c>
      <c r="M362" t="s">
        <v>76</v>
      </c>
      <c r="N362" s="17"/>
      <c r="O362">
        <v>0</v>
      </c>
    </row>
    <row r="363" spans="1:15" x14ac:dyDescent="0.3">
      <c r="A363" t="s">
        <v>487</v>
      </c>
      <c r="B363" t="s">
        <v>56</v>
      </c>
      <c r="C363" t="s">
        <v>52</v>
      </c>
      <c r="D363" t="s">
        <v>32</v>
      </c>
      <c r="E363" t="s">
        <v>28</v>
      </c>
      <c r="F363">
        <v>52</v>
      </c>
      <c r="G363" t="s">
        <v>125</v>
      </c>
      <c r="H363" s="17">
        <v>41113</v>
      </c>
      <c r="I363">
        <v>187048</v>
      </c>
      <c r="J363">
        <v>246903</v>
      </c>
      <c r="K363">
        <v>0.32</v>
      </c>
      <c r="L363" t="s">
        <v>34</v>
      </c>
      <c r="M363" t="s">
        <v>68</v>
      </c>
      <c r="N363" s="17"/>
      <c r="O363">
        <v>0</v>
      </c>
    </row>
    <row r="364" spans="1:15" x14ac:dyDescent="0.3">
      <c r="A364" t="s">
        <v>488</v>
      </c>
      <c r="B364" t="s">
        <v>66</v>
      </c>
      <c r="C364" t="s">
        <v>38</v>
      </c>
      <c r="D364" t="s">
        <v>39</v>
      </c>
      <c r="E364" t="s">
        <v>28</v>
      </c>
      <c r="F364">
        <v>53</v>
      </c>
      <c r="G364" t="s">
        <v>125</v>
      </c>
      <c r="H364" s="17">
        <v>37296</v>
      </c>
      <c r="I364">
        <v>58605</v>
      </c>
      <c r="J364">
        <v>58605</v>
      </c>
      <c r="K364">
        <v>0</v>
      </c>
      <c r="L364" t="s">
        <v>29</v>
      </c>
      <c r="M364" t="s">
        <v>43</v>
      </c>
      <c r="N364" s="17"/>
      <c r="O364">
        <v>0</v>
      </c>
    </row>
    <row r="365" spans="1:15" x14ac:dyDescent="0.3">
      <c r="A365" t="s">
        <v>489</v>
      </c>
      <c r="B365" t="s">
        <v>37</v>
      </c>
      <c r="C365" t="s">
        <v>54</v>
      </c>
      <c r="D365" t="s">
        <v>46</v>
      </c>
      <c r="E365" t="s">
        <v>28</v>
      </c>
      <c r="F365">
        <v>60</v>
      </c>
      <c r="G365" t="s">
        <v>122</v>
      </c>
      <c r="H365" s="17">
        <v>42739</v>
      </c>
      <c r="I365">
        <v>178502</v>
      </c>
      <c r="J365">
        <v>214202</v>
      </c>
      <c r="K365">
        <v>0.2</v>
      </c>
      <c r="L365" t="s">
        <v>29</v>
      </c>
      <c r="M365" t="s">
        <v>51</v>
      </c>
      <c r="N365" s="17"/>
      <c r="O365">
        <v>0</v>
      </c>
    </row>
    <row r="366" spans="1:15" x14ac:dyDescent="0.3">
      <c r="A366" t="s">
        <v>490</v>
      </c>
      <c r="B366" t="s">
        <v>47</v>
      </c>
      <c r="C366" t="s">
        <v>50</v>
      </c>
      <c r="D366" t="s">
        <v>39</v>
      </c>
      <c r="E366" t="s">
        <v>33</v>
      </c>
      <c r="F366">
        <v>63</v>
      </c>
      <c r="G366" t="s">
        <v>122</v>
      </c>
      <c r="H366" s="17">
        <v>42214</v>
      </c>
      <c r="I366">
        <v>103724</v>
      </c>
      <c r="J366">
        <v>108910</v>
      </c>
      <c r="K366">
        <v>0.05</v>
      </c>
      <c r="L366" t="s">
        <v>34</v>
      </c>
      <c r="M366" t="s">
        <v>55</v>
      </c>
      <c r="N366" s="17"/>
      <c r="O366">
        <v>0</v>
      </c>
    </row>
    <row r="367" spans="1:15" x14ac:dyDescent="0.3">
      <c r="A367" t="s">
        <v>491</v>
      </c>
      <c r="B367" t="s">
        <v>37</v>
      </c>
      <c r="C367" t="s">
        <v>54</v>
      </c>
      <c r="D367" t="s">
        <v>27</v>
      </c>
      <c r="E367" t="s">
        <v>28</v>
      </c>
      <c r="F367">
        <v>37</v>
      </c>
      <c r="G367" t="s">
        <v>135</v>
      </c>
      <c r="H367" s="17">
        <v>39528</v>
      </c>
      <c r="I367">
        <v>156277</v>
      </c>
      <c r="J367">
        <v>190658</v>
      </c>
      <c r="K367">
        <v>0.22</v>
      </c>
      <c r="L367" t="s">
        <v>59</v>
      </c>
      <c r="M367" t="s">
        <v>60</v>
      </c>
      <c r="N367" s="17"/>
      <c r="O367">
        <v>0</v>
      </c>
    </row>
    <row r="368" spans="1:15" x14ac:dyDescent="0.3">
      <c r="A368" t="s">
        <v>492</v>
      </c>
      <c r="B368" t="s">
        <v>71</v>
      </c>
      <c r="C368" t="s">
        <v>54</v>
      </c>
      <c r="D368" t="s">
        <v>27</v>
      </c>
      <c r="E368" t="s">
        <v>28</v>
      </c>
      <c r="F368">
        <v>30</v>
      </c>
      <c r="G368" t="s">
        <v>127</v>
      </c>
      <c r="H368" s="17">
        <v>43086</v>
      </c>
      <c r="I368">
        <v>87744</v>
      </c>
      <c r="J368">
        <v>87744</v>
      </c>
      <c r="K368">
        <v>0</v>
      </c>
      <c r="L368" t="s">
        <v>59</v>
      </c>
      <c r="M368" t="s">
        <v>76</v>
      </c>
      <c r="N368" s="17"/>
      <c r="O368">
        <v>0</v>
      </c>
    </row>
    <row r="369" spans="1:15" x14ac:dyDescent="0.3">
      <c r="A369" t="s">
        <v>493</v>
      </c>
      <c r="B369" t="s">
        <v>66</v>
      </c>
      <c r="C369" t="s">
        <v>38</v>
      </c>
      <c r="D369" t="s">
        <v>32</v>
      </c>
      <c r="E369" t="s">
        <v>33</v>
      </c>
      <c r="F369">
        <v>30</v>
      </c>
      <c r="G369" t="s">
        <v>127</v>
      </c>
      <c r="H369" s="17">
        <v>43542</v>
      </c>
      <c r="I369">
        <v>54714</v>
      </c>
      <c r="J369">
        <v>54714</v>
      </c>
      <c r="K369">
        <v>0</v>
      </c>
      <c r="L369" t="s">
        <v>29</v>
      </c>
      <c r="M369" t="s">
        <v>58</v>
      </c>
      <c r="N369" s="17"/>
      <c r="O369">
        <v>0</v>
      </c>
    </row>
    <row r="370" spans="1:15" x14ac:dyDescent="0.3">
      <c r="A370" t="s">
        <v>494</v>
      </c>
      <c r="B370" t="s">
        <v>67</v>
      </c>
      <c r="C370" t="s">
        <v>26</v>
      </c>
      <c r="D370" t="s">
        <v>46</v>
      </c>
      <c r="E370" t="s">
        <v>28</v>
      </c>
      <c r="F370">
        <v>45</v>
      </c>
      <c r="G370" t="s">
        <v>125</v>
      </c>
      <c r="H370" s="17">
        <v>41511</v>
      </c>
      <c r="I370">
        <v>99169</v>
      </c>
      <c r="J370">
        <v>99169</v>
      </c>
      <c r="K370">
        <v>0</v>
      </c>
      <c r="L370" t="s">
        <v>34</v>
      </c>
      <c r="M370" t="s">
        <v>64</v>
      </c>
      <c r="N370" s="17"/>
      <c r="O370">
        <v>0</v>
      </c>
    </row>
    <row r="371" spans="1:15" x14ac:dyDescent="0.3">
      <c r="A371" t="s">
        <v>495</v>
      </c>
      <c r="B371" t="s">
        <v>25</v>
      </c>
      <c r="C371" t="s">
        <v>50</v>
      </c>
      <c r="D371" t="s">
        <v>27</v>
      </c>
      <c r="E371" t="s">
        <v>28</v>
      </c>
      <c r="F371">
        <v>55</v>
      </c>
      <c r="G371" t="s">
        <v>122</v>
      </c>
      <c r="H371" s="17">
        <v>38888</v>
      </c>
      <c r="I371">
        <v>142628</v>
      </c>
      <c r="J371">
        <v>159743</v>
      </c>
      <c r="K371">
        <v>0.12</v>
      </c>
      <c r="L371" t="s">
        <v>34</v>
      </c>
      <c r="M371" t="s">
        <v>35</v>
      </c>
      <c r="N371" s="17"/>
      <c r="O371">
        <v>0</v>
      </c>
    </row>
    <row r="372" spans="1:15" x14ac:dyDescent="0.3">
      <c r="A372" t="s">
        <v>496</v>
      </c>
      <c r="B372" t="s">
        <v>42</v>
      </c>
      <c r="C372" t="s">
        <v>57</v>
      </c>
      <c r="D372" t="s">
        <v>32</v>
      </c>
      <c r="E372" t="s">
        <v>28</v>
      </c>
      <c r="F372">
        <v>33</v>
      </c>
      <c r="G372" t="s">
        <v>127</v>
      </c>
      <c r="H372" s="17">
        <v>41756</v>
      </c>
      <c r="I372">
        <v>75869</v>
      </c>
      <c r="J372">
        <v>75869</v>
      </c>
      <c r="K372">
        <v>0</v>
      </c>
      <c r="L372" t="s">
        <v>59</v>
      </c>
      <c r="M372" t="s">
        <v>76</v>
      </c>
      <c r="N372" s="17"/>
      <c r="O372">
        <v>0</v>
      </c>
    </row>
    <row r="373" spans="1:15" x14ac:dyDescent="0.3">
      <c r="A373" t="s">
        <v>497</v>
      </c>
      <c r="B373" t="s">
        <v>78</v>
      </c>
      <c r="C373" t="s">
        <v>26</v>
      </c>
      <c r="D373" t="s">
        <v>32</v>
      </c>
      <c r="E373" t="s">
        <v>28</v>
      </c>
      <c r="F373">
        <v>65</v>
      </c>
      <c r="G373" t="s">
        <v>142</v>
      </c>
      <c r="H373" s="17">
        <v>43234</v>
      </c>
      <c r="I373">
        <v>60985</v>
      </c>
      <c r="J373">
        <v>60985</v>
      </c>
      <c r="K373">
        <v>0</v>
      </c>
      <c r="L373" t="s">
        <v>29</v>
      </c>
      <c r="M373" t="s">
        <v>30</v>
      </c>
      <c r="N373" s="17"/>
      <c r="O373">
        <v>0</v>
      </c>
    </row>
    <row r="374" spans="1:15" x14ac:dyDescent="0.3">
      <c r="A374" t="s">
        <v>498</v>
      </c>
      <c r="B374" t="s">
        <v>25</v>
      </c>
      <c r="C374" t="s">
        <v>26</v>
      </c>
      <c r="D374" t="s">
        <v>27</v>
      </c>
      <c r="E374" t="s">
        <v>28</v>
      </c>
      <c r="F374">
        <v>60</v>
      </c>
      <c r="G374" t="s">
        <v>122</v>
      </c>
      <c r="H374" s="17">
        <v>40383</v>
      </c>
      <c r="I374">
        <v>126911</v>
      </c>
      <c r="J374">
        <v>139602</v>
      </c>
      <c r="K374">
        <v>0.1</v>
      </c>
      <c r="L374" t="s">
        <v>34</v>
      </c>
      <c r="M374" t="s">
        <v>55</v>
      </c>
      <c r="N374" s="17"/>
      <c r="O374">
        <v>0</v>
      </c>
    </row>
    <row r="375" spans="1:15" x14ac:dyDescent="0.3">
      <c r="A375" t="s">
        <v>499</v>
      </c>
      <c r="B375" t="s">
        <v>56</v>
      </c>
      <c r="C375" t="s">
        <v>45</v>
      </c>
      <c r="D375" t="s">
        <v>27</v>
      </c>
      <c r="E375" t="s">
        <v>33</v>
      </c>
      <c r="F375">
        <v>56</v>
      </c>
      <c r="G375" t="s">
        <v>122</v>
      </c>
      <c r="H375" s="17">
        <v>38042</v>
      </c>
      <c r="I375">
        <v>216949</v>
      </c>
      <c r="J375">
        <v>286373</v>
      </c>
      <c r="K375">
        <v>0.32</v>
      </c>
      <c r="L375" t="s">
        <v>34</v>
      </c>
      <c r="M375" t="s">
        <v>55</v>
      </c>
      <c r="N375" s="17"/>
      <c r="O375">
        <v>0</v>
      </c>
    </row>
    <row r="376" spans="1:15" x14ac:dyDescent="0.3">
      <c r="A376" t="s">
        <v>500</v>
      </c>
      <c r="B376" t="s">
        <v>37</v>
      </c>
      <c r="C376" t="s">
        <v>54</v>
      </c>
      <c r="D376" t="s">
        <v>32</v>
      </c>
      <c r="E376" t="s">
        <v>33</v>
      </c>
      <c r="F376">
        <v>53</v>
      </c>
      <c r="G376" t="s">
        <v>125</v>
      </c>
      <c r="H376" s="17">
        <v>41204</v>
      </c>
      <c r="I376">
        <v>168510</v>
      </c>
      <c r="J376">
        <v>217378</v>
      </c>
      <c r="K376">
        <v>0.28999999999999998</v>
      </c>
      <c r="L376" t="s">
        <v>29</v>
      </c>
      <c r="M376" t="s">
        <v>30</v>
      </c>
      <c r="N376" s="17"/>
      <c r="O376">
        <v>0</v>
      </c>
    </row>
    <row r="377" spans="1:15" x14ac:dyDescent="0.3">
      <c r="A377" t="s">
        <v>501</v>
      </c>
      <c r="B377" t="s">
        <v>71</v>
      </c>
      <c r="C377" t="s">
        <v>54</v>
      </c>
      <c r="D377" t="s">
        <v>39</v>
      </c>
      <c r="E377" t="s">
        <v>28</v>
      </c>
      <c r="F377">
        <v>36</v>
      </c>
      <c r="G377" t="s">
        <v>135</v>
      </c>
      <c r="H377" s="17">
        <v>42443</v>
      </c>
      <c r="I377">
        <v>85870</v>
      </c>
      <c r="J377">
        <v>85870</v>
      </c>
      <c r="K377">
        <v>0</v>
      </c>
      <c r="L377" t="s">
        <v>59</v>
      </c>
      <c r="M377" t="s">
        <v>76</v>
      </c>
      <c r="N377" s="17"/>
      <c r="O377">
        <v>0</v>
      </c>
    </row>
    <row r="378" spans="1:15" x14ac:dyDescent="0.3">
      <c r="A378" t="s">
        <v>502</v>
      </c>
      <c r="B378" t="s">
        <v>42</v>
      </c>
      <c r="C378" t="s">
        <v>57</v>
      </c>
      <c r="D378" t="s">
        <v>46</v>
      </c>
      <c r="E378" t="s">
        <v>28</v>
      </c>
      <c r="F378">
        <v>46</v>
      </c>
      <c r="G378" t="s">
        <v>125</v>
      </c>
      <c r="H378" s="17">
        <v>37271</v>
      </c>
      <c r="I378">
        <v>86510</v>
      </c>
      <c r="J378">
        <v>86510</v>
      </c>
      <c r="K378">
        <v>0</v>
      </c>
      <c r="L378" t="s">
        <v>34</v>
      </c>
      <c r="M378" t="s">
        <v>64</v>
      </c>
      <c r="N378" s="17">
        <v>37623</v>
      </c>
      <c r="O378">
        <v>1</v>
      </c>
    </row>
    <row r="379" spans="1:15" x14ac:dyDescent="0.3">
      <c r="A379" t="s">
        <v>503</v>
      </c>
      <c r="B379" t="s">
        <v>47</v>
      </c>
      <c r="C379" t="s">
        <v>45</v>
      </c>
      <c r="D379" t="s">
        <v>39</v>
      </c>
      <c r="E379" t="s">
        <v>28</v>
      </c>
      <c r="F379">
        <v>38</v>
      </c>
      <c r="G379" t="s">
        <v>135</v>
      </c>
      <c r="H379" s="17">
        <v>42999</v>
      </c>
      <c r="I379">
        <v>119647</v>
      </c>
      <c r="J379">
        <v>130415</v>
      </c>
      <c r="K379">
        <v>0.09</v>
      </c>
      <c r="L379" t="s">
        <v>59</v>
      </c>
      <c r="M379" t="s">
        <v>76</v>
      </c>
      <c r="N379" s="17"/>
      <c r="O379">
        <v>0</v>
      </c>
    </row>
    <row r="380" spans="1:15" x14ac:dyDescent="0.3">
      <c r="A380" t="s">
        <v>504</v>
      </c>
      <c r="B380" t="s">
        <v>67</v>
      </c>
      <c r="C380" t="s">
        <v>26</v>
      </c>
      <c r="D380" t="s">
        <v>27</v>
      </c>
      <c r="E380" t="s">
        <v>33</v>
      </c>
      <c r="F380">
        <v>62</v>
      </c>
      <c r="G380" t="s">
        <v>122</v>
      </c>
      <c r="H380" s="17">
        <v>36996</v>
      </c>
      <c r="I380">
        <v>80921</v>
      </c>
      <c r="J380">
        <v>80921</v>
      </c>
      <c r="K380">
        <v>0</v>
      </c>
      <c r="L380" t="s">
        <v>29</v>
      </c>
      <c r="M380" t="s">
        <v>58</v>
      </c>
      <c r="N380" s="17"/>
      <c r="O380">
        <v>0</v>
      </c>
    </row>
    <row r="381" spans="1:15" x14ac:dyDescent="0.3">
      <c r="A381" t="s">
        <v>505</v>
      </c>
      <c r="B381" t="s">
        <v>63</v>
      </c>
      <c r="C381" t="s">
        <v>54</v>
      </c>
      <c r="D381" t="s">
        <v>27</v>
      </c>
      <c r="E381" t="s">
        <v>28</v>
      </c>
      <c r="F381">
        <v>61</v>
      </c>
      <c r="G381" t="s">
        <v>122</v>
      </c>
      <c r="H381" s="17">
        <v>40193</v>
      </c>
      <c r="I381">
        <v>98110</v>
      </c>
      <c r="J381">
        <v>110864</v>
      </c>
      <c r="K381">
        <v>0.13</v>
      </c>
      <c r="L381" t="s">
        <v>29</v>
      </c>
      <c r="M381" t="s">
        <v>40</v>
      </c>
      <c r="N381" s="17"/>
      <c r="O381">
        <v>0</v>
      </c>
    </row>
    <row r="382" spans="1:15" x14ac:dyDescent="0.3">
      <c r="A382" t="s">
        <v>506</v>
      </c>
      <c r="B382" t="s">
        <v>78</v>
      </c>
      <c r="C382" t="s">
        <v>26</v>
      </c>
      <c r="D382" t="s">
        <v>39</v>
      </c>
      <c r="E382" t="s">
        <v>28</v>
      </c>
      <c r="F382">
        <v>59</v>
      </c>
      <c r="G382" t="s">
        <v>122</v>
      </c>
      <c r="H382" s="17">
        <v>43028</v>
      </c>
      <c r="I382">
        <v>86831</v>
      </c>
      <c r="J382">
        <v>86831</v>
      </c>
      <c r="K382">
        <v>0</v>
      </c>
      <c r="L382" t="s">
        <v>29</v>
      </c>
      <c r="M382" t="s">
        <v>43</v>
      </c>
      <c r="N382" s="17"/>
      <c r="O382">
        <v>0</v>
      </c>
    </row>
    <row r="383" spans="1:15" x14ac:dyDescent="0.3">
      <c r="A383" t="s">
        <v>507</v>
      </c>
      <c r="B383" t="s">
        <v>31</v>
      </c>
      <c r="C383" t="s">
        <v>26</v>
      </c>
      <c r="D383" t="s">
        <v>39</v>
      </c>
      <c r="E383" t="s">
        <v>28</v>
      </c>
      <c r="F383">
        <v>49</v>
      </c>
      <c r="G383" t="s">
        <v>125</v>
      </c>
      <c r="H383" s="17">
        <v>40431</v>
      </c>
      <c r="I383">
        <v>72826</v>
      </c>
      <c r="J383">
        <v>72826</v>
      </c>
      <c r="K383">
        <v>0</v>
      </c>
      <c r="L383" t="s">
        <v>34</v>
      </c>
      <c r="M383" t="s">
        <v>64</v>
      </c>
      <c r="N383" s="17"/>
      <c r="O383">
        <v>0</v>
      </c>
    </row>
    <row r="384" spans="1:15" x14ac:dyDescent="0.3">
      <c r="A384" t="s">
        <v>508</v>
      </c>
      <c r="B384" t="s">
        <v>37</v>
      </c>
      <c r="C384" t="s">
        <v>57</v>
      </c>
      <c r="D384" t="s">
        <v>32</v>
      </c>
      <c r="E384" t="s">
        <v>28</v>
      </c>
      <c r="F384">
        <v>64</v>
      </c>
      <c r="G384" t="s">
        <v>122</v>
      </c>
      <c r="H384" s="17">
        <v>40588</v>
      </c>
      <c r="I384">
        <v>171217</v>
      </c>
      <c r="J384">
        <v>203748</v>
      </c>
      <c r="K384">
        <v>0.19</v>
      </c>
      <c r="L384" t="s">
        <v>29</v>
      </c>
      <c r="M384" t="s">
        <v>30</v>
      </c>
      <c r="N384" s="17"/>
      <c r="O384">
        <v>0</v>
      </c>
    </row>
    <row r="385" spans="1:15" x14ac:dyDescent="0.3">
      <c r="A385" t="s">
        <v>509</v>
      </c>
      <c r="B385" t="s">
        <v>47</v>
      </c>
      <c r="C385" t="s">
        <v>26</v>
      </c>
      <c r="D385" t="s">
        <v>27</v>
      </c>
      <c r="E385" t="s">
        <v>28</v>
      </c>
      <c r="F385">
        <v>57</v>
      </c>
      <c r="G385" t="s">
        <v>122</v>
      </c>
      <c r="H385" s="17">
        <v>43948</v>
      </c>
      <c r="I385">
        <v>103058</v>
      </c>
      <c r="J385">
        <v>110272</v>
      </c>
      <c r="K385">
        <v>7.0000000000000007E-2</v>
      </c>
      <c r="L385" t="s">
        <v>29</v>
      </c>
      <c r="M385" t="s">
        <v>58</v>
      </c>
      <c r="N385" s="17"/>
      <c r="O385">
        <v>0</v>
      </c>
    </row>
    <row r="386" spans="1:15" x14ac:dyDescent="0.3">
      <c r="A386" t="s">
        <v>510</v>
      </c>
      <c r="B386" t="s">
        <v>47</v>
      </c>
      <c r="C386" t="s">
        <v>45</v>
      </c>
      <c r="D386" t="s">
        <v>39</v>
      </c>
      <c r="E386" t="s">
        <v>33</v>
      </c>
      <c r="F386">
        <v>52</v>
      </c>
      <c r="G386" t="s">
        <v>125</v>
      </c>
      <c r="H386" s="17">
        <v>41858</v>
      </c>
      <c r="I386">
        <v>117062</v>
      </c>
      <c r="J386">
        <v>125256</v>
      </c>
      <c r="K386">
        <v>7.0000000000000007E-2</v>
      </c>
      <c r="L386" t="s">
        <v>29</v>
      </c>
      <c r="M386" t="s">
        <v>43</v>
      </c>
      <c r="N386" s="17"/>
      <c r="O386">
        <v>0</v>
      </c>
    </row>
    <row r="387" spans="1:15" x14ac:dyDescent="0.3">
      <c r="A387" t="s">
        <v>511</v>
      </c>
      <c r="B387" t="s">
        <v>25</v>
      </c>
      <c r="C387" t="s">
        <v>50</v>
      </c>
      <c r="D387" t="s">
        <v>39</v>
      </c>
      <c r="E387" t="s">
        <v>33</v>
      </c>
      <c r="F387">
        <v>40</v>
      </c>
      <c r="G387" t="s">
        <v>135</v>
      </c>
      <c r="H387" s="17">
        <v>43488</v>
      </c>
      <c r="I387">
        <v>159031</v>
      </c>
      <c r="J387">
        <v>174934</v>
      </c>
      <c r="K387">
        <v>0.1</v>
      </c>
      <c r="L387" t="s">
        <v>29</v>
      </c>
      <c r="M387" t="s">
        <v>49</v>
      </c>
      <c r="N387" s="17"/>
      <c r="O387">
        <v>0</v>
      </c>
    </row>
    <row r="388" spans="1:15" x14ac:dyDescent="0.3">
      <c r="A388" t="s">
        <v>512</v>
      </c>
      <c r="B388" t="s">
        <v>25</v>
      </c>
      <c r="C388" t="s">
        <v>26</v>
      </c>
      <c r="D388" t="s">
        <v>27</v>
      </c>
      <c r="E388" t="s">
        <v>28</v>
      </c>
      <c r="F388">
        <v>49</v>
      </c>
      <c r="G388" t="s">
        <v>125</v>
      </c>
      <c r="H388" s="17">
        <v>38000</v>
      </c>
      <c r="I388">
        <v>125086</v>
      </c>
      <c r="J388">
        <v>137595</v>
      </c>
      <c r="K388">
        <v>0.1</v>
      </c>
      <c r="L388" t="s">
        <v>59</v>
      </c>
      <c r="M388" t="s">
        <v>76</v>
      </c>
      <c r="N388" s="17"/>
      <c r="O388">
        <v>0</v>
      </c>
    </row>
    <row r="389" spans="1:15" x14ac:dyDescent="0.3">
      <c r="A389" t="s">
        <v>513</v>
      </c>
      <c r="B389" t="s">
        <v>82</v>
      </c>
      <c r="C389" t="s">
        <v>26</v>
      </c>
      <c r="D389" t="s">
        <v>39</v>
      </c>
      <c r="E389" t="s">
        <v>33</v>
      </c>
      <c r="F389">
        <v>43</v>
      </c>
      <c r="G389" t="s">
        <v>135</v>
      </c>
      <c r="H389" s="17">
        <v>42467</v>
      </c>
      <c r="I389">
        <v>67976</v>
      </c>
      <c r="J389">
        <v>67976</v>
      </c>
      <c r="K389">
        <v>0</v>
      </c>
      <c r="L389" t="s">
        <v>29</v>
      </c>
      <c r="M389" t="s">
        <v>30</v>
      </c>
      <c r="N389" s="17"/>
      <c r="O389">
        <v>0</v>
      </c>
    </row>
    <row r="390" spans="1:15" x14ac:dyDescent="0.3">
      <c r="A390" t="s">
        <v>514</v>
      </c>
      <c r="B390" t="s">
        <v>66</v>
      </c>
      <c r="C390" t="s">
        <v>38</v>
      </c>
      <c r="D390" t="s">
        <v>39</v>
      </c>
      <c r="E390" t="s">
        <v>33</v>
      </c>
      <c r="F390">
        <v>31</v>
      </c>
      <c r="G390" t="s">
        <v>127</v>
      </c>
      <c r="H390" s="17">
        <v>44308</v>
      </c>
      <c r="I390">
        <v>74215</v>
      </c>
      <c r="J390">
        <v>74215</v>
      </c>
      <c r="K390">
        <v>0</v>
      </c>
      <c r="L390" t="s">
        <v>29</v>
      </c>
      <c r="M390" t="s">
        <v>43</v>
      </c>
      <c r="N390" s="17"/>
      <c r="O390">
        <v>0</v>
      </c>
    </row>
    <row r="391" spans="1:15" x14ac:dyDescent="0.3">
      <c r="A391" t="s">
        <v>515</v>
      </c>
      <c r="B391" t="s">
        <v>37</v>
      </c>
      <c r="C391" t="s">
        <v>50</v>
      </c>
      <c r="D391" t="s">
        <v>32</v>
      </c>
      <c r="E391" t="s">
        <v>33</v>
      </c>
      <c r="F391">
        <v>55</v>
      </c>
      <c r="G391" t="s">
        <v>122</v>
      </c>
      <c r="H391" s="17">
        <v>40340</v>
      </c>
      <c r="I391">
        <v>187389</v>
      </c>
      <c r="J391">
        <v>234236</v>
      </c>
      <c r="K391">
        <v>0.25</v>
      </c>
      <c r="L391" t="s">
        <v>34</v>
      </c>
      <c r="M391" t="s">
        <v>68</v>
      </c>
      <c r="N391" s="17"/>
      <c r="O391">
        <v>0</v>
      </c>
    </row>
    <row r="392" spans="1:15" x14ac:dyDescent="0.3">
      <c r="A392" t="s">
        <v>516</v>
      </c>
      <c r="B392" t="s">
        <v>25</v>
      </c>
      <c r="C392" t="s">
        <v>52</v>
      </c>
      <c r="D392" t="s">
        <v>39</v>
      </c>
      <c r="E392" t="s">
        <v>28</v>
      </c>
      <c r="F392">
        <v>41</v>
      </c>
      <c r="G392" t="s">
        <v>135</v>
      </c>
      <c r="H392" s="17">
        <v>39747</v>
      </c>
      <c r="I392">
        <v>131841</v>
      </c>
      <c r="J392">
        <v>148980</v>
      </c>
      <c r="K392">
        <v>0.13</v>
      </c>
      <c r="L392" t="s">
        <v>29</v>
      </c>
      <c r="M392" t="s">
        <v>58</v>
      </c>
      <c r="N392" s="17"/>
      <c r="O392">
        <v>0</v>
      </c>
    </row>
    <row r="393" spans="1:15" x14ac:dyDescent="0.3">
      <c r="A393" t="s">
        <v>517</v>
      </c>
      <c r="B393" t="s">
        <v>42</v>
      </c>
      <c r="C393" t="s">
        <v>50</v>
      </c>
      <c r="D393" t="s">
        <v>27</v>
      </c>
      <c r="E393" t="s">
        <v>33</v>
      </c>
      <c r="F393">
        <v>34</v>
      </c>
      <c r="G393" t="s">
        <v>127</v>
      </c>
      <c r="H393" s="17">
        <v>40750</v>
      </c>
      <c r="I393">
        <v>97231</v>
      </c>
      <c r="J393">
        <v>97231</v>
      </c>
      <c r="K393">
        <v>0</v>
      </c>
      <c r="L393" t="s">
        <v>34</v>
      </c>
      <c r="M393" t="s">
        <v>64</v>
      </c>
      <c r="N393" s="17"/>
      <c r="O393">
        <v>0</v>
      </c>
    </row>
    <row r="394" spans="1:15" x14ac:dyDescent="0.3">
      <c r="A394" t="s">
        <v>518</v>
      </c>
      <c r="B394" t="s">
        <v>25</v>
      </c>
      <c r="C394" t="s">
        <v>38</v>
      </c>
      <c r="D394" t="s">
        <v>46</v>
      </c>
      <c r="E394" t="s">
        <v>28</v>
      </c>
      <c r="F394">
        <v>41</v>
      </c>
      <c r="G394" t="s">
        <v>135</v>
      </c>
      <c r="H394" s="17">
        <v>38060</v>
      </c>
      <c r="I394">
        <v>155004</v>
      </c>
      <c r="J394">
        <v>173604</v>
      </c>
      <c r="K394">
        <v>0.12</v>
      </c>
      <c r="L394" t="s">
        <v>29</v>
      </c>
      <c r="M394" t="s">
        <v>51</v>
      </c>
      <c r="N394" s="17"/>
      <c r="O394">
        <v>0</v>
      </c>
    </row>
    <row r="395" spans="1:15" x14ac:dyDescent="0.3">
      <c r="A395" t="s">
        <v>519</v>
      </c>
      <c r="B395" t="s">
        <v>83</v>
      </c>
      <c r="C395" t="s">
        <v>26</v>
      </c>
      <c r="D395" t="s">
        <v>32</v>
      </c>
      <c r="E395" t="s">
        <v>33</v>
      </c>
      <c r="F395">
        <v>40</v>
      </c>
      <c r="G395" t="s">
        <v>135</v>
      </c>
      <c r="H395" s="17">
        <v>39293</v>
      </c>
      <c r="I395">
        <v>41859</v>
      </c>
      <c r="J395">
        <v>41859</v>
      </c>
      <c r="K395">
        <v>0</v>
      </c>
      <c r="L395" t="s">
        <v>29</v>
      </c>
      <c r="M395" t="s">
        <v>30</v>
      </c>
      <c r="N395" s="17"/>
      <c r="O395">
        <v>0</v>
      </c>
    </row>
    <row r="396" spans="1:15" x14ac:dyDescent="0.3">
      <c r="A396" t="s">
        <v>520</v>
      </c>
      <c r="B396" t="s">
        <v>65</v>
      </c>
      <c r="C396" t="s">
        <v>26</v>
      </c>
      <c r="D396" t="s">
        <v>32</v>
      </c>
      <c r="E396" t="s">
        <v>33</v>
      </c>
      <c r="F396">
        <v>42</v>
      </c>
      <c r="G396" t="s">
        <v>135</v>
      </c>
      <c r="H396" s="17">
        <v>38984</v>
      </c>
      <c r="I396">
        <v>52733</v>
      </c>
      <c r="J396">
        <v>52733</v>
      </c>
      <c r="K396">
        <v>0</v>
      </c>
      <c r="L396" t="s">
        <v>29</v>
      </c>
      <c r="M396" t="s">
        <v>40</v>
      </c>
      <c r="N396" s="17"/>
      <c r="O396">
        <v>0</v>
      </c>
    </row>
    <row r="397" spans="1:15" x14ac:dyDescent="0.3">
      <c r="A397" t="s">
        <v>521</v>
      </c>
      <c r="B397" t="s">
        <v>56</v>
      </c>
      <c r="C397" t="s">
        <v>52</v>
      </c>
      <c r="D397" t="s">
        <v>46</v>
      </c>
      <c r="E397" t="s">
        <v>33</v>
      </c>
      <c r="F397">
        <v>31</v>
      </c>
      <c r="G397" t="s">
        <v>127</v>
      </c>
      <c r="H397" s="17">
        <v>42250</v>
      </c>
      <c r="I397">
        <v>250953</v>
      </c>
      <c r="J397">
        <v>336277</v>
      </c>
      <c r="K397">
        <v>0.34</v>
      </c>
      <c r="L397" t="s">
        <v>29</v>
      </c>
      <c r="M397" t="s">
        <v>58</v>
      </c>
      <c r="N397" s="17"/>
      <c r="O397">
        <v>0</v>
      </c>
    </row>
    <row r="398" spans="1:15" x14ac:dyDescent="0.3">
      <c r="A398" t="s">
        <v>522</v>
      </c>
      <c r="B398" t="s">
        <v>37</v>
      </c>
      <c r="C398" t="s">
        <v>57</v>
      </c>
      <c r="D398" t="s">
        <v>27</v>
      </c>
      <c r="E398" t="s">
        <v>33</v>
      </c>
      <c r="F398">
        <v>49</v>
      </c>
      <c r="G398" t="s">
        <v>125</v>
      </c>
      <c r="H398" s="17">
        <v>36210</v>
      </c>
      <c r="I398">
        <v>191807</v>
      </c>
      <c r="J398">
        <v>232086</v>
      </c>
      <c r="K398">
        <v>0.21</v>
      </c>
      <c r="L398" t="s">
        <v>34</v>
      </c>
      <c r="M398" t="s">
        <v>35</v>
      </c>
      <c r="N398" s="17"/>
      <c r="O398">
        <v>0</v>
      </c>
    </row>
    <row r="399" spans="1:15" x14ac:dyDescent="0.3">
      <c r="A399" t="s">
        <v>523</v>
      </c>
      <c r="B399" t="s">
        <v>31</v>
      </c>
      <c r="C399" t="s">
        <v>26</v>
      </c>
      <c r="D399" t="s">
        <v>39</v>
      </c>
      <c r="E399" t="s">
        <v>33</v>
      </c>
      <c r="F399">
        <v>42</v>
      </c>
      <c r="G399" t="s">
        <v>135</v>
      </c>
      <c r="H399" s="17">
        <v>41813</v>
      </c>
      <c r="I399">
        <v>64677</v>
      </c>
      <c r="J399">
        <v>64677</v>
      </c>
      <c r="K399">
        <v>0</v>
      </c>
      <c r="L399" t="s">
        <v>34</v>
      </c>
      <c r="M399" t="s">
        <v>35</v>
      </c>
      <c r="N399" s="17"/>
      <c r="O399">
        <v>0</v>
      </c>
    </row>
    <row r="400" spans="1:15" x14ac:dyDescent="0.3">
      <c r="A400" t="s">
        <v>524</v>
      </c>
      <c r="B400" t="s">
        <v>25</v>
      </c>
      <c r="C400" t="s">
        <v>26</v>
      </c>
      <c r="D400" t="s">
        <v>46</v>
      </c>
      <c r="E400" t="s">
        <v>33</v>
      </c>
      <c r="F400">
        <v>46</v>
      </c>
      <c r="G400" t="s">
        <v>125</v>
      </c>
      <c r="H400" s="17">
        <v>38244</v>
      </c>
      <c r="I400">
        <v>130274</v>
      </c>
      <c r="J400">
        <v>144604</v>
      </c>
      <c r="K400">
        <v>0.11</v>
      </c>
      <c r="L400" t="s">
        <v>29</v>
      </c>
      <c r="M400" t="s">
        <v>40</v>
      </c>
      <c r="N400" s="17"/>
      <c r="O400">
        <v>0</v>
      </c>
    </row>
    <row r="401" spans="1:15" x14ac:dyDescent="0.3">
      <c r="A401" t="s">
        <v>525</v>
      </c>
      <c r="B401" t="s">
        <v>78</v>
      </c>
      <c r="C401" t="s">
        <v>26</v>
      </c>
      <c r="D401" t="s">
        <v>27</v>
      </c>
      <c r="E401" t="s">
        <v>33</v>
      </c>
      <c r="F401">
        <v>37</v>
      </c>
      <c r="G401" t="s">
        <v>135</v>
      </c>
      <c r="H401" s="17">
        <v>42922</v>
      </c>
      <c r="I401">
        <v>96331</v>
      </c>
      <c r="J401">
        <v>96331</v>
      </c>
      <c r="K401">
        <v>0</v>
      </c>
      <c r="L401" t="s">
        <v>34</v>
      </c>
      <c r="M401" t="s">
        <v>55</v>
      </c>
      <c r="N401" s="17"/>
      <c r="O401">
        <v>0</v>
      </c>
    </row>
    <row r="402" spans="1:15" x14ac:dyDescent="0.3">
      <c r="A402" t="s">
        <v>526</v>
      </c>
      <c r="B402" t="s">
        <v>25</v>
      </c>
      <c r="C402" t="s">
        <v>38</v>
      </c>
      <c r="D402" t="s">
        <v>27</v>
      </c>
      <c r="E402" t="s">
        <v>28</v>
      </c>
      <c r="F402">
        <v>51</v>
      </c>
      <c r="G402" t="s">
        <v>125</v>
      </c>
      <c r="H402" s="17">
        <v>38835</v>
      </c>
      <c r="I402">
        <v>150758</v>
      </c>
      <c r="J402">
        <v>170357</v>
      </c>
      <c r="K402">
        <v>0.13</v>
      </c>
      <c r="L402" t="s">
        <v>29</v>
      </c>
      <c r="M402" t="s">
        <v>40</v>
      </c>
      <c r="N402" s="17">
        <v>39310</v>
      </c>
      <c r="O402">
        <v>1</v>
      </c>
    </row>
    <row r="403" spans="1:15" x14ac:dyDescent="0.3">
      <c r="A403" t="s">
        <v>527</v>
      </c>
      <c r="B403" t="s">
        <v>37</v>
      </c>
      <c r="C403" t="s">
        <v>54</v>
      </c>
      <c r="D403" t="s">
        <v>46</v>
      </c>
      <c r="E403" t="s">
        <v>33</v>
      </c>
      <c r="F403">
        <v>46</v>
      </c>
      <c r="G403" t="s">
        <v>125</v>
      </c>
      <c r="H403" s="17">
        <v>41839</v>
      </c>
      <c r="I403">
        <v>173629</v>
      </c>
      <c r="J403">
        <v>210091</v>
      </c>
      <c r="K403">
        <v>0.21</v>
      </c>
      <c r="L403" t="s">
        <v>59</v>
      </c>
      <c r="M403" t="s">
        <v>76</v>
      </c>
      <c r="N403" s="17"/>
      <c r="O403">
        <v>0</v>
      </c>
    </row>
    <row r="404" spans="1:15" x14ac:dyDescent="0.3">
      <c r="A404" t="s">
        <v>528</v>
      </c>
      <c r="B404" t="s">
        <v>84</v>
      </c>
      <c r="C404" t="s">
        <v>26</v>
      </c>
      <c r="D404" t="s">
        <v>46</v>
      </c>
      <c r="E404" t="s">
        <v>33</v>
      </c>
      <c r="F404">
        <v>55</v>
      </c>
      <c r="G404" t="s">
        <v>122</v>
      </c>
      <c r="H404" s="17">
        <v>35919</v>
      </c>
      <c r="I404">
        <v>62174</v>
      </c>
      <c r="J404">
        <v>62174</v>
      </c>
      <c r="K404">
        <v>0</v>
      </c>
      <c r="L404" t="s">
        <v>29</v>
      </c>
      <c r="M404" t="s">
        <v>40</v>
      </c>
      <c r="N404" s="17"/>
      <c r="O404">
        <v>0</v>
      </c>
    </row>
    <row r="405" spans="1:15" x14ac:dyDescent="0.3">
      <c r="A405" t="s">
        <v>529</v>
      </c>
      <c r="B405" t="s">
        <v>66</v>
      </c>
      <c r="C405" t="s">
        <v>50</v>
      </c>
      <c r="D405" t="s">
        <v>32</v>
      </c>
      <c r="E405" t="s">
        <v>33</v>
      </c>
      <c r="F405">
        <v>43</v>
      </c>
      <c r="G405" t="s">
        <v>135</v>
      </c>
      <c r="H405" s="17">
        <v>43028</v>
      </c>
      <c r="I405">
        <v>56555</v>
      </c>
      <c r="J405">
        <v>56555</v>
      </c>
      <c r="K405">
        <v>0</v>
      </c>
      <c r="L405" t="s">
        <v>29</v>
      </c>
      <c r="M405" t="s">
        <v>43</v>
      </c>
      <c r="N405" s="17"/>
      <c r="O405">
        <v>0</v>
      </c>
    </row>
    <row r="406" spans="1:15" x14ac:dyDescent="0.3">
      <c r="A406" t="s">
        <v>530</v>
      </c>
      <c r="B406" t="s">
        <v>66</v>
      </c>
      <c r="C406" t="s">
        <v>57</v>
      </c>
      <c r="D406" t="s">
        <v>32</v>
      </c>
      <c r="E406" t="s">
        <v>33</v>
      </c>
      <c r="F406">
        <v>48</v>
      </c>
      <c r="G406" t="s">
        <v>125</v>
      </c>
      <c r="H406" s="17">
        <v>38623</v>
      </c>
      <c r="I406">
        <v>74655</v>
      </c>
      <c r="J406">
        <v>74655</v>
      </c>
      <c r="K406">
        <v>0</v>
      </c>
      <c r="L406" t="s">
        <v>29</v>
      </c>
      <c r="M406" t="s">
        <v>51</v>
      </c>
      <c r="N406" s="17"/>
      <c r="O406">
        <v>0</v>
      </c>
    </row>
    <row r="407" spans="1:15" x14ac:dyDescent="0.3">
      <c r="A407" t="s">
        <v>531</v>
      </c>
      <c r="B407" t="s">
        <v>82</v>
      </c>
      <c r="C407" t="s">
        <v>26</v>
      </c>
      <c r="D407" t="s">
        <v>46</v>
      </c>
      <c r="E407" t="s">
        <v>33</v>
      </c>
      <c r="F407">
        <v>48</v>
      </c>
      <c r="G407" t="s">
        <v>125</v>
      </c>
      <c r="H407" s="17">
        <v>37844</v>
      </c>
      <c r="I407">
        <v>93017</v>
      </c>
      <c r="J407">
        <v>93017</v>
      </c>
      <c r="K407">
        <v>0</v>
      </c>
      <c r="L407" t="s">
        <v>29</v>
      </c>
      <c r="M407" t="s">
        <v>30</v>
      </c>
      <c r="N407" s="17"/>
      <c r="O407">
        <v>0</v>
      </c>
    </row>
    <row r="408" spans="1:15" x14ac:dyDescent="0.3">
      <c r="A408" t="s">
        <v>532</v>
      </c>
      <c r="B408" t="s">
        <v>42</v>
      </c>
      <c r="C408" t="s">
        <v>57</v>
      </c>
      <c r="D408" t="s">
        <v>32</v>
      </c>
      <c r="E408" t="s">
        <v>33</v>
      </c>
      <c r="F408">
        <v>51</v>
      </c>
      <c r="G408" t="s">
        <v>125</v>
      </c>
      <c r="H408" s="17">
        <v>41013</v>
      </c>
      <c r="I408">
        <v>82300</v>
      </c>
      <c r="J408">
        <v>82300</v>
      </c>
      <c r="K408">
        <v>0</v>
      </c>
      <c r="L408" t="s">
        <v>34</v>
      </c>
      <c r="M408" t="s">
        <v>68</v>
      </c>
      <c r="N408" s="17"/>
      <c r="O408">
        <v>0</v>
      </c>
    </row>
    <row r="409" spans="1:15" x14ac:dyDescent="0.3">
      <c r="A409" t="s">
        <v>533</v>
      </c>
      <c r="B409" t="s">
        <v>72</v>
      </c>
      <c r="C409" t="s">
        <v>54</v>
      </c>
      <c r="D409" t="s">
        <v>27</v>
      </c>
      <c r="E409" t="s">
        <v>28</v>
      </c>
      <c r="F409">
        <v>46</v>
      </c>
      <c r="G409" t="s">
        <v>125</v>
      </c>
      <c r="H409" s="17">
        <v>39471</v>
      </c>
      <c r="I409">
        <v>91621</v>
      </c>
      <c r="J409">
        <v>91621</v>
      </c>
      <c r="K409">
        <v>0</v>
      </c>
      <c r="L409" t="s">
        <v>29</v>
      </c>
      <c r="M409" t="s">
        <v>40</v>
      </c>
      <c r="N409" s="17"/>
      <c r="O409">
        <v>0</v>
      </c>
    </row>
    <row r="410" spans="1:15" x14ac:dyDescent="0.3">
      <c r="A410" t="s">
        <v>534</v>
      </c>
      <c r="B410" t="s">
        <v>42</v>
      </c>
      <c r="C410" t="s">
        <v>57</v>
      </c>
      <c r="D410" t="s">
        <v>27</v>
      </c>
      <c r="E410" t="s">
        <v>33</v>
      </c>
      <c r="F410">
        <v>33</v>
      </c>
      <c r="G410" t="s">
        <v>127</v>
      </c>
      <c r="H410" s="17">
        <v>41973</v>
      </c>
      <c r="I410">
        <v>91280</v>
      </c>
      <c r="J410">
        <v>91280</v>
      </c>
      <c r="K410">
        <v>0</v>
      </c>
      <c r="L410" t="s">
        <v>29</v>
      </c>
      <c r="M410" t="s">
        <v>49</v>
      </c>
      <c r="N410" s="17"/>
      <c r="O410">
        <v>0</v>
      </c>
    </row>
    <row r="411" spans="1:15" x14ac:dyDescent="0.3">
      <c r="A411" t="s">
        <v>535</v>
      </c>
      <c r="B411" t="s">
        <v>74</v>
      </c>
      <c r="C411" t="s">
        <v>52</v>
      </c>
      <c r="D411" t="s">
        <v>32</v>
      </c>
      <c r="E411" t="s">
        <v>28</v>
      </c>
      <c r="F411">
        <v>42</v>
      </c>
      <c r="G411" t="s">
        <v>135</v>
      </c>
      <c r="H411" s="17">
        <v>44092</v>
      </c>
      <c r="I411">
        <v>47071</v>
      </c>
      <c r="J411">
        <v>47071</v>
      </c>
      <c r="K411">
        <v>0</v>
      </c>
      <c r="L411" t="s">
        <v>29</v>
      </c>
      <c r="M411" t="s">
        <v>58</v>
      </c>
      <c r="N411" s="17"/>
      <c r="O411">
        <v>0</v>
      </c>
    </row>
    <row r="412" spans="1:15" x14ac:dyDescent="0.3">
      <c r="A412" t="s">
        <v>536</v>
      </c>
      <c r="B412" t="s">
        <v>85</v>
      </c>
      <c r="C412" t="s">
        <v>26</v>
      </c>
      <c r="D412" t="s">
        <v>32</v>
      </c>
      <c r="E412" t="s">
        <v>28</v>
      </c>
      <c r="F412">
        <v>55</v>
      </c>
      <c r="G412" t="s">
        <v>122</v>
      </c>
      <c r="H412" s="17">
        <v>40868</v>
      </c>
      <c r="I412">
        <v>81218</v>
      </c>
      <c r="J412">
        <v>81218</v>
      </c>
      <c r="K412">
        <v>0</v>
      </c>
      <c r="L412" t="s">
        <v>29</v>
      </c>
      <c r="M412" t="s">
        <v>40</v>
      </c>
      <c r="N412" s="17"/>
      <c r="O412">
        <v>0</v>
      </c>
    </row>
    <row r="413" spans="1:15" x14ac:dyDescent="0.3">
      <c r="A413" t="s">
        <v>537</v>
      </c>
      <c r="B413" t="s">
        <v>56</v>
      </c>
      <c r="C413" t="s">
        <v>54</v>
      </c>
      <c r="D413" t="s">
        <v>32</v>
      </c>
      <c r="E413" t="s">
        <v>28</v>
      </c>
      <c r="F413">
        <v>50</v>
      </c>
      <c r="G413" t="s">
        <v>125</v>
      </c>
      <c r="H413" s="17">
        <v>39734</v>
      </c>
      <c r="I413">
        <v>181801</v>
      </c>
      <c r="J413">
        <v>254521</v>
      </c>
      <c r="K413">
        <v>0.4</v>
      </c>
      <c r="L413" t="s">
        <v>34</v>
      </c>
      <c r="M413" t="s">
        <v>35</v>
      </c>
      <c r="N413" s="17">
        <v>43810</v>
      </c>
      <c r="O413">
        <v>1</v>
      </c>
    </row>
    <row r="414" spans="1:15" x14ac:dyDescent="0.3">
      <c r="A414" t="s">
        <v>538</v>
      </c>
      <c r="B414" t="s">
        <v>44</v>
      </c>
      <c r="C414" t="s">
        <v>45</v>
      </c>
      <c r="D414" t="s">
        <v>32</v>
      </c>
      <c r="E414" t="s">
        <v>28</v>
      </c>
      <c r="F414">
        <v>26</v>
      </c>
      <c r="G414" t="s">
        <v>127</v>
      </c>
      <c r="H414" s="17">
        <v>44521</v>
      </c>
      <c r="I414">
        <v>63137</v>
      </c>
      <c r="J414">
        <v>63137</v>
      </c>
      <c r="K414">
        <v>0</v>
      </c>
      <c r="L414" t="s">
        <v>29</v>
      </c>
      <c r="M414" t="s">
        <v>40</v>
      </c>
      <c r="N414" s="17"/>
      <c r="O414">
        <v>0</v>
      </c>
    </row>
    <row r="415" spans="1:15" x14ac:dyDescent="0.3">
      <c r="A415" t="s">
        <v>539</v>
      </c>
      <c r="B415" t="s">
        <v>56</v>
      </c>
      <c r="C415" t="s">
        <v>54</v>
      </c>
      <c r="D415" t="s">
        <v>32</v>
      </c>
      <c r="E415" t="s">
        <v>28</v>
      </c>
      <c r="F415">
        <v>55</v>
      </c>
      <c r="G415" t="s">
        <v>122</v>
      </c>
      <c r="H415" s="17">
        <v>43345</v>
      </c>
      <c r="I415">
        <v>221465</v>
      </c>
      <c r="J415">
        <v>296763</v>
      </c>
      <c r="K415">
        <v>0.34</v>
      </c>
      <c r="L415" t="s">
        <v>34</v>
      </c>
      <c r="M415" t="s">
        <v>68</v>
      </c>
      <c r="N415" s="17"/>
      <c r="O415">
        <v>0</v>
      </c>
    </row>
    <row r="416" spans="1:15" x14ac:dyDescent="0.3">
      <c r="A416" t="s">
        <v>540</v>
      </c>
      <c r="B416" t="s">
        <v>62</v>
      </c>
      <c r="C416" t="s">
        <v>54</v>
      </c>
      <c r="D416" t="s">
        <v>27</v>
      </c>
      <c r="E416" t="s">
        <v>28</v>
      </c>
      <c r="F416">
        <v>50</v>
      </c>
      <c r="G416" t="s">
        <v>125</v>
      </c>
      <c r="H416" s="17">
        <v>41404</v>
      </c>
      <c r="I416">
        <v>79388</v>
      </c>
      <c r="J416">
        <v>79388</v>
      </c>
      <c r="K416">
        <v>0</v>
      </c>
      <c r="L416" t="s">
        <v>29</v>
      </c>
      <c r="M416" t="s">
        <v>51</v>
      </c>
      <c r="N416" s="17">
        <v>43681</v>
      </c>
      <c r="O416">
        <v>1</v>
      </c>
    </row>
    <row r="417" spans="1:15" x14ac:dyDescent="0.3">
      <c r="A417" t="s">
        <v>541</v>
      </c>
      <c r="B417" t="s">
        <v>84</v>
      </c>
      <c r="C417" t="s">
        <v>26</v>
      </c>
      <c r="D417" t="s">
        <v>32</v>
      </c>
      <c r="E417" t="s">
        <v>28</v>
      </c>
      <c r="F417">
        <v>28</v>
      </c>
      <c r="G417" t="s">
        <v>127</v>
      </c>
      <c r="H417" s="17">
        <v>43122</v>
      </c>
      <c r="I417">
        <v>68176</v>
      </c>
      <c r="J417">
        <v>68176</v>
      </c>
      <c r="K417">
        <v>0</v>
      </c>
      <c r="L417" t="s">
        <v>29</v>
      </c>
      <c r="M417" t="s">
        <v>30</v>
      </c>
      <c r="N417" s="17"/>
      <c r="O417">
        <v>0</v>
      </c>
    </row>
    <row r="418" spans="1:15" x14ac:dyDescent="0.3">
      <c r="A418" t="s">
        <v>542</v>
      </c>
      <c r="B418" t="s">
        <v>25</v>
      </c>
      <c r="C418" t="s">
        <v>38</v>
      </c>
      <c r="D418" t="s">
        <v>27</v>
      </c>
      <c r="E418" t="s">
        <v>28</v>
      </c>
      <c r="F418">
        <v>39</v>
      </c>
      <c r="G418" t="s">
        <v>135</v>
      </c>
      <c r="H418" s="17">
        <v>43756</v>
      </c>
      <c r="I418">
        <v>122829</v>
      </c>
      <c r="J418">
        <v>136340</v>
      </c>
      <c r="K418">
        <v>0.11</v>
      </c>
      <c r="L418" t="s">
        <v>29</v>
      </c>
      <c r="M418" t="s">
        <v>40</v>
      </c>
      <c r="N418" s="17"/>
      <c r="O418">
        <v>0</v>
      </c>
    </row>
    <row r="419" spans="1:15" x14ac:dyDescent="0.3">
      <c r="A419" t="s">
        <v>543</v>
      </c>
      <c r="B419" t="s">
        <v>25</v>
      </c>
      <c r="C419" t="s">
        <v>57</v>
      </c>
      <c r="D419" t="s">
        <v>39</v>
      </c>
      <c r="E419" t="s">
        <v>28</v>
      </c>
      <c r="F419">
        <v>31</v>
      </c>
      <c r="G419" t="s">
        <v>127</v>
      </c>
      <c r="H419" s="17">
        <v>43695</v>
      </c>
      <c r="I419">
        <v>126353</v>
      </c>
      <c r="J419">
        <v>141515</v>
      </c>
      <c r="K419">
        <v>0.12</v>
      </c>
      <c r="L419" t="s">
        <v>34</v>
      </c>
      <c r="M419" t="s">
        <v>55</v>
      </c>
      <c r="N419" s="17"/>
      <c r="O419">
        <v>0</v>
      </c>
    </row>
    <row r="420" spans="1:15" x14ac:dyDescent="0.3">
      <c r="A420" t="s">
        <v>544</v>
      </c>
      <c r="B420" t="s">
        <v>37</v>
      </c>
      <c r="C420" t="s">
        <v>50</v>
      </c>
      <c r="D420" t="s">
        <v>39</v>
      </c>
      <c r="E420" t="s">
        <v>28</v>
      </c>
      <c r="F420">
        <v>55</v>
      </c>
      <c r="G420" t="s">
        <v>122</v>
      </c>
      <c r="H420" s="17">
        <v>40468</v>
      </c>
      <c r="I420">
        <v>188727</v>
      </c>
      <c r="J420">
        <v>232134</v>
      </c>
      <c r="K420">
        <v>0.23</v>
      </c>
      <c r="L420" t="s">
        <v>34</v>
      </c>
      <c r="M420" t="s">
        <v>68</v>
      </c>
      <c r="N420" s="17"/>
      <c r="O420">
        <v>0</v>
      </c>
    </row>
    <row r="421" spans="1:15" x14ac:dyDescent="0.3">
      <c r="A421" t="s">
        <v>545</v>
      </c>
      <c r="B421" t="s">
        <v>42</v>
      </c>
      <c r="C421" t="s">
        <v>45</v>
      </c>
      <c r="D421" t="s">
        <v>27</v>
      </c>
      <c r="E421" t="s">
        <v>33</v>
      </c>
      <c r="F421">
        <v>52</v>
      </c>
      <c r="G421" t="s">
        <v>125</v>
      </c>
      <c r="H421" s="17">
        <v>34383</v>
      </c>
      <c r="I421">
        <v>99624</v>
      </c>
      <c r="J421">
        <v>99624</v>
      </c>
      <c r="K421">
        <v>0</v>
      </c>
      <c r="L421" t="s">
        <v>29</v>
      </c>
      <c r="M421" t="s">
        <v>30</v>
      </c>
      <c r="N421" s="17"/>
      <c r="O421">
        <v>0</v>
      </c>
    </row>
    <row r="422" spans="1:15" x14ac:dyDescent="0.3">
      <c r="A422" t="s">
        <v>546</v>
      </c>
      <c r="B422" t="s">
        <v>47</v>
      </c>
      <c r="C422" t="s">
        <v>45</v>
      </c>
      <c r="D422" t="s">
        <v>39</v>
      </c>
      <c r="E422" t="s">
        <v>28</v>
      </c>
      <c r="F422">
        <v>55</v>
      </c>
      <c r="G422" t="s">
        <v>122</v>
      </c>
      <c r="H422" s="17">
        <v>41202</v>
      </c>
      <c r="I422">
        <v>108686</v>
      </c>
      <c r="J422">
        <v>115207</v>
      </c>
      <c r="K422">
        <v>0.06</v>
      </c>
      <c r="L422" t="s">
        <v>29</v>
      </c>
      <c r="M422" t="s">
        <v>58</v>
      </c>
      <c r="N422" s="17"/>
      <c r="O422">
        <v>0</v>
      </c>
    </row>
    <row r="423" spans="1:15" x14ac:dyDescent="0.3">
      <c r="A423" t="s">
        <v>547</v>
      </c>
      <c r="B423" t="s">
        <v>48</v>
      </c>
      <c r="C423" t="s">
        <v>50</v>
      </c>
      <c r="D423" t="s">
        <v>46</v>
      </c>
      <c r="E423" t="s">
        <v>28</v>
      </c>
      <c r="F423">
        <v>56</v>
      </c>
      <c r="G423" t="s">
        <v>122</v>
      </c>
      <c r="H423" s="17">
        <v>34802</v>
      </c>
      <c r="I423">
        <v>50857</v>
      </c>
      <c r="J423">
        <v>50857</v>
      </c>
      <c r="K423">
        <v>0</v>
      </c>
      <c r="L423" t="s">
        <v>59</v>
      </c>
      <c r="M423" t="s">
        <v>60</v>
      </c>
      <c r="N423" s="17"/>
      <c r="O423">
        <v>0</v>
      </c>
    </row>
    <row r="424" spans="1:15" x14ac:dyDescent="0.3">
      <c r="A424" t="s">
        <v>548</v>
      </c>
      <c r="B424" t="s">
        <v>73</v>
      </c>
      <c r="C424" t="s">
        <v>54</v>
      </c>
      <c r="D424" t="s">
        <v>32</v>
      </c>
      <c r="E424" t="s">
        <v>33</v>
      </c>
      <c r="F424">
        <v>47</v>
      </c>
      <c r="G424" t="s">
        <v>125</v>
      </c>
      <c r="H424" s="17">
        <v>36893</v>
      </c>
      <c r="I424">
        <v>120628</v>
      </c>
      <c r="J424">
        <v>120628</v>
      </c>
      <c r="K424">
        <v>0</v>
      </c>
      <c r="L424" t="s">
        <v>29</v>
      </c>
      <c r="M424" t="s">
        <v>40</v>
      </c>
      <c r="N424" s="17"/>
      <c r="O424">
        <v>0</v>
      </c>
    </row>
    <row r="425" spans="1:15" x14ac:dyDescent="0.3">
      <c r="A425" t="s">
        <v>549</v>
      </c>
      <c r="B425" t="s">
        <v>37</v>
      </c>
      <c r="C425" t="s">
        <v>45</v>
      </c>
      <c r="D425" t="s">
        <v>39</v>
      </c>
      <c r="E425" t="s">
        <v>28</v>
      </c>
      <c r="F425">
        <v>63</v>
      </c>
      <c r="G425" t="s">
        <v>122</v>
      </c>
      <c r="H425" s="17">
        <v>43996</v>
      </c>
      <c r="I425">
        <v>181216</v>
      </c>
      <c r="J425">
        <v>230144</v>
      </c>
      <c r="K425">
        <v>0.27</v>
      </c>
      <c r="L425" t="s">
        <v>29</v>
      </c>
      <c r="M425" t="s">
        <v>58</v>
      </c>
      <c r="N425" s="17"/>
      <c r="O425">
        <v>0</v>
      </c>
    </row>
    <row r="426" spans="1:15" x14ac:dyDescent="0.3">
      <c r="A426" t="s">
        <v>550</v>
      </c>
      <c r="B426" t="s">
        <v>48</v>
      </c>
      <c r="C426" t="s">
        <v>38</v>
      </c>
      <c r="D426" t="s">
        <v>46</v>
      </c>
      <c r="E426" t="s">
        <v>28</v>
      </c>
      <c r="F426">
        <v>63</v>
      </c>
      <c r="G426" t="s">
        <v>122</v>
      </c>
      <c r="H426" s="17">
        <v>40984</v>
      </c>
      <c r="I426">
        <v>46081</v>
      </c>
      <c r="J426">
        <v>46081</v>
      </c>
      <c r="K426">
        <v>0</v>
      </c>
      <c r="L426" t="s">
        <v>29</v>
      </c>
      <c r="M426" t="s">
        <v>40</v>
      </c>
      <c r="N426" s="17"/>
      <c r="O426">
        <v>0</v>
      </c>
    </row>
    <row r="427" spans="1:15" x14ac:dyDescent="0.3">
      <c r="A427" t="s">
        <v>551</v>
      </c>
      <c r="B427" t="s">
        <v>25</v>
      </c>
      <c r="C427" t="s">
        <v>50</v>
      </c>
      <c r="D427" t="s">
        <v>46</v>
      </c>
      <c r="E427" t="s">
        <v>28</v>
      </c>
      <c r="F427">
        <v>55</v>
      </c>
      <c r="G427" t="s">
        <v>122</v>
      </c>
      <c r="H427" s="17">
        <v>38135</v>
      </c>
      <c r="I427">
        <v>159885</v>
      </c>
      <c r="J427">
        <v>179071</v>
      </c>
      <c r="K427">
        <v>0.12</v>
      </c>
      <c r="L427" t="s">
        <v>29</v>
      </c>
      <c r="M427" t="s">
        <v>58</v>
      </c>
      <c r="N427" s="17"/>
      <c r="O427">
        <v>0</v>
      </c>
    </row>
    <row r="428" spans="1:15" x14ac:dyDescent="0.3">
      <c r="A428" t="s">
        <v>552</v>
      </c>
      <c r="B428" t="s">
        <v>37</v>
      </c>
      <c r="C428" t="s">
        <v>45</v>
      </c>
      <c r="D428" t="s">
        <v>32</v>
      </c>
      <c r="E428" t="s">
        <v>28</v>
      </c>
      <c r="F428">
        <v>55</v>
      </c>
      <c r="G428" t="s">
        <v>122</v>
      </c>
      <c r="H428" s="17">
        <v>35001</v>
      </c>
      <c r="I428">
        <v>153271</v>
      </c>
      <c r="J428">
        <v>176262</v>
      </c>
      <c r="K428">
        <v>0.15</v>
      </c>
      <c r="L428" t="s">
        <v>29</v>
      </c>
      <c r="M428" t="s">
        <v>51</v>
      </c>
      <c r="N428" s="17"/>
      <c r="O428">
        <v>0</v>
      </c>
    </row>
    <row r="429" spans="1:15" x14ac:dyDescent="0.3">
      <c r="A429" t="s">
        <v>553</v>
      </c>
      <c r="B429" t="s">
        <v>47</v>
      </c>
      <c r="C429" t="s">
        <v>52</v>
      </c>
      <c r="D429" t="s">
        <v>32</v>
      </c>
      <c r="E429" t="s">
        <v>33</v>
      </c>
      <c r="F429">
        <v>42</v>
      </c>
      <c r="G429" t="s">
        <v>135</v>
      </c>
      <c r="H429" s="17">
        <v>40159</v>
      </c>
      <c r="I429">
        <v>114242</v>
      </c>
      <c r="J429">
        <v>123381</v>
      </c>
      <c r="K429">
        <v>0.08</v>
      </c>
      <c r="L429" t="s">
        <v>29</v>
      </c>
      <c r="M429" t="s">
        <v>43</v>
      </c>
      <c r="N429" s="17"/>
      <c r="O429">
        <v>0</v>
      </c>
    </row>
    <row r="430" spans="1:15" x14ac:dyDescent="0.3">
      <c r="A430" t="s">
        <v>554</v>
      </c>
      <c r="B430" t="s">
        <v>65</v>
      </c>
      <c r="C430" t="s">
        <v>26</v>
      </c>
      <c r="D430" t="s">
        <v>39</v>
      </c>
      <c r="E430" t="s">
        <v>28</v>
      </c>
      <c r="F430">
        <v>39</v>
      </c>
      <c r="G430" t="s">
        <v>135</v>
      </c>
      <c r="H430" s="17">
        <v>44153</v>
      </c>
      <c r="I430">
        <v>48415</v>
      </c>
      <c r="J430">
        <v>48415</v>
      </c>
      <c r="K430">
        <v>0</v>
      </c>
      <c r="L430" t="s">
        <v>34</v>
      </c>
      <c r="M430" t="s">
        <v>55</v>
      </c>
      <c r="N430" s="17"/>
      <c r="O430">
        <v>0</v>
      </c>
    </row>
    <row r="431" spans="1:15" x14ac:dyDescent="0.3">
      <c r="A431" t="s">
        <v>555</v>
      </c>
      <c r="B431" t="s">
        <v>80</v>
      </c>
      <c r="C431" t="s">
        <v>54</v>
      </c>
      <c r="D431" t="s">
        <v>32</v>
      </c>
      <c r="E431" t="s">
        <v>33</v>
      </c>
      <c r="F431">
        <v>35</v>
      </c>
      <c r="G431" t="s">
        <v>135</v>
      </c>
      <c r="H431" s="17">
        <v>42878</v>
      </c>
      <c r="I431">
        <v>65566</v>
      </c>
      <c r="J431">
        <v>65566</v>
      </c>
      <c r="K431">
        <v>0</v>
      </c>
      <c r="L431" t="s">
        <v>29</v>
      </c>
      <c r="M431" t="s">
        <v>30</v>
      </c>
      <c r="N431" s="17"/>
      <c r="O431">
        <v>0</v>
      </c>
    </row>
    <row r="432" spans="1:15" x14ac:dyDescent="0.3">
      <c r="A432" t="s">
        <v>556</v>
      </c>
      <c r="B432" t="s">
        <v>25</v>
      </c>
      <c r="C432" t="s">
        <v>57</v>
      </c>
      <c r="D432" t="s">
        <v>27</v>
      </c>
      <c r="E432" t="s">
        <v>33</v>
      </c>
      <c r="F432">
        <v>45</v>
      </c>
      <c r="G432" t="s">
        <v>125</v>
      </c>
      <c r="H432" s="17">
        <v>37014</v>
      </c>
      <c r="I432">
        <v>147752</v>
      </c>
      <c r="J432">
        <v>165482</v>
      </c>
      <c r="K432">
        <v>0.12</v>
      </c>
      <c r="L432" t="s">
        <v>34</v>
      </c>
      <c r="M432" t="s">
        <v>55</v>
      </c>
      <c r="N432" s="17">
        <v>40903</v>
      </c>
      <c r="O432">
        <v>1</v>
      </c>
    </row>
    <row r="433" spans="1:15" x14ac:dyDescent="0.3">
      <c r="A433" t="s">
        <v>557</v>
      </c>
      <c r="B433" t="s">
        <v>25</v>
      </c>
      <c r="C433" t="s">
        <v>57</v>
      </c>
      <c r="D433" t="s">
        <v>32</v>
      </c>
      <c r="E433" t="s">
        <v>28</v>
      </c>
      <c r="F433">
        <v>25</v>
      </c>
      <c r="G433" t="s">
        <v>127</v>
      </c>
      <c r="H433" s="17">
        <v>44453</v>
      </c>
      <c r="I433">
        <v>136810</v>
      </c>
      <c r="J433">
        <v>155963</v>
      </c>
      <c r="K433">
        <v>0.14000000000000001</v>
      </c>
      <c r="L433" t="s">
        <v>34</v>
      </c>
      <c r="M433" t="s">
        <v>35</v>
      </c>
      <c r="N433" s="17"/>
      <c r="O433">
        <v>0</v>
      </c>
    </row>
    <row r="434" spans="1:15" x14ac:dyDescent="0.3">
      <c r="A434" t="s">
        <v>558</v>
      </c>
      <c r="B434" t="s">
        <v>48</v>
      </c>
      <c r="C434" t="s">
        <v>45</v>
      </c>
      <c r="D434" t="s">
        <v>46</v>
      </c>
      <c r="E434" t="s">
        <v>33</v>
      </c>
      <c r="F434">
        <v>47</v>
      </c>
      <c r="G434" t="s">
        <v>125</v>
      </c>
      <c r="H434" s="17">
        <v>41333</v>
      </c>
      <c r="I434">
        <v>54635</v>
      </c>
      <c r="J434">
        <v>54635</v>
      </c>
      <c r="K434">
        <v>0</v>
      </c>
      <c r="L434" t="s">
        <v>29</v>
      </c>
      <c r="M434" t="s">
        <v>40</v>
      </c>
      <c r="N434" s="17"/>
      <c r="O434">
        <v>0</v>
      </c>
    </row>
    <row r="435" spans="1:15" x14ac:dyDescent="0.3">
      <c r="A435" t="s">
        <v>559</v>
      </c>
      <c r="B435" t="s">
        <v>75</v>
      </c>
      <c r="C435" t="s">
        <v>26</v>
      </c>
      <c r="D435" t="s">
        <v>46</v>
      </c>
      <c r="E435" t="s">
        <v>28</v>
      </c>
      <c r="F435">
        <v>42</v>
      </c>
      <c r="G435" t="s">
        <v>135</v>
      </c>
      <c r="H435" s="17">
        <v>43866</v>
      </c>
      <c r="I435">
        <v>96636</v>
      </c>
      <c r="J435">
        <v>96636</v>
      </c>
      <c r="K435">
        <v>0</v>
      </c>
      <c r="L435" t="s">
        <v>29</v>
      </c>
      <c r="M435" t="s">
        <v>58</v>
      </c>
      <c r="N435" s="17"/>
      <c r="O435">
        <v>0</v>
      </c>
    </row>
    <row r="436" spans="1:15" x14ac:dyDescent="0.3">
      <c r="A436" t="s">
        <v>560</v>
      </c>
      <c r="B436" t="s">
        <v>82</v>
      </c>
      <c r="C436" t="s">
        <v>26</v>
      </c>
      <c r="D436" t="s">
        <v>32</v>
      </c>
      <c r="E436" t="s">
        <v>28</v>
      </c>
      <c r="F436">
        <v>35</v>
      </c>
      <c r="G436" t="s">
        <v>135</v>
      </c>
      <c r="H436" s="17">
        <v>41941</v>
      </c>
      <c r="I436">
        <v>91592</v>
      </c>
      <c r="J436">
        <v>91592</v>
      </c>
      <c r="K436">
        <v>0</v>
      </c>
      <c r="L436" t="s">
        <v>29</v>
      </c>
      <c r="M436" t="s">
        <v>40</v>
      </c>
      <c r="N436" s="17"/>
      <c r="O436">
        <v>0</v>
      </c>
    </row>
    <row r="437" spans="1:15" x14ac:dyDescent="0.3">
      <c r="A437" t="s">
        <v>561</v>
      </c>
      <c r="B437" t="s">
        <v>74</v>
      </c>
      <c r="C437" t="s">
        <v>52</v>
      </c>
      <c r="D437" t="s">
        <v>27</v>
      </c>
      <c r="E437" t="s">
        <v>28</v>
      </c>
      <c r="F437">
        <v>45</v>
      </c>
      <c r="G437" t="s">
        <v>125</v>
      </c>
      <c r="H437" s="17">
        <v>36755</v>
      </c>
      <c r="I437">
        <v>55563</v>
      </c>
      <c r="J437">
        <v>55563</v>
      </c>
      <c r="K437">
        <v>0</v>
      </c>
      <c r="L437" t="s">
        <v>34</v>
      </c>
      <c r="M437" t="s">
        <v>68</v>
      </c>
      <c r="N437" s="17"/>
      <c r="O437">
        <v>0</v>
      </c>
    </row>
    <row r="438" spans="1:15" x14ac:dyDescent="0.3">
      <c r="A438" t="s">
        <v>562</v>
      </c>
      <c r="B438" t="s">
        <v>37</v>
      </c>
      <c r="C438" t="s">
        <v>26</v>
      </c>
      <c r="D438" t="s">
        <v>27</v>
      </c>
      <c r="E438" t="s">
        <v>28</v>
      </c>
      <c r="F438">
        <v>52</v>
      </c>
      <c r="G438" t="s">
        <v>125</v>
      </c>
      <c r="H438" s="17">
        <v>35109</v>
      </c>
      <c r="I438">
        <v>159724</v>
      </c>
      <c r="J438">
        <v>196461</v>
      </c>
      <c r="K438">
        <v>0.23</v>
      </c>
      <c r="L438" t="s">
        <v>34</v>
      </c>
      <c r="M438" t="s">
        <v>64</v>
      </c>
      <c r="N438" s="17"/>
      <c r="O438">
        <v>0</v>
      </c>
    </row>
    <row r="439" spans="1:15" x14ac:dyDescent="0.3">
      <c r="A439" t="s">
        <v>563</v>
      </c>
      <c r="B439" t="s">
        <v>56</v>
      </c>
      <c r="C439" t="s">
        <v>57</v>
      </c>
      <c r="D439" t="s">
        <v>46</v>
      </c>
      <c r="E439" t="s">
        <v>33</v>
      </c>
      <c r="F439">
        <v>57</v>
      </c>
      <c r="G439" t="s">
        <v>122</v>
      </c>
      <c r="H439" s="17">
        <v>42951</v>
      </c>
      <c r="I439">
        <v>183190</v>
      </c>
      <c r="J439">
        <v>249138</v>
      </c>
      <c r="K439">
        <v>0.36</v>
      </c>
      <c r="L439" t="s">
        <v>29</v>
      </c>
      <c r="M439" t="s">
        <v>40</v>
      </c>
      <c r="N439" s="17"/>
      <c r="O439">
        <v>0</v>
      </c>
    </row>
    <row r="440" spans="1:15" x14ac:dyDescent="0.3">
      <c r="A440" t="s">
        <v>564</v>
      </c>
      <c r="B440" t="s">
        <v>48</v>
      </c>
      <c r="C440" t="s">
        <v>50</v>
      </c>
      <c r="D440" t="s">
        <v>39</v>
      </c>
      <c r="E440" t="s">
        <v>28</v>
      </c>
      <c r="F440">
        <v>56</v>
      </c>
      <c r="G440" t="s">
        <v>122</v>
      </c>
      <c r="H440" s="17">
        <v>43824</v>
      </c>
      <c r="I440">
        <v>54829</v>
      </c>
      <c r="J440">
        <v>54829</v>
      </c>
      <c r="K440">
        <v>0</v>
      </c>
      <c r="L440" t="s">
        <v>29</v>
      </c>
      <c r="M440" t="s">
        <v>43</v>
      </c>
      <c r="N440" s="17"/>
      <c r="O440">
        <v>0</v>
      </c>
    </row>
    <row r="441" spans="1:15" x14ac:dyDescent="0.3">
      <c r="A441" t="s">
        <v>565</v>
      </c>
      <c r="B441" t="s">
        <v>62</v>
      </c>
      <c r="C441" t="s">
        <v>54</v>
      </c>
      <c r="D441" t="s">
        <v>46</v>
      </c>
      <c r="E441" t="s">
        <v>33</v>
      </c>
      <c r="F441">
        <v>46</v>
      </c>
      <c r="G441" t="s">
        <v>125</v>
      </c>
      <c r="H441" s="17">
        <v>38464</v>
      </c>
      <c r="I441">
        <v>96639</v>
      </c>
      <c r="J441">
        <v>96639</v>
      </c>
      <c r="K441">
        <v>0</v>
      </c>
      <c r="L441" t="s">
        <v>59</v>
      </c>
      <c r="M441" t="s">
        <v>61</v>
      </c>
      <c r="N441" s="17"/>
      <c r="O441">
        <v>0</v>
      </c>
    </row>
    <row r="442" spans="1:15" x14ac:dyDescent="0.3">
      <c r="A442" t="s">
        <v>566</v>
      </c>
      <c r="B442" t="s">
        <v>47</v>
      </c>
      <c r="C442" t="s">
        <v>57</v>
      </c>
      <c r="D442" t="s">
        <v>39</v>
      </c>
      <c r="E442" t="s">
        <v>28</v>
      </c>
      <c r="F442">
        <v>43</v>
      </c>
      <c r="G442" t="s">
        <v>135</v>
      </c>
      <c r="H442" s="17">
        <v>38879</v>
      </c>
      <c r="I442">
        <v>117278</v>
      </c>
      <c r="J442">
        <v>127833</v>
      </c>
      <c r="K442">
        <v>0.09</v>
      </c>
      <c r="L442" t="s">
        <v>29</v>
      </c>
      <c r="M442" t="s">
        <v>49</v>
      </c>
      <c r="N442" s="17"/>
      <c r="O442">
        <v>0</v>
      </c>
    </row>
    <row r="443" spans="1:15" x14ac:dyDescent="0.3">
      <c r="A443" t="s">
        <v>567</v>
      </c>
      <c r="B443" t="s">
        <v>41</v>
      </c>
      <c r="C443" t="s">
        <v>26</v>
      </c>
      <c r="D443" t="s">
        <v>39</v>
      </c>
      <c r="E443" t="s">
        <v>33</v>
      </c>
      <c r="F443">
        <v>53</v>
      </c>
      <c r="G443" t="s">
        <v>125</v>
      </c>
      <c r="H443" s="17">
        <v>39487</v>
      </c>
      <c r="I443">
        <v>84193</v>
      </c>
      <c r="J443">
        <v>91770</v>
      </c>
      <c r="K443">
        <v>0.09</v>
      </c>
      <c r="L443" t="s">
        <v>34</v>
      </c>
      <c r="M443" t="s">
        <v>55</v>
      </c>
      <c r="N443" s="17"/>
      <c r="O443">
        <v>0</v>
      </c>
    </row>
    <row r="444" spans="1:15" x14ac:dyDescent="0.3">
      <c r="A444" t="s">
        <v>568</v>
      </c>
      <c r="B444" t="s">
        <v>87</v>
      </c>
      <c r="C444" t="s">
        <v>26</v>
      </c>
      <c r="D444" t="s">
        <v>32</v>
      </c>
      <c r="E444" t="s">
        <v>28</v>
      </c>
      <c r="F444">
        <v>47</v>
      </c>
      <c r="G444" t="s">
        <v>125</v>
      </c>
      <c r="H444" s="17">
        <v>43309</v>
      </c>
      <c r="I444">
        <v>87806</v>
      </c>
      <c r="J444">
        <v>87806</v>
      </c>
      <c r="K444">
        <v>0</v>
      </c>
      <c r="L444" t="s">
        <v>29</v>
      </c>
      <c r="M444" t="s">
        <v>30</v>
      </c>
      <c r="N444" s="17"/>
      <c r="O444">
        <v>0</v>
      </c>
    </row>
    <row r="445" spans="1:15" x14ac:dyDescent="0.3">
      <c r="A445" t="s">
        <v>569</v>
      </c>
      <c r="B445" t="s">
        <v>77</v>
      </c>
      <c r="C445" t="s">
        <v>54</v>
      </c>
      <c r="D445" t="s">
        <v>27</v>
      </c>
      <c r="E445" t="s">
        <v>33</v>
      </c>
      <c r="F445">
        <v>62</v>
      </c>
      <c r="G445" t="s">
        <v>122</v>
      </c>
      <c r="H445" s="17">
        <v>40820</v>
      </c>
      <c r="I445">
        <v>63959</v>
      </c>
      <c r="J445">
        <v>63959</v>
      </c>
      <c r="K445">
        <v>0</v>
      </c>
      <c r="L445" t="s">
        <v>29</v>
      </c>
      <c r="M445" t="s">
        <v>30</v>
      </c>
      <c r="N445" s="17"/>
      <c r="O445">
        <v>0</v>
      </c>
    </row>
    <row r="446" spans="1:15" x14ac:dyDescent="0.3">
      <c r="A446" t="s">
        <v>570</v>
      </c>
      <c r="B446" t="s">
        <v>56</v>
      </c>
      <c r="C446" t="s">
        <v>26</v>
      </c>
      <c r="D446" t="s">
        <v>27</v>
      </c>
      <c r="E446" t="s">
        <v>33</v>
      </c>
      <c r="F446">
        <v>35</v>
      </c>
      <c r="G446" t="s">
        <v>135</v>
      </c>
      <c r="H446" s="17">
        <v>42166</v>
      </c>
      <c r="I446">
        <v>234723</v>
      </c>
      <c r="J446">
        <v>319223</v>
      </c>
      <c r="K446">
        <v>0.36</v>
      </c>
      <c r="L446" t="s">
        <v>34</v>
      </c>
      <c r="M446" t="s">
        <v>55</v>
      </c>
      <c r="N446" s="17"/>
      <c r="O446">
        <v>0</v>
      </c>
    </row>
    <row r="447" spans="1:15" x14ac:dyDescent="0.3">
      <c r="A447" t="s">
        <v>571</v>
      </c>
      <c r="B447" t="s">
        <v>48</v>
      </c>
      <c r="C447" t="s">
        <v>50</v>
      </c>
      <c r="D447" t="s">
        <v>46</v>
      </c>
      <c r="E447" t="s">
        <v>28</v>
      </c>
      <c r="F447">
        <v>27</v>
      </c>
      <c r="G447" t="s">
        <v>127</v>
      </c>
      <c r="H447" s="17">
        <v>43701</v>
      </c>
      <c r="I447">
        <v>50809</v>
      </c>
      <c r="J447">
        <v>50809</v>
      </c>
      <c r="K447">
        <v>0</v>
      </c>
      <c r="L447" t="s">
        <v>34</v>
      </c>
      <c r="M447" t="s">
        <v>35</v>
      </c>
      <c r="N447" s="17"/>
      <c r="O447">
        <v>0</v>
      </c>
    </row>
    <row r="448" spans="1:15" x14ac:dyDescent="0.3">
      <c r="A448" t="s">
        <v>572</v>
      </c>
      <c r="B448" t="s">
        <v>42</v>
      </c>
      <c r="C448" t="s">
        <v>38</v>
      </c>
      <c r="D448" t="s">
        <v>32</v>
      </c>
      <c r="E448" t="s">
        <v>33</v>
      </c>
      <c r="F448">
        <v>55</v>
      </c>
      <c r="G448" t="s">
        <v>122</v>
      </c>
      <c r="H448" s="17">
        <v>37456</v>
      </c>
      <c r="I448">
        <v>77396</v>
      </c>
      <c r="J448">
        <v>77396</v>
      </c>
      <c r="K448">
        <v>0</v>
      </c>
      <c r="L448" t="s">
        <v>29</v>
      </c>
      <c r="M448" t="s">
        <v>49</v>
      </c>
      <c r="N448" s="17"/>
      <c r="O448">
        <v>0</v>
      </c>
    </row>
    <row r="449" spans="1:15" x14ac:dyDescent="0.3">
      <c r="A449" t="s">
        <v>573</v>
      </c>
      <c r="B449" t="s">
        <v>42</v>
      </c>
      <c r="C449" t="s">
        <v>38</v>
      </c>
      <c r="D449" t="s">
        <v>39</v>
      </c>
      <c r="E449" t="s">
        <v>28</v>
      </c>
      <c r="F449">
        <v>63</v>
      </c>
      <c r="G449" t="s">
        <v>122</v>
      </c>
      <c r="H449" s="17">
        <v>36525</v>
      </c>
      <c r="I449">
        <v>89523</v>
      </c>
      <c r="J449">
        <v>89523</v>
      </c>
      <c r="K449">
        <v>0</v>
      </c>
      <c r="L449" t="s">
        <v>29</v>
      </c>
      <c r="M449" t="s">
        <v>43</v>
      </c>
      <c r="N449" s="17"/>
      <c r="O449">
        <v>0</v>
      </c>
    </row>
    <row r="450" spans="1:15" x14ac:dyDescent="0.3">
      <c r="A450" t="s">
        <v>574</v>
      </c>
      <c r="B450" t="s">
        <v>75</v>
      </c>
      <c r="C450" t="s">
        <v>26</v>
      </c>
      <c r="D450" t="s">
        <v>46</v>
      </c>
      <c r="E450" t="s">
        <v>28</v>
      </c>
      <c r="F450">
        <v>53</v>
      </c>
      <c r="G450" t="s">
        <v>125</v>
      </c>
      <c r="H450" s="17">
        <v>40744</v>
      </c>
      <c r="I450">
        <v>86173</v>
      </c>
      <c r="J450">
        <v>86173</v>
      </c>
      <c r="K450">
        <v>0</v>
      </c>
      <c r="L450" t="s">
        <v>34</v>
      </c>
      <c r="M450" t="s">
        <v>35</v>
      </c>
      <c r="N450" s="17"/>
      <c r="O450">
        <v>0</v>
      </c>
    </row>
    <row r="451" spans="1:15" x14ac:dyDescent="0.3">
      <c r="A451" t="s">
        <v>575</v>
      </c>
      <c r="B451" t="s">
        <v>56</v>
      </c>
      <c r="C451" t="s">
        <v>45</v>
      </c>
      <c r="D451" t="s">
        <v>32</v>
      </c>
      <c r="E451" t="s">
        <v>28</v>
      </c>
      <c r="F451">
        <v>54</v>
      </c>
      <c r="G451" t="s">
        <v>125</v>
      </c>
      <c r="H451" s="17">
        <v>36757</v>
      </c>
      <c r="I451">
        <v>222224</v>
      </c>
      <c r="J451">
        <v>306669</v>
      </c>
      <c r="K451">
        <v>0.38</v>
      </c>
      <c r="L451" t="s">
        <v>29</v>
      </c>
      <c r="M451" t="s">
        <v>58</v>
      </c>
      <c r="N451" s="17"/>
      <c r="O451">
        <v>0</v>
      </c>
    </row>
    <row r="452" spans="1:15" x14ac:dyDescent="0.3">
      <c r="A452" t="s">
        <v>576</v>
      </c>
      <c r="B452" t="s">
        <v>25</v>
      </c>
      <c r="C452" t="s">
        <v>38</v>
      </c>
      <c r="D452" t="s">
        <v>27</v>
      </c>
      <c r="E452" t="s">
        <v>33</v>
      </c>
      <c r="F452">
        <v>43</v>
      </c>
      <c r="G452" t="s">
        <v>135</v>
      </c>
      <c r="H452" s="17">
        <v>44303</v>
      </c>
      <c r="I452">
        <v>146140</v>
      </c>
      <c r="J452">
        <v>168061</v>
      </c>
      <c r="K452">
        <v>0.15</v>
      </c>
      <c r="L452" t="s">
        <v>29</v>
      </c>
      <c r="M452" t="s">
        <v>30</v>
      </c>
      <c r="N452" s="17"/>
      <c r="O452">
        <v>0</v>
      </c>
    </row>
    <row r="453" spans="1:15" x14ac:dyDescent="0.3">
      <c r="A453" t="s">
        <v>577</v>
      </c>
      <c r="B453" t="s">
        <v>63</v>
      </c>
      <c r="C453" t="s">
        <v>54</v>
      </c>
      <c r="D453" t="s">
        <v>39</v>
      </c>
      <c r="E453" t="s">
        <v>28</v>
      </c>
      <c r="F453">
        <v>64</v>
      </c>
      <c r="G453" t="s">
        <v>122</v>
      </c>
      <c r="H453" s="17">
        <v>34505</v>
      </c>
      <c r="I453">
        <v>109456</v>
      </c>
      <c r="J453">
        <v>120402</v>
      </c>
      <c r="K453">
        <v>0.1</v>
      </c>
      <c r="L453" t="s">
        <v>29</v>
      </c>
      <c r="M453" t="s">
        <v>40</v>
      </c>
      <c r="N453" s="17"/>
      <c r="O453">
        <v>0</v>
      </c>
    </row>
    <row r="454" spans="1:15" x14ac:dyDescent="0.3">
      <c r="A454" t="s">
        <v>578</v>
      </c>
      <c r="B454" t="s">
        <v>37</v>
      </c>
      <c r="C454" t="s">
        <v>38</v>
      </c>
      <c r="D454" t="s">
        <v>27</v>
      </c>
      <c r="E454" t="s">
        <v>28</v>
      </c>
      <c r="F454">
        <v>65</v>
      </c>
      <c r="G454" t="s">
        <v>142</v>
      </c>
      <c r="H454" s="17">
        <v>39728</v>
      </c>
      <c r="I454">
        <v>170221</v>
      </c>
      <c r="J454">
        <v>195754</v>
      </c>
      <c r="K454">
        <v>0.15</v>
      </c>
      <c r="L454" t="s">
        <v>59</v>
      </c>
      <c r="M454" t="s">
        <v>60</v>
      </c>
      <c r="N454" s="17"/>
      <c r="O454">
        <v>0</v>
      </c>
    </row>
    <row r="455" spans="1:15" x14ac:dyDescent="0.3">
      <c r="A455" t="s">
        <v>579</v>
      </c>
      <c r="B455" t="s">
        <v>41</v>
      </c>
      <c r="C455" t="s">
        <v>26</v>
      </c>
      <c r="D455" t="s">
        <v>27</v>
      </c>
      <c r="E455" t="s">
        <v>28</v>
      </c>
      <c r="F455">
        <v>42</v>
      </c>
      <c r="G455" t="s">
        <v>135</v>
      </c>
      <c r="H455" s="17">
        <v>38777</v>
      </c>
      <c r="I455">
        <v>97433</v>
      </c>
      <c r="J455">
        <v>102305</v>
      </c>
      <c r="K455">
        <v>0.05</v>
      </c>
      <c r="L455" t="s">
        <v>29</v>
      </c>
      <c r="M455" t="s">
        <v>30</v>
      </c>
      <c r="N455" s="17">
        <v>42224</v>
      </c>
      <c r="O455">
        <v>1</v>
      </c>
    </row>
    <row r="456" spans="1:15" x14ac:dyDescent="0.3">
      <c r="A456" t="s">
        <v>580</v>
      </c>
      <c r="B456" t="s">
        <v>44</v>
      </c>
      <c r="C456" t="s">
        <v>45</v>
      </c>
      <c r="D456" t="s">
        <v>32</v>
      </c>
      <c r="E456" t="s">
        <v>33</v>
      </c>
      <c r="F456">
        <v>35</v>
      </c>
      <c r="G456" t="s">
        <v>135</v>
      </c>
      <c r="H456" s="17">
        <v>41516</v>
      </c>
      <c r="I456">
        <v>59646</v>
      </c>
      <c r="J456">
        <v>59646</v>
      </c>
      <c r="K456">
        <v>0</v>
      </c>
      <c r="L456" t="s">
        <v>34</v>
      </c>
      <c r="M456" t="s">
        <v>55</v>
      </c>
      <c r="N456" s="17"/>
      <c r="O456">
        <v>0</v>
      </c>
    </row>
    <row r="457" spans="1:15" x14ac:dyDescent="0.3">
      <c r="A457" t="s">
        <v>581</v>
      </c>
      <c r="B457" t="s">
        <v>37</v>
      </c>
      <c r="C457" t="s">
        <v>54</v>
      </c>
      <c r="D457" t="s">
        <v>39</v>
      </c>
      <c r="E457" t="s">
        <v>33</v>
      </c>
      <c r="F457">
        <v>64</v>
      </c>
      <c r="G457" t="s">
        <v>122</v>
      </c>
      <c r="H457" s="17">
        <v>34940</v>
      </c>
      <c r="I457">
        <v>158787</v>
      </c>
      <c r="J457">
        <v>187369</v>
      </c>
      <c r="K457">
        <v>0.18</v>
      </c>
      <c r="L457" t="s">
        <v>34</v>
      </c>
      <c r="M457" t="s">
        <v>68</v>
      </c>
      <c r="N457" s="17"/>
      <c r="O457">
        <v>0</v>
      </c>
    </row>
    <row r="458" spans="1:15" x14ac:dyDescent="0.3">
      <c r="A458" t="s">
        <v>582</v>
      </c>
      <c r="B458" t="s">
        <v>53</v>
      </c>
      <c r="C458" t="s">
        <v>54</v>
      </c>
      <c r="D458" t="s">
        <v>27</v>
      </c>
      <c r="E458" t="s">
        <v>33</v>
      </c>
      <c r="F458">
        <v>55</v>
      </c>
      <c r="G458" t="s">
        <v>122</v>
      </c>
      <c r="H458" s="17">
        <v>43219</v>
      </c>
      <c r="I458">
        <v>83378</v>
      </c>
      <c r="J458">
        <v>83378</v>
      </c>
      <c r="K458">
        <v>0</v>
      </c>
      <c r="L458" t="s">
        <v>34</v>
      </c>
      <c r="M458" t="s">
        <v>64</v>
      </c>
      <c r="N458" s="17"/>
      <c r="O458">
        <v>0</v>
      </c>
    </row>
    <row r="459" spans="1:15" x14ac:dyDescent="0.3">
      <c r="A459" t="s">
        <v>583</v>
      </c>
      <c r="B459" t="s">
        <v>42</v>
      </c>
      <c r="C459" t="s">
        <v>57</v>
      </c>
      <c r="D459" t="s">
        <v>46</v>
      </c>
      <c r="E459" t="s">
        <v>28</v>
      </c>
      <c r="F459">
        <v>32</v>
      </c>
      <c r="G459" t="s">
        <v>127</v>
      </c>
      <c r="H459" s="17">
        <v>41590</v>
      </c>
      <c r="I459">
        <v>88895</v>
      </c>
      <c r="J459">
        <v>88895</v>
      </c>
      <c r="K459">
        <v>0</v>
      </c>
      <c r="L459" t="s">
        <v>29</v>
      </c>
      <c r="M459" t="s">
        <v>40</v>
      </c>
      <c r="N459" s="17"/>
      <c r="O459">
        <v>0</v>
      </c>
    </row>
    <row r="460" spans="1:15" x14ac:dyDescent="0.3">
      <c r="A460" t="s">
        <v>584</v>
      </c>
      <c r="B460" t="s">
        <v>37</v>
      </c>
      <c r="C460" t="s">
        <v>57</v>
      </c>
      <c r="D460" t="s">
        <v>46</v>
      </c>
      <c r="E460" t="s">
        <v>33</v>
      </c>
      <c r="F460">
        <v>45</v>
      </c>
      <c r="G460" t="s">
        <v>125</v>
      </c>
      <c r="H460" s="17">
        <v>38332</v>
      </c>
      <c r="I460">
        <v>168846</v>
      </c>
      <c r="J460">
        <v>209369</v>
      </c>
      <c r="K460">
        <v>0.24</v>
      </c>
      <c r="L460" t="s">
        <v>34</v>
      </c>
      <c r="M460" t="s">
        <v>35</v>
      </c>
      <c r="N460" s="17"/>
      <c r="O460">
        <v>0</v>
      </c>
    </row>
    <row r="461" spans="1:15" x14ac:dyDescent="0.3">
      <c r="A461" t="s">
        <v>585</v>
      </c>
      <c r="B461" t="s">
        <v>74</v>
      </c>
      <c r="C461" t="s">
        <v>52</v>
      </c>
      <c r="D461" t="s">
        <v>27</v>
      </c>
      <c r="E461" t="s">
        <v>33</v>
      </c>
      <c r="F461">
        <v>35</v>
      </c>
      <c r="G461" t="s">
        <v>135</v>
      </c>
      <c r="H461" s="17">
        <v>40596</v>
      </c>
      <c r="I461">
        <v>43336</v>
      </c>
      <c r="J461">
        <v>43336</v>
      </c>
      <c r="K461">
        <v>0</v>
      </c>
      <c r="L461" t="s">
        <v>29</v>
      </c>
      <c r="M461" t="s">
        <v>51</v>
      </c>
      <c r="N461" s="17">
        <v>44024</v>
      </c>
      <c r="O461">
        <v>1</v>
      </c>
    </row>
    <row r="462" spans="1:15" x14ac:dyDescent="0.3">
      <c r="A462" t="s">
        <v>586</v>
      </c>
      <c r="B462" t="s">
        <v>25</v>
      </c>
      <c r="C462" t="s">
        <v>52</v>
      </c>
      <c r="D462" t="s">
        <v>46</v>
      </c>
      <c r="E462" t="s">
        <v>33</v>
      </c>
      <c r="F462">
        <v>38</v>
      </c>
      <c r="G462" t="s">
        <v>135</v>
      </c>
      <c r="H462" s="17">
        <v>40083</v>
      </c>
      <c r="I462">
        <v>127801</v>
      </c>
      <c r="J462">
        <v>146971</v>
      </c>
      <c r="K462">
        <v>0.15</v>
      </c>
      <c r="L462" t="s">
        <v>29</v>
      </c>
      <c r="M462" t="s">
        <v>43</v>
      </c>
      <c r="N462" s="17"/>
      <c r="O462">
        <v>0</v>
      </c>
    </row>
    <row r="463" spans="1:15" x14ac:dyDescent="0.3">
      <c r="A463" t="s">
        <v>587</v>
      </c>
      <c r="B463" t="s">
        <v>87</v>
      </c>
      <c r="C463" t="s">
        <v>26</v>
      </c>
      <c r="D463" t="s">
        <v>46</v>
      </c>
      <c r="E463" t="s">
        <v>33</v>
      </c>
      <c r="F463">
        <v>54</v>
      </c>
      <c r="G463" t="s">
        <v>125</v>
      </c>
      <c r="H463" s="17">
        <v>36617</v>
      </c>
      <c r="I463">
        <v>76352</v>
      </c>
      <c r="J463">
        <v>76352</v>
      </c>
      <c r="K463">
        <v>0</v>
      </c>
      <c r="L463" t="s">
        <v>29</v>
      </c>
      <c r="M463" t="s">
        <v>51</v>
      </c>
      <c r="N463" s="17"/>
      <c r="O463">
        <v>0</v>
      </c>
    </row>
    <row r="464" spans="1:15" x14ac:dyDescent="0.3">
      <c r="A464" t="s">
        <v>588</v>
      </c>
      <c r="B464" t="s">
        <v>56</v>
      </c>
      <c r="C464" t="s">
        <v>38</v>
      </c>
      <c r="D464" t="s">
        <v>46</v>
      </c>
      <c r="E464" t="s">
        <v>33</v>
      </c>
      <c r="F464">
        <v>28</v>
      </c>
      <c r="G464" t="s">
        <v>127</v>
      </c>
      <c r="H464" s="17">
        <v>43638</v>
      </c>
      <c r="I464">
        <v>250767</v>
      </c>
      <c r="J464">
        <v>346058</v>
      </c>
      <c r="K464">
        <v>0.38</v>
      </c>
      <c r="L464" t="s">
        <v>29</v>
      </c>
      <c r="M464" t="s">
        <v>30</v>
      </c>
      <c r="N464" s="17"/>
      <c r="O464">
        <v>0</v>
      </c>
    </row>
    <row r="465" spans="1:15" x14ac:dyDescent="0.3">
      <c r="A465" t="s">
        <v>589</v>
      </c>
      <c r="B465" t="s">
        <v>56</v>
      </c>
      <c r="C465" t="s">
        <v>57</v>
      </c>
      <c r="D465" t="s">
        <v>46</v>
      </c>
      <c r="E465" t="s">
        <v>33</v>
      </c>
      <c r="F465">
        <v>26</v>
      </c>
      <c r="G465" t="s">
        <v>127</v>
      </c>
      <c r="H465" s="17">
        <v>44101</v>
      </c>
      <c r="I465">
        <v>223055</v>
      </c>
      <c r="J465">
        <v>289972</v>
      </c>
      <c r="K465">
        <v>0.3</v>
      </c>
      <c r="L465" t="s">
        <v>29</v>
      </c>
      <c r="M465" t="s">
        <v>58</v>
      </c>
      <c r="N465" s="17"/>
      <c r="O465">
        <v>0</v>
      </c>
    </row>
    <row r="466" spans="1:15" x14ac:dyDescent="0.3">
      <c r="A466" t="s">
        <v>590</v>
      </c>
      <c r="B466" t="s">
        <v>37</v>
      </c>
      <c r="C466" t="s">
        <v>54</v>
      </c>
      <c r="D466" t="s">
        <v>46</v>
      </c>
      <c r="E466" t="s">
        <v>33</v>
      </c>
      <c r="F466">
        <v>45</v>
      </c>
      <c r="G466" t="s">
        <v>125</v>
      </c>
      <c r="H466" s="17">
        <v>39185</v>
      </c>
      <c r="I466">
        <v>189680</v>
      </c>
      <c r="J466">
        <v>233306</v>
      </c>
      <c r="K466">
        <v>0.23</v>
      </c>
      <c r="L466" t="s">
        <v>59</v>
      </c>
      <c r="M466" t="s">
        <v>76</v>
      </c>
      <c r="N466" s="17"/>
      <c r="O466">
        <v>0</v>
      </c>
    </row>
    <row r="467" spans="1:15" x14ac:dyDescent="0.3">
      <c r="A467" t="s">
        <v>591</v>
      </c>
      <c r="B467" t="s">
        <v>77</v>
      </c>
      <c r="C467" t="s">
        <v>54</v>
      </c>
      <c r="D467" t="s">
        <v>32</v>
      </c>
      <c r="E467" t="s">
        <v>33</v>
      </c>
      <c r="F467">
        <v>57</v>
      </c>
      <c r="G467" t="s">
        <v>122</v>
      </c>
      <c r="H467" s="17">
        <v>43299</v>
      </c>
      <c r="I467">
        <v>71167</v>
      </c>
      <c r="J467">
        <v>71167</v>
      </c>
      <c r="K467">
        <v>0</v>
      </c>
      <c r="L467" t="s">
        <v>29</v>
      </c>
      <c r="M467" t="s">
        <v>58</v>
      </c>
      <c r="N467" s="17"/>
      <c r="O467">
        <v>0</v>
      </c>
    </row>
    <row r="468" spans="1:15" x14ac:dyDescent="0.3">
      <c r="A468" t="s">
        <v>592</v>
      </c>
      <c r="B468" t="s">
        <v>31</v>
      </c>
      <c r="C468" t="s">
        <v>26</v>
      </c>
      <c r="D468" t="s">
        <v>39</v>
      </c>
      <c r="E468" t="s">
        <v>28</v>
      </c>
      <c r="F468">
        <v>59</v>
      </c>
      <c r="G468" t="s">
        <v>122</v>
      </c>
      <c r="H468" s="17">
        <v>40272</v>
      </c>
      <c r="I468">
        <v>76027</v>
      </c>
      <c r="J468">
        <v>76027</v>
      </c>
      <c r="K468">
        <v>0</v>
      </c>
      <c r="L468" t="s">
        <v>29</v>
      </c>
      <c r="M468" t="s">
        <v>30</v>
      </c>
      <c r="N468" s="17"/>
      <c r="O468">
        <v>0</v>
      </c>
    </row>
    <row r="469" spans="1:15" x14ac:dyDescent="0.3">
      <c r="A469" t="s">
        <v>593</v>
      </c>
      <c r="B469" t="s">
        <v>37</v>
      </c>
      <c r="C469" t="s">
        <v>54</v>
      </c>
      <c r="D469" t="s">
        <v>46</v>
      </c>
      <c r="E469" t="s">
        <v>33</v>
      </c>
      <c r="F469">
        <v>48</v>
      </c>
      <c r="G469" t="s">
        <v>125</v>
      </c>
      <c r="H469" s="17">
        <v>43809</v>
      </c>
      <c r="I469">
        <v>183113</v>
      </c>
      <c r="J469">
        <v>227060</v>
      </c>
      <c r="K469">
        <v>0.24</v>
      </c>
      <c r="L469" t="s">
        <v>59</v>
      </c>
      <c r="M469" t="s">
        <v>61</v>
      </c>
      <c r="N469" s="17"/>
      <c r="O469">
        <v>0</v>
      </c>
    </row>
    <row r="470" spans="1:15" x14ac:dyDescent="0.3">
      <c r="A470" t="s">
        <v>594</v>
      </c>
      <c r="B470" t="s">
        <v>66</v>
      </c>
      <c r="C470" t="s">
        <v>50</v>
      </c>
      <c r="D470" t="s">
        <v>32</v>
      </c>
      <c r="E470" t="s">
        <v>33</v>
      </c>
      <c r="F470">
        <v>30</v>
      </c>
      <c r="G470" t="s">
        <v>127</v>
      </c>
      <c r="H470" s="17">
        <v>44124</v>
      </c>
      <c r="I470">
        <v>67753</v>
      </c>
      <c r="J470">
        <v>67753</v>
      </c>
      <c r="K470">
        <v>0</v>
      </c>
      <c r="L470" t="s">
        <v>29</v>
      </c>
      <c r="M470" t="s">
        <v>43</v>
      </c>
      <c r="N470" s="17"/>
      <c r="O470">
        <v>0</v>
      </c>
    </row>
    <row r="471" spans="1:15" x14ac:dyDescent="0.3">
      <c r="A471" t="s">
        <v>595</v>
      </c>
      <c r="B471" t="s">
        <v>41</v>
      </c>
      <c r="C471" t="s">
        <v>26</v>
      </c>
      <c r="D471" t="s">
        <v>46</v>
      </c>
      <c r="E471" t="s">
        <v>33</v>
      </c>
      <c r="F471">
        <v>31</v>
      </c>
      <c r="G471" t="s">
        <v>127</v>
      </c>
      <c r="H471" s="17">
        <v>42656</v>
      </c>
      <c r="I471">
        <v>63744</v>
      </c>
      <c r="J471">
        <v>68844</v>
      </c>
      <c r="K471">
        <v>0.08</v>
      </c>
      <c r="L471" t="s">
        <v>29</v>
      </c>
      <c r="M471" t="s">
        <v>51</v>
      </c>
      <c r="N471" s="17"/>
      <c r="O471">
        <v>0</v>
      </c>
    </row>
    <row r="472" spans="1:15" x14ac:dyDescent="0.3">
      <c r="A472" t="s">
        <v>596</v>
      </c>
      <c r="B472" t="s">
        <v>62</v>
      </c>
      <c r="C472" t="s">
        <v>54</v>
      </c>
      <c r="D472" t="s">
        <v>32</v>
      </c>
      <c r="E472" t="s">
        <v>28</v>
      </c>
      <c r="F472">
        <v>50</v>
      </c>
      <c r="G472" t="s">
        <v>125</v>
      </c>
      <c r="H472" s="17">
        <v>37446</v>
      </c>
      <c r="I472">
        <v>92209</v>
      </c>
      <c r="J472">
        <v>92209</v>
      </c>
      <c r="K472">
        <v>0</v>
      </c>
      <c r="L472" t="s">
        <v>34</v>
      </c>
      <c r="M472" t="s">
        <v>55</v>
      </c>
      <c r="N472" s="17"/>
      <c r="O472">
        <v>0</v>
      </c>
    </row>
    <row r="473" spans="1:15" x14ac:dyDescent="0.3">
      <c r="A473" t="s">
        <v>597</v>
      </c>
      <c r="B473" t="s">
        <v>25</v>
      </c>
      <c r="C473" t="s">
        <v>45</v>
      </c>
      <c r="D473" t="s">
        <v>46</v>
      </c>
      <c r="E473" t="s">
        <v>33</v>
      </c>
      <c r="F473">
        <v>51</v>
      </c>
      <c r="G473" t="s">
        <v>125</v>
      </c>
      <c r="H473" s="17">
        <v>36770</v>
      </c>
      <c r="I473">
        <v>157487</v>
      </c>
      <c r="J473">
        <v>176385</v>
      </c>
      <c r="K473">
        <v>0.12</v>
      </c>
      <c r="L473" t="s">
        <v>29</v>
      </c>
      <c r="M473" t="s">
        <v>43</v>
      </c>
      <c r="N473" s="17"/>
      <c r="O473">
        <v>0</v>
      </c>
    </row>
    <row r="474" spans="1:15" x14ac:dyDescent="0.3">
      <c r="A474" t="s">
        <v>598</v>
      </c>
      <c r="B474" t="s">
        <v>42</v>
      </c>
      <c r="C474" t="s">
        <v>57</v>
      </c>
      <c r="D474" t="s">
        <v>27</v>
      </c>
      <c r="E474" t="s">
        <v>33</v>
      </c>
      <c r="F474">
        <v>42</v>
      </c>
      <c r="G474" t="s">
        <v>135</v>
      </c>
      <c r="H474" s="17">
        <v>42101</v>
      </c>
      <c r="I474">
        <v>99697</v>
      </c>
      <c r="J474">
        <v>99697</v>
      </c>
      <c r="K474">
        <v>0</v>
      </c>
      <c r="L474" t="s">
        <v>59</v>
      </c>
      <c r="M474" t="s">
        <v>61</v>
      </c>
      <c r="N474" s="17"/>
      <c r="O474">
        <v>0</v>
      </c>
    </row>
    <row r="475" spans="1:15" x14ac:dyDescent="0.3">
      <c r="A475" t="s">
        <v>599</v>
      </c>
      <c r="B475" t="s">
        <v>87</v>
      </c>
      <c r="C475" t="s">
        <v>26</v>
      </c>
      <c r="D475" t="s">
        <v>27</v>
      </c>
      <c r="E475" t="s">
        <v>33</v>
      </c>
      <c r="F475">
        <v>45</v>
      </c>
      <c r="G475" t="s">
        <v>125</v>
      </c>
      <c r="H475" s="17">
        <v>40235</v>
      </c>
      <c r="I475">
        <v>90770</v>
      </c>
      <c r="J475">
        <v>90770</v>
      </c>
      <c r="K475">
        <v>0</v>
      </c>
      <c r="L475" t="s">
        <v>29</v>
      </c>
      <c r="M475" t="s">
        <v>58</v>
      </c>
      <c r="N475" s="17"/>
      <c r="O475">
        <v>0</v>
      </c>
    </row>
    <row r="476" spans="1:15" x14ac:dyDescent="0.3">
      <c r="A476" t="s">
        <v>600</v>
      </c>
      <c r="B476" t="s">
        <v>48</v>
      </c>
      <c r="C476" t="s">
        <v>45</v>
      </c>
      <c r="D476" t="s">
        <v>39</v>
      </c>
      <c r="E476" t="s">
        <v>28</v>
      </c>
      <c r="F476">
        <v>64</v>
      </c>
      <c r="G476" t="s">
        <v>122</v>
      </c>
      <c r="H476" s="17">
        <v>38380</v>
      </c>
      <c r="I476">
        <v>55369</v>
      </c>
      <c r="J476">
        <v>55369</v>
      </c>
      <c r="K476">
        <v>0</v>
      </c>
      <c r="L476" t="s">
        <v>29</v>
      </c>
      <c r="M476" t="s">
        <v>43</v>
      </c>
      <c r="N476" s="17"/>
      <c r="O476">
        <v>0</v>
      </c>
    </row>
    <row r="477" spans="1:15" x14ac:dyDescent="0.3">
      <c r="A477" t="s">
        <v>601</v>
      </c>
      <c r="B477" t="s">
        <v>71</v>
      </c>
      <c r="C477" t="s">
        <v>54</v>
      </c>
      <c r="D477" t="s">
        <v>39</v>
      </c>
      <c r="E477" t="s">
        <v>28</v>
      </c>
      <c r="F477">
        <v>59</v>
      </c>
      <c r="G477" t="s">
        <v>122</v>
      </c>
      <c r="H477" s="17">
        <v>41898</v>
      </c>
      <c r="I477">
        <v>69578</v>
      </c>
      <c r="J477">
        <v>69578</v>
      </c>
      <c r="K477">
        <v>0</v>
      </c>
      <c r="L477" t="s">
        <v>59</v>
      </c>
      <c r="M477" t="s">
        <v>61</v>
      </c>
      <c r="N477" s="17"/>
      <c r="O477">
        <v>0</v>
      </c>
    </row>
    <row r="478" spans="1:15" x14ac:dyDescent="0.3">
      <c r="A478" t="s">
        <v>602</v>
      </c>
      <c r="B478" t="s">
        <v>37</v>
      </c>
      <c r="C478" t="s">
        <v>50</v>
      </c>
      <c r="D478" t="s">
        <v>39</v>
      </c>
      <c r="E478" t="s">
        <v>33</v>
      </c>
      <c r="F478">
        <v>41</v>
      </c>
      <c r="G478" t="s">
        <v>135</v>
      </c>
      <c r="H478" s="17">
        <v>41429</v>
      </c>
      <c r="I478">
        <v>167526</v>
      </c>
      <c r="J478">
        <v>211083</v>
      </c>
      <c r="K478">
        <v>0.26</v>
      </c>
      <c r="L478" t="s">
        <v>29</v>
      </c>
      <c r="M478" t="s">
        <v>49</v>
      </c>
      <c r="N478" s="17"/>
      <c r="O478">
        <v>0</v>
      </c>
    </row>
    <row r="479" spans="1:15" x14ac:dyDescent="0.3">
      <c r="A479" t="s">
        <v>603</v>
      </c>
      <c r="B479" t="s">
        <v>71</v>
      </c>
      <c r="C479" t="s">
        <v>54</v>
      </c>
      <c r="D479" t="s">
        <v>39</v>
      </c>
      <c r="E479" t="s">
        <v>28</v>
      </c>
      <c r="F479">
        <v>42</v>
      </c>
      <c r="G479" t="s">
        <v>135</v>
      </c>
      <c r="H479" s="17">
        <v>44232</v>
      </c>
      <c r="I479">
        <v>65507</v>
      </c>
      <c r="J479">
        <v>65507</v>
      </c>
      <c r="K479">
        <v>0</v>
      </c>
      <c r="L479" t="s">
        <v>59</v>
      </c>
      <c r="M479" t="s">
        <v>60</v>
      </c>
      <c r="N479" s="17"/>
      <c r="O479">
        <v>0</v>
      </c>
    </row>
    <row r="480" spans="1:15" x14ac:dyDescent="0.3">
      <c r="A480" t="s">
        <v>604</v>
      </c>
      <c r="B480" t="s">
        <v>47</v>
      </c>
      <c r="C480" t="s">
        <v>38</v>
      </c>
      <c r="D480" t="s">
        <v>27</v>
      </c>
      <c r="E480" t="s">
        <v>33</v>
      </c>
      <c r="F480">
        <v>54</v>
      </c>
      <c r="G480" t="s">
        <v>125</v>
      </c>
      <c r="H480" s="17">
        <v>35913</v>
      </c>
      <c r="I480">
        <v>108268</v>
      </c>
      <c r="J480">
        <v>118012</v>
      </c>
      <c r="K480">
        <v>0.09</v>
      </c>
      <c r="L480" t="s">
        <v>59</v>
      </c>
      <c r="M480" t="s">
        <v>76</v>
      </c>
      <c r="N480" s="17">
        <v>38122</v>
      </c>
      <c r="O480">
        <v>1</v>
      </c>
    </row>
    <row r="481" spans="1:15" x14ac:dyDescent="0.3">
      <c r="A481" t="s">
        <v>605</v>
      </c>
      <c r="B481" t="s">
        <v>31</v>
      </c>
      <c r="C481" t="s">
        <v>26</v>
      </c>
      <c r="D481" t="s">
        <v>27</v>
      </c>
      <c r="E481" t="s">
        <v>33</v>
      </c>
      <c r="F481">
        <v>37</v>
      </c>
      <c r="G481" t="s">
        <v>135</v>
      </c>
      <c r="H481" s="17">
        <v>42405</v>
      </c>
      <c r="I481">
        <v>80055</v>
      </c>
      <c r="J481">
        <v>80055</v>
      </c>
      <c r="K481">
        <v>0</v>
      </c>
      <c r="L481" t="s">
        <v>34</v>
      </c>
      <c r="M481" t="s">
        <v>64</v>
      </c>
      <c r="N481" s="17"/>
      <c r="O481">
        <v>0</v>
      </c>
    </row>
    <row r="482" spans="1:15" x14ac:dyDescent="0.3">
      <c r="A482" t="s">
        <v>606</v>
      </c>
      <c r="B482" t="s">
        <v>42</v>
      </c>
      <c r="C482" t="s">
        <v>45</v>
      </c>
      <c r="D482" t="s">
        <v>27</v>
      </c>
      <c r="E482" t="s">
        <v>33</v>
      </c>
      <c r="F482">
        <v>58</v>
      </c>
      <c r="G482" t="s">
        <v>122</v>
      </c>
      <c r="H482" s="17">
        <v>39930</v>
      </c>
      <c r="I482">
        <v>76802</v>
      </c>
      <c r="J482">
        <v>76802</v>
      </c>
      <c r="K482">
        <v>0</v>
      </c>
      <c r="L482" t="s">
        <v>59</v>
      </c>
      <c r="M482" t="s">
        <v>60</v>
      </c>
      <c r="N482" s="17"/>
      <c r="O482">
        <v>0</v>
      </c>
    </row>
    <row r="483" spans="1:15" x14ac:dyDescent="0.3">
      <c r="A483" t="s">
        <v>607</v>
      </c>
      <c r="B483" t="s">
        <v>56</v>
      </c>
      <c r="C483" t="s">
        <v>45</v>
      </c>
      <c r="D483" t="s">
        <v>39</v>
      </c>
      <c r="E483" t="s">
        <v>33</v>
      </c>
      <c r="F483">
        <v>47</v>
      </c>
      <c r="G483" t="s">
        <v>125</v>
      </c>
      <c r="H483" s="17">
        <v>42696</v>
      </c>
      <c r="I483">
        <v>253249</v>
      </c>
      <c r="J483">
        <v>331756</v>
      </c>
      <c r="K483">
        <v>0.31</v>
      </c>
      <c r="L483" t="s">
        <v>29</v>
      </c>
      <c r="M483" t="s">
        <v>51</v>
      </c>
      <c r="N483" s="17"/>
      <c r="O483">
        <v>0</v>
      </c>
    </row>
    <row r="484" spans="1:15" x14ac:dyDescent="0.3">
      <c r="A484" t="s">
        <v>608</v>
      </c>
      <c r="B484" t="s">
        <v>69</v>
      </c>
      <c r="C484" t="s">
        <v>52</v>
      </c>
      <c r="D484" t="s">
        <v>27</v>
      </c>
      <c r="E484" t="s">
        <v>28</v>
      </c>
      <c r="F484">
        <v>60</v>
      </c>
      <c r="G484" t="s">
        <v>122</v>
      </c>
      <c r="H484" s="17">
        <v>38667</v>
      </c>
      <c r="I484">
        <v>78388</v>
      </c>
      <c r="J484">
        <v>78388</v>
      </c>
      <c r="K484">
        <v>0</v>
      </c>
      <c r="L484" t="s">
        <v>34</v>
      </c>
      <c r="M484" t="s">
        <v>35</v>
      </c>
      <c r="N484" s="17"/>
      <c r="O484">
        <v>0</v>
      </c>
    </row>
    <row r="485" spans="1:15" x14ac:dyDescent="0.3">
      <c r="A485" t="s">
        <v>609</v>
      </c>
      <c r="B485" t="s">
        <v>56</v>
      </c>
      <c r="C485" t="s">
        <v>26</v>
      </c>
      <c r="D485" t="s">
        <v>46</v>
      </c>
      <c r="E485" t="s">
        <v>33</v>
      </c>
      <c r="F485">
        <v>38</v>
      </c>
      <c r="G485" t="s">
        <v>135</v>
      </c>
      <c r="H485" s="17">
        <v>42543</v>
      </c>
      <c r="I485">
        <v>249870</v>
      </c>
      <c r="J485">
        <v>334826</v>
      </c>
      <c r="K485">
        <v>0.34</v>
      </c>
      <c r="L485" t="s">
        <v>29</v>
      </c>
      <c r="M485" t="s">
        <v>40</v>
      </c>
      <c r="N485" s="17"/>
      <c r="O485">
        <v>0</v>
      </c>
    </row>
    <row r="486" spans="1:15" x14ac:dyDescent="0.3">
      <c r="A486" t="s">
        <v>610</v>
      </c>
      <c r="B486" t="s">
        <v>25</v>
      </c>
      <c r="C486" t="s">
        <v>57</v>
      </c>
      <c r="D486" t="s">
        <v>32</v>
      </c>
      <c r="E486" t="s">
        <v>33</v>
      </c>
      <c r="F486">
        <v>63</v>
      </c>
      <c r="G486" t="s">
        <v>122</v>
      </c>
      <c r="H486" s="17">
        <v>42064</v>
      </c>
      <c r="I486">
        <v>148321</v>
      </c>
      <c r="J486">
        <v>170569</v>
      </c>
      <c r="K486">
        <v>0.15</v>
      </c>
      <c r="L486" t="s">
        <v>34</v>
      </c>
      <c r="M486" t="s">
        <v>64</v>
      </c>
      <c r="N486" s="17"/>
      <c r="O486">
        <v>0</v>
      </c>
    </row>
    <row r="487" spans="1:15" x14ac:dyDescent="0.3">
      <c r="A487" t="s">
        <v>611</v>
      </c>
      <c r="B487" t="s">
        <v>86</v>
      </c>
      <c r="C487" t="s">
        <v>26</v>
      </c>
      <c r="D487" t="s">
        <v>46</v>
      </c>
      <c r="E487" t="s">
        <v>28</v>
      </c>
      <c r="F487">
        <v>60</v>
      </c>
      <c r="G487" t="s">
        <v>122</v>
      </c>
      <c r="H487" s="17">
        <v>38027</v>
      </c>
      <c r="I487">
        <v>90258</v>
      </c>
      <c r="J487">
        <v>90258</v>
      </c>
      <c r="K487">
        <v>0</v>
      </c>
      <c r="L487" t="s">
        <v>34</v>
      </c>
      <c r="M487" t="s">
        <v>35</v>
      </c>
      <c r="N487" s="17"/>
      <c r="O487">
        <v>0</v>
      </c>
    </row>
    <row r="488" spans="1:15" x14ac:dyDescent="0.3">
      <c r="A488" t="s">
        <v>612</v>
      </c>
      <c r="B488" t="s">
        <v>82</v>
      </c>
      <c r="C488" t="s">
        <v>26</v>
      </c>
      <c r="D488" t="s">
        <v>32</v>
      </c>
      <c r="E488" t="s">
        <v>28</v>
      </c>
      <c r="F488">
        <v>42</v>
      </c>
      <c r="G488" t="s">
        <v>135</v>
      </c>
      <c r="H488" s="17">
        <v>40593</v>
      </c>
      <c r="I488">
        <v>72486</v>
      </c>
      <c r="J488">
        <v>72486</v>
      </c>
      <c r="K488">
        <v>0</v>
      </c>
      <c r="L488" t="s">
        <v>29</v>
      </c>
      <c r="M488" t="s">
        <v>30</v>
      </c>
      <c r="N488" s="17"/>
      <c r="O488">
        <v>0</v>
      </c>
    </row>
    <row r="489" spans="1:15" x14ac:dyDescent="0.3">
      <c r="A489" t="s">
        <v>613</v>
      </c>
      <c r="B489" t="s">
        <v>42</v>
      </c>
      <c r="C489" t="s">
        <v>38</v>
      </c>
      <c r="D489" t="s">
        <v>46</v>
      </c>
      <c r="E489" t="s">
        <v>33</v>
      </c>
      <c r="F489">
        <v>34</v>
      </c>
      <c r="G489" t="s">
        <v>127</v>
      </c>
      <c r="H489" s="17">
        <v>41886</v>
      </c>
      <c r="I489">
        <v>95499</v>
      </c>
      <c r="J489">
        <v>95499</v>
      </c>
      <c r="K489">
        <v>0</v>
      </c>
      <c r="L489" t="s">
        <v>59</v>
      </c>
      <c r="M489" t="s">
        <v>76</v>
      </c>
      <c r="N489" s="17">
        <v>42958</v>
      </c>
      <c r="O489">
        <v>1</v>
      </c>
    </row>
    <row r="490" spans="1:15" x14ac:dyDescent="0.3">
      <c r="A490" t="s">
        <v>614</v>
      </c>
      <c r="B490" t="s">
        <v>42</v>
      </c>
      <c r="C490" t="s">
        <v>50</v>
      </c>
      <c r="D490" t="s">
        <v>27</v>
      </c>
      <c r="E490" t="s">
        <v>28</v>
      </c>
      <c r="F490">
        <v>53</v>
      </c>
      <c r="G490" t="s">
        <v>125</v>
      </c>
      <c r="H490" s="17">
        <v>38344</v>
      </c>
      <c r="I490">
        <v>90212</v>
      </c>
      <c r="J490">
        <v>90212</v>
      </c>
      <c r="K490">
        <v>0</v>
      </c>
      <c r="L490" t="s">
        <v>59</v>
      </c>
      <c r="M490" t="s">
        <v>76</v>
      </c>
      <c r="N490" s="17"/>
      <c r="O490">
        <v>0</v>
      </c>
    </row>
    <row r="491" spans="1:15" x14ac:dyDescent="0.3">
      <c r="A491" t="s">
        <v>615</v>
      </c>
      <c r="B491" t="s">
        <v>56</v>
      </c>
      <c r="C491" t="s">
        <v>57</v>
      </c>
      <c r="D491" t="s">
        <v>27</v>
      </c>
      <c r="E491" t="s">
        <v>33</v>
      </c>
      <c r="F491">
        <v>39</v>
      </c>
      <c r="G491" t="s">
        <v>135</v>
      </c>
      <c r="H491" s="17">
        <v>43804</v>
      </c>
      <c r="I491">
        <v>254057</v>
      </c>
      <c r="J491">
        <v>353139</v>
      </c>
      <c r="K491">
        <v>0.39</v>
      </c>
      <c r="L491" t="s">
        <v>34</v>
      </c>
      <c r="M491" t="s">
        <v>55</v>
      </c>
      <c r="N491" s="17"/>
      <c r="O491">
        <v>0</v>
      </c>
    </row>
    <row r="492" spans="1:15" x14ac:dyDescent="0.3">
      <c r="A492" t="s">
        <v>616</v>
      </c>
      <c r="B492" t="s">
        <v>74</v>
      </c>
      <c r="C492" t="s">
        <v>52</v>
      </c>
      <c r="D492" t="s">
        <v>32</v>
      </c>
      <c r="E492" t="s">
        <v>28</v>
      </c>
      <c r="F492">
        <v>58</v>
      </c>
      <c r="G492" t="s">
        <v>122</v>
      </c>
      <c r="H492" s="17">
        <v>40463</v>
      </c>
      <c r="I492">
        <v>43001</v>
      </c>
      <c r="J492">
        <v>43001</v>
      </c>
      <c r="K492">
        <v>0</v>
      </c>
      <c r="L492" t="s">
        <v>29</v>
      </c>
      <c r="M492" t="s">
        <v>51</v>
      </c>
      <c r="N492" s="17"/>
      <c r="O492">
        <v>0</v>
      </c>
    </row>
    <row r="493" spans="1:15" x14ac:dyDescent="0.3">
      <c r="A493" t="s">
        <v>617</v>
      </c>
      <c r="B493" t="s">
        <v>41</v>
      </c>
      <c r="C493" t="s">
        <v>26</v>
      </c>
      <c r="D493" t="s">
        <v>32</v>
      </c>
      <c r="E493" t="s">
        <v>33</v>
      </c>
      <c r="F493">
        <v>60</v>
      </c>
      <c r="G493" t="s">
        <v>122</v>
      </c>
      <c r="H493" s="17">
        <v>36010</v>
      </c>
      <c r="I493">
        <v>85120</v>
      </c>
      <c r="J493">
        <v>92781</v>
      </c>
      <c r="K493">
        <v>0.09</v>
      </c>
      <c r="L493" t="s">
        <v>29</v>
      </c>
      <c r="M493" t="s">
        <v>30</v>
      </c>
      <c r="N493" s="17"/>
      <c r="O493">
        <v>0</v>
      </c>
    </row>
    <row r="494" spans="1:15" x14ac:dyDescent="0.3">
      <c r="A494" t="s">
        <v>618</v>
      </c>
      <c r="B494" t="s">
        <v>74</v>
      </c>
      <c r="C494" t="s">
        <v>52</v>
      </c>
      <c r="D494" t="s">
        <v>32</v>
      </c>
      <c r="E494" t="s">
        <v>33</v>
      </c>
      <c r="F494">
        <v>34</v>
      </c>
      <c r="G494" t="s">
        <v>127</v>
      </c>
      <c r="H494" s="17">
        <v>42219</v>
      </c>
      <c r="I494">
        <v>52200</v>
      </c>
      <c r="J494">
        <v>52200</v>
      </c>
      <c r="K494">
        <v>0</v>
      </c>
      <c r="L494" t="s">
        <v>29</v>
      </c>
      <c r="M494" t="s">
        <v>58</v>
      </c>
      <c r="N494" s="17"/>
      <c r="O494">
        <v>0</v>
      </c>
    </row>
    <row r="495" spans="1:15" x14ac:dyDescent="0.3">
      <c r="A495" t="s">
        <v>619</v>
      </c>
      <c r="B495" t="s">
        <v>25</v>
      </c>
      <c r="C495" t="s">
        <v>52</v>
      </c>
      <c r="D495" t="s">
        <v>46</v>
      </c>
      <c r="E495" t="s">
        <v>28</v>
      </c>
      <c r="F495">
        <v>60</v>
      </c>
      <c r="G495" t="s">
        <v>122</v>
      </c>
      <c r="H495" s="17">
        <v>39739</v>
      </c>
      <c r="I495">
        <v>150855</v>
      </c>
      <c r="J495">
        <v>167449</v>
      </c>
      <c r="K495">
        <v>0.11</v>
      </c>
      <c r="L495" t="s">
        <v>29</v>
      </c>
      <c r="M495" t="s">
        <v>43</v>
      </c>
      <c r="N495" s="17"/>
      <c r="O495">
        <v>0</v>
      </c>
    </row>
    <row r="496" spans="1:15" x14ac:dyDescent="0.3">
      <c r="A496" t="s">
        <v>620</v>
      </c>
      <c r="B496" t="s">
        <v>67</v>
      </c>
      <c r="C496" t="s">
        <v>26</v>
      </c>
      <c r="D496" t="s">
        <v>32</v>
      </c>
      <c r="E496" t="s">
        <v>28</v>
      </c>
      <c r="F496">
        <v>53</v>
      </c>
      <c r="G496" t="s">
        <v>125</v>
      </c>
      <c r="H496" s="17">
        <v>38188</v>
      </c>
      <c r="I496">
        <v>65702</v>
      </c>
      <c r="J496">
        <v>65702</v>
      </c>
      <c r="K496">
        <v>0</v>
      </c>
      <c r="L496" t="s">
        <v>29</v>
      </c>
      <c r="M496" t="s">
        <v>58</v>
      </c>
      <c r="N496" s="17"/>
      <c r="O496">
        <v>0</v>
      </c>
    </row>
    <row r="497" spans="1:15" x14ac:dyDescent="0.3">
      <c r="A497" t="s">
        <v>621</v>
      </c>
      <c r="B497" t="s">
        <v>37</v>
      </c>
      <c r="C497" t="s">
        <v>38</v>
      </c>
      <c r="D497" t="s">
        <v>46</v>
      </c>
      <c r="E497" t="s">
        <v>33</v>
      </c>
      <c r="F497">
        <v>58</v>
      </c>
      <c r="G497" t="s">
        <v>122</v>
      </c>
      <c r="H497" s="17">
        <v>39367</v>
      </c>
      <c r="I497">
        <v>162038</v>
      </c>
      <c r="J497">
        <v>200927</v>
      </c>
      <c r="K497">
        <v>0.24</v>
      </c>
      <c r="L497" t="s">
        <v>34</v>
      </c>
      <c r="M497" t="s">
        <v>35</v>
      </c>
      <c r="N497" s="17"/>
      <c r="O497">
        <v>0</v>
      </c>
    </row>
    <row r="498" spans="1:15" x14ac:dyDescent="0.3">
      <c r="A498" t="s">
        <v>622</v>
      </c>
      <c r="B498" t="s">
        <v>25</v>
      </c>
      <c r="C498" t="s">
        <v>57</v>
      </c>
      <c r="D498" t="s">
        <v>27</v>
      </c>
      <c r="E498" t="s">
        <v>28</v>
      </c>
      <c r="F498">
        <v>25</v>
      </c>
      <c r="G498" t="s">
        <v>127</v>
      </c>
      <c r="H498" s="17">
        <v>43930</v>
      </c>
      <c r="I498">
        <v>157057</v>
      </c>
      <c r="J498">
        <v>172763</v>
      </c>
      <c r="K498">
        <v>0.1</v>
      </c>
      <c r="L498" t="s">
        <v>29</v>
      </c>
      <c r="M498" t="s">
        <v>58</v>
      </c>
      <c r="N498" s="17"/>
      <c r="O498">
        <v>0</v>
      </c>
    </row>
    <row r="499" spans="1:15" x14ac:dyDescent="0.3">
      <c r="A499" t="s">
        <v>623</v>
      </c>
      <c r="B499" t="s">
        <v>47</v>
      </c>
      <c r="C499" t="s">
        <v>26</v>
      </c>
      <c r="D499" t="s">
        <v>27</v>
      </c>
      <c r="E499" t="s">
        <v>33</v>
      </c>
      <c r="F499">
        <v>46</v>
      </c>
      <c r="G499" t="s">
        <v>125</v>
      </c>
      <c r="H499" s="17">
        <v>44419</v>
      </c>
      <c r="I499">
        <v>127559</v>
      </c>
      <c r="J499">
        <v>140315</v>
      </c>
      <c r="K499">
        <v>0.1</v>
      </c>
      <c r="L499" t="s">
        <v>29</v>
      </c>
      <c r="M499" t="s">
        <v>51</v>
      </c>
      <c r="N499" s="17"/>
      <c r="O499">
        <v>0</v>
      </c>
    </row>
    <row r="500" spans="1:15" x14ac:dyDescent="0.3">
      <c r="A500" t="s">
        <v>624</v>
      </c>
      <c r="B500" t="s">
        <v>71</v>
      </c>
      <c r="C500" t="s">
        <v>54</v>
      </c>
      <c r="D500" t="s">
        <v>46</v>
      </c>
      <c r="E500" t="s">
        <v>28</v>
      </c>
      <c r="F500">
        <v>39</v>
      </c>
      <c r="G500" t="s">
        <v>135</v>
      </c>
      <c r="H500" s="17">
        <v>43536</v>
      </c>
      <c r="I500">
        <v>62644</v>
      </c>
      <c r="J500">
        <v>62644</v>
      </c>
      <c r="K500">
        <v>0</v>
      </c>
      <c r="L500" t="s">
        <v>29</v>
      </c>
      <c r="M500" t="s">
        <v>30</v>
      </c>
      <c r="N500" s="17"/>
      <c r="O500">
        <v>0</v>
      </c>
    </row>
    <row r="501" spans="1:15" x14ac:dyDescent="0.3">
      <c r="A501" t="s">
        <v>625</v>
      </c>
      <c r="B501" t="s">
        <v>78</v>
      </c>
      <c r="C501" t="s">
        <v>26</v>
      </c>
      <c r="D501" t="s">
        <v>32</v>
      </c>
      <c r="E501" t="s">
        <v>33</v>
      </c>
      <c r="F501">
        <v>50</v>
      </c>
      <c r="G501" t="s">
        <v>125</v>
      </c>
      <c r="H501" s="17">
        <v>36956</v>
      </c>
      <c r="I501">
        <v>73907</v>
      </c>
      <c r="J501">
        <v>73907</v>
      </c>
      <c r="K501">
        <v>0</v>
      </c>
      <c r="L501" t="s">
        <v>34</v>
      </c>
      <c r="M501" t="s">
        <v>55</v>
      </c>
      <c r="N501" s="17"/>
      <c r="O501">
        <v>0</v>
      </c>
    </row>
    <row r="502" spans="1:15" x14ac:dyDescent="0.3">
      <c r="A502" t="s">
        <v>626</v>
      </c>
      <c r="B502" t="s">
        <v>42</v>
      </c>
      <c r="C502" t="s">
        <v>50</v>
      </c>
      <c r="D502" t="s">
        <v>32</v>
      </c>
      <c r="E502" t="s">
        <v>28</v>
      </c>
      <c r="F502">
        <v>56</v>
      </c>
      <c r="G502" t="s">
        <v>122</v>
      </c>
      <c r="H502" s="17">
        <v>43169</v>
      </c>
      <c r="I502">
        <v>90040</v>
      </c>
      <c r="J502">
        <v>90040</v>
      </c>
      <c r="K502">
        <v>0</v>
      </c>
      <c r="L502" t="s">
        <v>29</v>
      </c>
      <c r="M502" t="s">
        <v>40</v>
      </c>
      <c r="N502" s="17"/>
      <c r="O502">
        <v>0</v>
      </c>
    </row>
    <row r="503" spans="1:15" x14ac:dyDescent="0.3">
      <c r="A503" t="s">
        <v>627</v>
      </c>
      <c r="B503" t="s">
        <v>80</v>
      </c>
      <c r="C503" t="s">
        <v>54</v>
      </c>
      <c r="D503" t="s">
        <v>32</v>
      </c>
      <c r="E503" t="s">
        <v>28</v>
      </c>
      <c r="F503">
        <v>30</v>
      </c>
      <c r="G503" t="s">
        <v>127</v>
      </c>
      <c r="H503" s="17">
        <v>42516</v>
      </c>
      <c r="I503">
        <v>91134</v>
      </c>
      <c r="J503">
        <v>91134</v>
      </c>
      <c r="K503">
        <v>0</v>
      </c>
      <c r="L503" t="s">
        <v>59</v>
      </c>
      <c r="M503" t="s">
        <v>76</v>
      </c>
      <c r="N503" s="17"/>
      <c r="O503">
        <v>0</v>
      </c>
    </row>
    <row r="504" spans="1:15" x14ac:dyDescent="0.3">
      <c r="A504" t="s">
        <v>628</v>
      </c>
      <c r="B504" t="s">
        <v>56</v>
      </c>
      <c r="C504" t="s">
        <v>52</v>
      </c>
      <c r="D504" t="s">
        <v>39</v>
      </c>
      <c r="E504" t="s">
        <v>28</v>
      </c>
      <c r="F504">
        <v>45</v>
      </c>
      <c r="G504" t="s">
        <v>125</v>
      </c>
      <c r="H504" s="17">
        <v>44461</v>
      </c>
      <c r="I504">
        <v>201396</v>
      </c>
      <c r="J504">
        <v>265843</v>
      </c>
      <c r="K504">
        <v>0.32</v>
      </c>
      <c r="L504" t="s">
        <v>29</v>
      </c>
      <c r="M504" t="s">
        <v>49</v>
      </c>
      <c r="N504" s="17"/>
      <c r="O504">
        <v>0</v>
      </c>
    </row>
    <row r="505" spans="1:15" x14ac:dyDescent="0.3">
      <c r="A505" t="s">
        <v>629</v>
      </c>
      <c r="B505" t="s">
        <v>48</v>
      </c>
      <c r="C505" t="s">
        <v>50</v>
      </c>
      <c r="D505" t="s">
        <v>46</v>
      </c>
      <c r="E505" t="s">
        <v>28</v>
      </c>
      <c r="F505">
        <v>55</v>
      </c>
      <c r="G505" t="s">
        <v>122</v>
      </c>
      <c r="H505" s="17">
        <v>40899</v>
      </c>
      <c r="I505">
        <v>54733</v>
      </c>
      <c r="J505">
        <v>54733</v>
      </c>
      <c r="K505">
        <v>0</v>
      </c>
      <c r="L505" t="s">
        <v>34</v>
      </c>
      <c r="M505" t="s">
        <v>35</v>
      </c>
      <c r="N505" s="17"/>
      <c r="O505">
        <v>0</v>
      </c>
    </row>
    <row r="506" spans="1:15" x14ac:dyDescent="0.3">
      <c r="A506" t="s">
        <v>630</v>
      </c>
      <c r="B506" t="s">
        <v>82</v>
      </c>
      <c r="C506" t="s">
        <v>26</v>
      </c>
      <c r="D506" t="s">
        <v>46</v>
      </c>
      <c r="E506" t="s">
        <v>33</v>
      </c>
      <c r="F506">
        <v>28</v>
      </c>
      <c r="G506" t="s">
        <v>127</v>
      </c>
      <c r="H506" s="17">
        <v>43633</v>
      </c>
      <c r="I506">
        <v>65341</v>
      </c>
      <c r="J506">
        <v>65341</v>
      </c>
      <c r="K506">
        <v>0</v>
      </c>
      <c r="L506" t="s">
        <v>29</v>
      </c>
      <c r="M506" t="s">
        <v>49</v>
      </c>
      <c r="N506" s="17">
        <v>44662</v>
      </c>
      <c r="O506">
        <v>1</v>
      </c>
    </row>
    <row r="507" spans="1:15" x14ac:dyDescent="0.3">
      <c r="A507" t="s">
        <v>631</v>
      </c>
      <c r="B507" t="s">
        <v>25</v>
      </c>
      <c r="C507" t="s">
        <v>38</v>
      </c>
      <c r="D507" t="s">
        <v>46</v>
      </c>
      <c r="E507" t="s">
        <v>28</v>
      </c>
      <c r="F507">
        <v>59</v>
      </c>
      <c r="G507" t="s">
        <v>122</v>
      </c>
      <c r="H507" s="17">
        <v>43400</v>
      </c>
      <c r="I507">
        <v>139208</v>
      </c>
      <c r="J507">
        <v>154521</v>
      </c>
      <c r="K507">
        <v>0.11</v>
      </c>
      <c r="L507" t="s">
        <v>29</v>
      </c>
      <c r="M507" t="s">
        <v>51</v>
      </c>
      <c r="N507" s="17"/>
      <c r="O507">
        <v>0</v>
      </c>
    </row>
    <row r="508" spans="1:15" x14ac:dyDescent="0.3">
      <c r="A508" t="s">
        <v>632</v>
      </c>
      <c r="B508" t="s">
        <v>42</v>
      </c>
      <c r="C508" t="s">
        <v>45</v>
      </c>
      <c r="D508" t="s">
        <v>39</v>
      </c>
      <c r="E508" t="s">
        <v>33</v>
      </c>
      <c r="F508">
        <v>63</v>
      </c>
      <c r="G508" t="s">
        <v>122</v>
      </c>
      <c r="H508" s="17">
        <v>43171</v>
      </c>
      <c r="I508">
        <v>73200</v>
      </c>
      <c r="J508">
        <v>73200</v>
      </c>
      <c r="K508">
        <v>0</v>
      </c>
      <c r="L508" t="s">
        <v>34</v>
      </c>
      <c r="M508" t="s">
        <v>55</v>
      </c>
      <c r="N508" s="17"/>
      <c r="O508">
        <v>0</v>
      </c>
    </row>
    <row r="509" spans="1:15" x14ac:dyDescent="0.3">
      <c r="A509" t="s">
        <v>633</v>
      </c>
      <c r="B509" t="s">
        <v>47</v>
      </c>
      <c r="C509" t="s">
        <v>50</v>
      </c>
      <c r="D509" t="s">
        <v>39</v>
      </c>
      <c r="E509" t="s">
        <v>28</v>
      </c>
      <c r="F509">
        <v>46</v>
      </c>
      <c r="G509" t="s">
        <v>125</v>
      </c>
      <c r="H509" s="17">
        <v>40292</v>
      </c>
      <c r="I509">
        <v>102636</v>
      </c>
      <c r="J509">
        <v>108794</v>
      </c>
      <c r="K509">
        <v>0.06</v>
      </c>
      <c r="L509" t="s">
        <v>29</v>
      </c>
      <c r="M509" t="s">
        <v>30</v>
      </c>
      <c r="N509" s="17"/>
      <c r="O509">
        <v>0</v>
      </c>
    </row>
    <row r="510" spans="1:15" x14ac:dyDescent="0.3">
      <c r="A510" t="s">
        <v>634</v>
      </c>
      <c r="B510" t="s">
        <v>81</v>
      </c>
      <c r="C510" t="s">
        <v>45</v>
      </c>
      <c r="D510" t="s">
        <v>39</v>
      </c>
      <c r="E510" t="s">
        <v>28</v>
      </c>
      <c r="F510">
        <v>26</v>
      </c>
      <c r="G510" t="s">
        <v>127</v>
      </c>
      <c r="H510" s="17">
        <v>44236</v>
      </c>
      <c r="I510">
        <v>87427</v>
      </c>
      <c r="J510">
        <v>87427</v>
      </c>
      <c r="K510">
        <v>0</v>
      </c>
      <c r="L510" t="s">
        <v>59</v>
      </c>
      <c r="M510" t="s">
        <v>76</v>
      </c>
      <c r="N510" s="17"/>
      <c r="O510">
        <v>0</v>
      </c>
    </row>
    <row r="511" spans="1:15" x14ac:dyDescent="0.3">
      <c r="A511" t="s">
        <v>635</v>
      </c>
      <c r="B511" t="s">
        <v>65</v>
      </c>
      <c r="C511" t="s">
        <v>26</v>
      </c>
      <c r="D511" t="s">
        <v>27</v>
      </c>
      <c r="E511" t="s">
        <v>33</v>
      </c>
      <c r="F511">
        <v>45</v>
      </c>
      <c r="G511" t="s">
        <v>125</v>
      </c>
      <c r="H511" s="17">
        <v>43248</v>
      </c>
      <c r="I511">
        <v>49219</v>
      </c>
      <c r="J511">
        <v>49219</v>
      </c>
      <c r="K511">
        <v>0</v>
      </c>
      <c r="L511" t="s">
        <v>29</v>
      </c>
      <c r="M511" t="s">
        <v>58</v>
      </c>
      <c r="N511" s="17"/>
      <c r="O511">
        <v>0</v>
      </c>
    </row>
    <row r="512" spans="1:15" x14ac:dyDescent="0.3">
      <c r="A512" t="s">
        <v>636</v>
      </c>
      <c r="B512" t="s">
        <v>47</v>
      </c>
      <c r="C512" t="s">
        <v>38</v>
      </c>
      <c r="D512" t="s">
        <v>32</v>
      </c>
      <c r="E512" t="s">
        <v>33</v>
      </c>
      <c r="F512">
        <v>50</v>
      </c>
      <c r="G512" t="s">
        <v>125</v>
      </c>
      <c r="H512" s="17">
        <v>43239</v>
      </c>
      <c r="I512">
        <v>106437</v>
      </c>
      <c r="J512">
        <v>113888</v>
      </c>
      <c r="K512">
        <v>7.0000000000000007E-2</v>
      </c>
      <c r="L512" t="s">
        <v>34</v>
      </c>
      <c r="M512" t="s">
        <v>35</v>
      </c>
      <c r="N512" s="17"/>
      <c r="O512">
        <v>0</v>
      </c>
    </row>
    <row r="513" spans="1:15" x14ac:dyDescent="0.3">
      <c r="A513" t="s">
        <v>637</v>
      </c>
      <c r="B513" t="s">
        <v>66</v>
      </c>
      <c r="C513" t="s">
        <v>38</v>
      </c>
      <c r="D513" t="s">
        <v>32</v>
      </c>
      <c r="E513" t="s">
        <v>33</v>
      </c>
      <c r="F513">
        <v>46</v>
      </c>
      <c r="G513" t="s">
        <v>125</v>
      </c>
      <c r="H513" s="17">
        <v>42129</v>
      </c>
      <c r="I513">
        <v>64364</v>
      </c>
      <c r="J513">
        <v>64364</v>
      </c>
      <c r="K513">
        <v>0</v>
      </c>
      <c r="L513" t="s">
        <v>59</v>
      </c>
      <c r="M513" t="s">
        <v>76</v>
      </c>
      <c r="N513" s="17"/>
      <c r="O513">
        <v>0</v>
      </c>
    </row>
    <row r="514" spans="1:15" x14ac:dyDescent="0.3">
      <c r="A514" t="s">
        <v>638</v>
      </c>
      <c r="B514" t="s">
        <v>37</v>
      </c>
      <c r="C514" t="s">
        <v>52</v>
      </c>
      <c r="D514" t="s">
        <v>32</v>
      </c>
      <c r="E514" t="s">
        <v>33</v>
      </c>
      <c r="F514">
        <v>50</v>
      </c>
      <c r="G514" t="s">
        <v>125</v>
      </c>
      <c r="H514" s="17">
        <v>44486</v>
      </c>
      <c r="I514">
        <v>172180</v>
      </c>
      <c r="J514">
        <v>223834</v>
      </c>
      <c r="K514">
        <v>0.3</v>
      </c>
      <c r="L514" t="s">
        <v>29</v>
      </c>
      <c r="M514" t="s">
        <v>58</v>
      </c>
      <c r="N514" s="17"/>
      <c r="O514">
        <v>0</v>
      </c>
    </row>
    <row r="515" spans="1:15" x14ac:dyDescent="0.3">
      <c r="A515" t="s">
        <v>639</v>
      </c>
      <c r="B515" t="s">
        <v>42</v>
      </c>
      <c r="C515" t="s">
        <v>45</v>
      </c>
      <c r="D515" t="s">
        <v>32</v>
      </c>
      <c r="E515" t="s">
        <v>28</v>
      </c>
      <c r="F515">
        <v>33</v>
      </c>
      <c r="G515" t="s">
        <v>127</v>
      </c>
      <c r="H515" s="17">
        <v>41043</v>
      </c>
      <c r="I515">
        <v>88343</v>
      </c>
      <c r="J515">
        <v>88343</v>
      </c>
      <c r="K515">
        <v>0</v>
      </c>
      <c r="L515" t="s">
        <v>59</v>
      </c>
      <c r="M515" t="s">
        <v>61</v>
      </c>
      <c r="N515" s="17"/>
      <c r="O515">
        <v>0</v>
      </c>
    </row>
    <row r="516" spans="1:15" x14ac:dyDescent="0.3">
      <c r="A516" t="s">
        <v>640</v>
      </c>
      <c r="B516" t="s">
        <v>84</v>
      </c>
      <c r="C516" t="s">
        <v>26</v>
      </c>
      <c r="D516" t="s">
        <v>39</v>
      </c>
      <c r="E516" t="s">
        <v>33</v>
      </c>
      <c r="F516">
        <v>57</v>
      </c>
      <c r="G516" t="s">
        <v>122</v>
      </c>
      <c r="H516" s="17">
        <v>41830</v>
      </c>
      <c r="I516">
        <v>66649</v>
      </c>
      <c r="J516">
        <v>66649</v>
      </c>
      <c r="K516">
        <v>0</v>
      </c>
      <c r="L516" t="s">
        <v>59</v>
      </c>
      <c r="M516" t="s">
        <v>61</v>
      </c>
      <c r="N516" s="17"/>
      <c r="O516">
        <v>0</v>
      </c>
    </row>
    <row r="517" spans="1:15" x14ac:dyDescent="0.3">
      <c r="A517" t="s">
        <v>641</v>
      </c>
      <c r="B517" t="s">
        <v>47</v>
      </c>
      <c r="C517" t="s">
        <v>38</v>
      </c>
      <c r="D517" t="s">
        <v>46</v>
      </c>
      <c r="E517" t="s">
        <v>28</v>
      </c>
      <c r="F517">
        <v>48</v>
      </c>
      <c r="G517" t="s">
        <v>125</v>
      </c>
      <c r="H517" s="17">
        <v>36272</v>
      </c>
      <c r="I517">
        <v>102847</v>
      </c>
      <c r="J517">
        <v>107989</v>
      </c>
      <c r="K517">
        <v>0.05</v>
      </c>
      <c r="L517" t="s">
        <v>29</v>
      </c>
      <c r="M517" t="s">
        <v>40</v>
      </c>
      <c r="N517" s="17"/>
      <c r="O517">
        <v>0</v>
      </c>
    </row>
    <row r="518" spans="1:15" x14ac:dyDescent="0.3">
      <c r="A518" t="s">
        <v>642</v>
      </c>
      <c r="B518" t="s">
        <v>25</v>
      </c>
      <c r="C518" t="s">
        <v>38</v>
      </c>
      <c r="D518" t="s">
        <v>32</v>
      </c>
      <c r="E518" t="s">
        <v>33</v>
      </c>
      <c r="F518">
        <v>46</v>
      </c>
      <c r="G518" t="s">
        <v>125</v>
      </c>
      <c r="H518" s="17">
        <v>40378</v>
      </c>
      <c r="I518">
        <v>134881</v>
      </c>
      <c r="J518">
        <v>155113</v>
      </c>
      <c r="K518">
        <v>0.15</v>
      </c>
      <c r="L518" t="s">
        <v>59</v>
      </c>
      <c r="M518" t="s">
        <v>60</v>
      </c>
      <c r="N518" s="17"/>
      <c r="O518">
        <v>0</v>
      </c>
    </row>
    <row r="519" spans="1:15" x14ac:dyDescent="0.3">
      <c r="A519" t="s">
        <v>643</v>
      </c>
      <c r="B519" t="s">
        <v>66</v>
      </c>
      <c r="C519" t="s">
        <v>57</v>
      </c>
      <c r="D519" t="s">
        <v>32</v>
      </c>
      <c r="E519" t="s">
        <v>33</v>
      </c>
      <c r="F519">
        <v>52</v>
      </c>
      <c r="G519" t="s">
        <v>125</v>
      </c>
      <c r="H519" s="17">
        <v>36303</v>
      </c>
      <c r="I519">
        <v>68807</v>
      </c>
      <c r="J519">
        <v>68807</v>
      </c>
      <c r="K519">
        <v>0</v>
      </c>
      <c r="L519" t="s">
        <v>34</v>
      </c>
      <c r="M519" t="s">
        <v>68</v>
      </c>
      <c r="N519" s="17">
        <v>42338</v>
      </c>
      <c r="O519">
        <v>1</v>
      </c>
    </row>
    <row r="520" spans="1:15" x14ac:dyDescent="0.3">
      <c r="A520" t="s">
        <v>644</v>
      </c>
      <c r="B520" t="s">
        <v>56</v>
      </c>
      <c r="C520" t="s">
        <v>26</v>
      </c>
      <c r="D520" t="s">
        <v>32</v>
      </c>
      <c r="E520" t="s">
        <v>33</v>
      </c>
      <c r="F520">
        <v>56</v>
      </c>
      <c r="G520" t="s">
        <v>122</v>
      </c>
      <c r="H520" s="17">
        <v>38866</v>
      </c>
      <c r="I520">
        <v>228822</v>
      </c>
      <c r="J520">
        <v>311198</v>
      </c>
      <c r="K520">
        <v>0.36</v>
      </c>
      <c r="L520" t="s">
        <v>29</v>
      </c>
      <c r="M520" t="s">
        <v>49</v>
      </c>
      <c r="N520" s="17"/>
      <c r="O520">
        <v>0</v>
      </c>
    </row>
    <row r="521" spans="1:15" x14ac:dyDescent="0.3">
      <c r="A521" t="s">
        <v>645</v>
      </c>
      <c r="B521" t="s">
        <v>48</v>
      </c>
      <c r="C521" t="s">
        <v>57</v>
      </c>
      <c r="D521" t="s">
        <v>32</v>
      </c>
      <c r="E521" t="s">
        <v>33</v>
      </c>
      <c r="F521">
        <v>28</v>
      </c>
      <c r="G521" t="s">
        <v>127</v>
      </c>
      <c r="H521" s="17">
        <v>44395</v>
      </c>
      <c r="I521">
        <v>43391</v>
      </c>
      <c r="J521">
        <v>43391</v>
      </c>
      <c r="K521">
        <v>0</v>
      </c>
      <c r="L521" t="s">
        <v>29</v>
      </c>
      <c r="M521" t="s">
        <v>58</v>
      </c>
      <c r="N521" s="17"/>
      <c r="O521">
        <v>0</v>
      </c>
    </row>
    <row r="522" spans="1:15" x14ac:dyDescent="0.3">
      <c r="A522" t="s">
        <v>646</v>
      </c>
      <c r="B522" t="s">
        <v>62</v>
      </c>
      <c r="C522" t="s">
        <v>54</v>
      </c>
      <c r="D522" t="s">
        <v>39</v>
      </c>
      <c r="E522" t="s">
        <v>33</v>
      </c>
      <c r="F522">
        <v>29</v>
      </c>
      <c r="G522" t="s">
        <v>127</v>
      </c>
      <c r="H522" s="17">
        <v>44515</v>
      </c>
      <c r="I522">
        <v>91782</v>
      </c>
      <c r="J522">
        <v>91782</v>
      </c>
      <c r="K522">
        <v>0</v>
      </c>
      <c r="L522" t="s">
        <v>34</v>
      </c>
      <c r="M522" t="s">
        <v>35</v>
      </c>
      <c r="N522" s="17"/>
      <c r="O522">
        <v>0</v>
      </c>
    </row>
    <row r="523" spans="1:15" x14ac:dyDescent="0.3">
      <c r="A523" t="s">
        <v>647</v>
      </c>
      <c r="B523" t="s">
        <v>56</v>
      </c>
      <c r="C523" t="s">
        <v>57</v>
      </c>
      <c r="D523" t="s">
        <v>46</v>
      </c>
      <c r="E523" t="s">
        <v>28</v>
      </c>
      <c r="F523">
        <v>45</v>
      </c>
      <c r="G523" t="s">
        <v>125</v>
      </c>
      <c r="H523" s="17">
        <v>42428</v>
      </c>
      <c r="I523">
        <v>211637</v>
      </c>
      <c r="J523">
        <v>277244</v>
      </c>
      <c r="K523">
        <v>0.31</v>
      </c>
      <c r="L523" t="s">
        <v>29</v>
      </c>
      <c r="M523" t="s">
        <v>40</v>
      </c>
      <c r="N523" s="17"/>
      <c r="O523">
        <v>0</v>
      </c>
    </row>
    <row r="524" spans="1:15" x14ac:dyDescent="0.3">
      <c r="A524" t="s">
        <v>648</v>
      </c>
      <c r="B524" t="s">
        <v>41</v>
      </c>
      <c r="C524" t="s">
        <v>26</v>
      </c>
      <c r="D524" t="s">
        <v>32</v>
      </c>
      <c r="E524" t="s">
        <v>33</v>
      </c>
      <c r="F524">
        <v>28</v>
      </c>
      <c r="G524" t="s">
        <v>127</v>
      </c>
      <c r="H524" s="17">
        <v>44051</v>
      </c>
      <c r="I524">
        <v>73255</v>
      </c>
      <c r="J524">
        <v>79848</v>
      </c>
      <c r="K524">
        <v>0.09</v>
      </c>
      <c r="L524" t="s">
        <v>29</v>
      </c>
      <c r="M524" t="s">
        <v>43</v>
      </c>
      <c r="N524" s="17"/>
      <c r="O524">
        <v>0</v>
      </c>
    </row>
    <row r="525" spans="1:15" x14ac:dyDescent="0.3">
      <c r="A525" t="s">
        <v>649</v>
      </c>
      <c r="B525" t="s">
        <v>47</v>
      </c>
      <c r="C525" t="s">
        <v>45</v>
      </c>
      <c r="D525" t="s">
        <v>46</v>
      </c>
      <c r="E525" t="s">
        <v>33</v>
      </c>
      <c r="F525">
        <v>28</v>
      </c>
      <c r="G525" t="s">
        <v>127</v>
      </c>
      <c r="H525" s="17">
        <v>44204</v>
      </c>
      <c r="I525">
        <v>108826</v>
      </c>
      <c r="J525">
        <v>119709</v>
      </c>
      <c r="K525">
        <v>0.1</v>
      </c>
      <c r="L525" t="s">
        <v>29</v>
      </c>
      <c r="M525" t="s">
        <v>49</v>
      </c>
      <c r="N525" s="17"/>
      <c r="O525">
        <v>0</v>
      </c>
    </row>
    <row r="526" spans="1:15" x14ac:dyDescent="0.3">
      <c r="A526" t="s">
        <v>650</v>
      </c>
      <c r="B526" t="s">
        <v>84</v>
      </c>
      <c r="C526" t="s">
        <v>26</v>
      </c>
      <c r="D526" t="s">
        <v>39</v>
      </c>
      <c r="E526" t="s">
        <v>33</v>
      </c>
      <c r="F526">
        <v>34</v>
      </c>
      <c r="G526" t="s">
        <v>127</v>
      </c>
      <c r="H526" s="17">
        <v>42514</v>
      </c>
      <c r="I526">
        <v>94352</v>
      </c>
      <c r="J526">
        <v>94352</v>
      </c>
      <c r="K526">
        <v>0</v>
      </c>
      <c r="L526" t="s">
        <v>29</v>
      </c>
      <c r="M526" t="s">
        <v>49</v>
      </c>
      <c r="N526" s="17"/>
      <c r="O526">
        <v>0</v>
      </c>
    </row>
    <row r="527" spans="1:15" x14ac:dyDescent="0.3">
      <c r="A527" t="s">
        <v>651</v>
      </c>
      <c r="B527" t="s">
        <v>85</v>
      </c>
      <c r="C527" t="s">
        <v>26</v>
      </c>
      <c r="D527" t="s">
        <v>27</v>
      </c>
      <c r="E527" t="s">
        <v>28</v>
      </c>
      <c r="F527">
        <v>55</v>
      </c>
      <c r="G527" t="s">
        <v>122</v>
      </c>
      <c r="H527" s="17">
        <v>34576</v>
      </c>
      <c r="I527">
        <v>73955</v>
      </c>
      <c r="J527">
        <v>73955</v>
      </c>
      <c r="K527">
        <v>0</v>
      </c>
      <c r="L527" t="s">
        <v>29</v>
      </c>
      <c r="M527" t="s">
        <v>43</v>
      </c>
      <c r="N527" s="17"/>
      <c r="O527">
        <v>0</v>
      </c>
    </row>
    <row r="528" spans="1:15" x14ac:dyDescent="0.3">
      <c r="A528" t="s">
        <v>652</v>
      </c>
      <c r="B528" t="s">
        <v>47</v>
      </c>
      <c r="C528" t="s">
        <v>52</v>
      </c>
      <c r="D528" t="s">
        <v>32</v>
      </c>
      <c r="E528" t="s">
        <v>33</v>
      </c>
      <c r="F528">
        <v>34</v>
      </c>
      <c r="G528" t="s">
        <v>127</v>
      </c>
      <c r="H528" s="17">
        <v>41499</v>
      </c>
      <c r="I528">
        <v>113909</v>
      </c>
      <c r="J528">
        <v>120744</v>
      </c>
      <c r="K528">
        <v>0.06</v>
      </c>
      <c r="L528" t="s">
        <v>59</v>
      </c>
      <c r="M528" t="s">
        <v>61</v>
      </c>
      <c r="N528" s="17"/>
      <c r="O528">
        <v>0</v>
      </c>
    </row>
    <row r="529" spans="1:15" x14ac:dyDescent="0.3">
      <c r="A529" t="s">
        <v>653</v>
      </c>
      <c r="B529" t="s">
        <v>87</v>
      </c>
      <c r="C529" t="s">
        <v>26</v>
      </c>
      <c r="D529" t="s">
        <v>32</v>
      </c>
      <c r="E529" t="s">
        <v>33</v>
      </c>
      <c r="F529">
        <v>27</v>
      </c>
      <c r="G529" t="s">
        <v>127</v>
      </c>
      <c r="H529" s="17">
        <v>44189</v>
      </c>
      <c r="I529">
        <v>92321</v>
      </c>
      <c r="J529">
        <v>92321</v>
      </c>
      <c r="K529">
        <v>0</v>
      </c>
      <c r="L529" t="s">
        <v>29</v>
      </c>
      <c r="M529" t="s">
        <v>40</v>
      </c>
      <c r="N529" s="17"/>
      <c r="O529">
        <v>0</v>
      </c>
    </row>
    <row r="530" spans="1:15" x14ac:dyDescent="0.3">
      <c r="A530" t="s">
        <v>654</v>
      </c>
      <c r="B530" t="s">
        <v>41</v>
      </c>
      <c r="C530" t="s">
        <v>26</v>
      </c>
      <c r="D530" t="s">
        <v>27</v>
      </c>
      <c r="E530" t="s">
        <v>33</v>
      </c>
      <c r="F530">
        <v>52</v>
      </c>
      <c r="G530" t="s">
        <v>125</v>
      </c>
      <c r="H530" s="17">
        <v>41417</v>
      </c>
      <c r="I530">
        <v>99557</v>
      </c>
      <c r="J530">
        <v>108517</v>
      </c>
      <c r="K530">
        <v>0.09</v>
      </c>
      <c r="L530" t="s">
        <v>29</v>
      </c>
      <c r="M530" t="s">
        <v>30</v>
      </c>
      <c r="N530" s="17"/>
      <c r="O530">
        <v>0</v>
      </c>
    </row>
    <row r="531" spans="1:15" x14ac:dyDescent="0.3">
      <c r="A531" t="s">
        <v>655</v>
      </c>
      <c r="B531" t="s">
        <v>72</v>
      </c>
      <c r="C531" t="s">
        <v>54</v>
      </c>
      <c r="D531" t="s">
        <v>39</v>
      </c>
      <c r="E531" t="s">
        <v>28</v>
      </c>
      <c r="F531">
        <v>28</v>
      </c>
      <c r="G531" t="s">
        <v>127</v>
      </c>
      <c r="H531" s="17">
        <v>43418</v>
      </c>
      <c r="I531">
        <v>115854</v>
      </c>
      <c r="J531">
        <v>115854</v>
      </c>
      <c r="K531">
        <v>0</v>
      </c>
      <c r="L531" t="s">
        <v>29</v>
      </c>
      <c r="M531" t="s">
        <v>43</v>
      </c>
      <c r="N531" s="17"/>
      <c r="O531">
        <v>0</v>
      </c>
    </row>
    <row r="532" spans="1:15" x14ac:dyDescent="0.3">
      <c r="A532" t="s">
        <v>656</v>
      </c>
      <c r="B532" t="s">
        <v>85</v>
      </c>
      <c r="C532" t="s">
        <v>26</v>
      </c>
      <c r="D532" t="s">
        <v>32</v>
      </c>
      <c r="E532" t="s">
        <v>28</v>
      </c>
      <c r="F532">
        <v>44</v>
      </c>
      <c r="G532" t="s">
        <v>135</v>
      </c>
      <c r="H532" s="17">
        <v>40603</v>
      </c>
      <c r="I532">
        <v>82462</v>
      </c>
      <c r="J532">
        <v>82462</v>
      </c>
      <c r="K532">
        <v>0</v>
      </c>
      <c r="L532" t="s">
        <v>29</v>
      </c>
      <c r="M532" t="s">
        <v>51</v>
      </c>
      <c r="N532" s="17"/>
      <c r="O532">
        <v>0</v>
      </c>
    </row>
    <row r="533" spans="1:15" x14ac:dyDescent="0.3">
      <c r="A533" t="s">
        <v>657</v>
      </c>
      <c r="B533" t="s">
        <v>56</v>
      </c>
      <c r="C533" t="s">
        <v>26</v>
      </c>
      <c r="D533" t="s">
        <v>27</v>
      </c>
      <c r="E533" t="s">
        <v>28</v>
      </c>
      <c r="F533">
        <v>53</v>
      </c>
      <c r="G533" t="s">
        <v>125</v>
      </c>
      <c r="H533" s="17">
        <v>40856</v>
      </c>
      <c r="I533">
        <v>198473</v>
      </c>
      <c r="J533">
        <v>261984</v>
      </c>
      <c r="K533">
        <v>0.32</v>
      </c>
      <c r="L533" t="s">
        <v>29</v>
      </c>
      <c r="M533" t="s">
        <v>49</v>
      </c>
      <c r="N533" s="17"/>
      <c r="O533">
        <v>0</v>
      </c>
    </row>
    <row r="534" spans="1:15" x14ac:dyDescent="0.3">
      <c r="A534" t="s">
        <v>658</v>
      </c>
      <c r="B534" t="s">
        <v>25</v>
      </c>
      <c r="C534" t="s">
        <v>38</v>
      </c>
      <c r="D534" t="s">
        <v>46</v>
      </c>
      <c r="E534" t="s">
        <v>28</v>
      </c>
      <c r="F534">
        <v>43</v>
      </c>
      <c r="G534" t="s">
        <v>135</v>
      </c>
      <c r="H534" s="17">
        <v>39005</v>
      </c>
      <c r="I534">
        <v>153492</v>
      </c>
      <c r="J534">
        <v>170376</v>
      </c>
      <c r="K534">
        <v>0.11</v>
      </c>
      <c r="L534" t="s">
        <v>29</v>
      </c>
      <c r="M534" t="s">
        <v>40</v>
      </c>
      <c r="N534" s="17"/>
      <c r="O534">
        <v>0</v>
      </c>
    </row>
    <row r="535" spans="1:15" x14ac:dyDescent="0.3">
      <c r="A535" t="s">
        <v>659</v>
      </c>
      <c r="B535" t="s">
        <v>56</v>
      </c>
      <c r="C535" t="s">
        <v>52</v>
      </c>
      <c r="D535" t="s">
        <v>46</v>
      </c>
      <c r="E535" t="s">
        <v>28</v>
      </c>
      <c r="F535">
        <v>28</v>
      </c>
      <c r="G535" t="s">
        <v>127</v>
      </c>
      <c r="H535" s="17">
        <v>43121</v>
      </c>
      <c r="I535">
        <v>208210</v>
      </c>
      <c r="J535">
        <v>270673</v>
      </c>
      <c r="K535">
        <v>0.3</v>
      </c>
      <c r="L535" t="s">
        <v>29</v>
      </c>
      <c r="M535" t="s">
        <v>30</v>
      </c>
      <c r="N535" s="17"/>
      <c r="O535">
        <v>0</v>
      </c>
    </row>
    <row r="536" spans="1:15" x14ac:dyDescent="0.3">
      <c r="A536" t="s">
        <v>660</v>
      </c>
      <c r="B536" t="s">
        <v>42</v>
      </c>
      <c r="C536" t="s">
        <v>57</v>
      </c>
      <c r="D536" t="s">
        <v>46</v>
      </c>
      <c r="E536" t="s">
        <v>33</v>
      </c>
      <c r="F536">
        <v>33</v>
      </c>
      <c r="G536" t="s">
        <v>127</v>
      </c>
      <c r="H536" s="17">
        <v>42325</v>
      </c>
      <c r="I536">
        <v>91632</v>
      </c>
      <c r="J536">
        <v>91632</v>
      </c>
      <c r="K536">
        <v>0</v>
      </c>
      <c r="L536" t="s">
        <v>29</v>
      </c>
      <c r="M536" t="s">
        <v>43</v>
      </c>
      <c r="N536" s="17"/>
      <c r="O536">
        <v>0</v>
      </c>
    </row>
    <row r="537" spans="1:15" x14ac:dyDescent="0.3">
      <c r="A537" t="s">
        <v>661</v>
      </c>
      <c r="B537" t="s">
        <v>70</v>
      </c>
      <c r="C537" t="s">
        <v>52</v>
      </c>
      <c r="D537" t="s">
        <v>46</v>
      </c>
      <c r="E537" t="s">
        <v>33</v>
      </c>
      <c r="F537">
        <v>31</v>
      </c>
      <c r="G537" t="s">
        <v>127</v>
      </c>
      <c r="H537" s="17">
        <v>43002</v>
      </c>
      <c r="I537">
        <v>71755</v>
      </c>
      <c r="J537">
        <v>71755</v>
      </c>
      <c r="K537">
        <v>0</v>
      </c>
      <c r="L537" t="s">
        <v>34</v>
      </c>
      <c r="M537" t="s">
        <v>35</v>
      </c>
      <c r="N537" s="17"/>
      <c r="O537">
        <v>0</v>
      </c>
    </row>
    <row r="538" spans="1:15" x14ac:dyDescent="0.3">
      <c r="A538" t="s">
        <v>662</v>
      </c>
      <c r="B538" t="s">
        <v>47</v>
      </c>
      <c r="C538" t="s">
        <v>50</v>
      </c>
      <c r="D538" t="s">
        <v>46</v>
      </c>
      <c r="E538" t="s">
        <v>28</v>
      </c>
      <c r="F538">
        <v>52</v>
      </c>
      <c r="G538" t="s">
        <v>125</v>
      </c>
      <c r="H538" s="17">
        <v>44519</v>
      </c>
      <c r="I538">
        <v>111006</v>
      </c>
      <c r="J538">
        <v>119886</v>
      </c>
      <c r="K538">
        <v>0.08</v>
      </c>
      <c r="L538" t="s">
        <v>34</v>
      </c>
      <c r="M538" t="s">
        <v>35</v>
      </c>
      <c r="N538" s="17"/>
      <c r="O538">
        <v>0</v>
      </c>
    </row>
    <row r="539" spans="1:15" x14ac:dyDescent="0.3">
      <c r="A539" t="s">
        <v>663</v>
      </c>
      <c r="B539" t="s">
        <v>75</v>
      </c>
      <c r="C539" t="s">
        <v>26</v>
      </c>
      <c r="D539" t="s">
        <v>46</v>
      </c>
      <c r="E539" t="s">
        <v>33</v>
      </c>
      <c r="F539">
        <v>55</v>
      </c>
      <c r="G539" t="s">
        <v>122</v>
      </c>
      <c r="H539" s="17">
        <v>34692</v>
      </c>
      <c r="I539">
        <v>99774</v>
      </c>
      <c r="J539">
        <v>99774</v>
      </c>
      <c r="K539">
        <v>0</v>
      </c>
      <c r="L539" t="s">
        <v>29</v>
      </c>
      <c r="M539" t="s">
        <v>51</v>
      </c>
      <c r="N539" s="17"/>
      <c r="O539">
        <v>0</v>
      </c>
    </row>
    <row r="540" spans="1:15" x14ac:dyDescent="0.3">
      <c r="A540" t="s">
        <v>664</v>
      </c>
      <c r="B540" t="s">
        <v>37</v>
      </c>
      <c r="C540" t="s">
        <v>26</v>
      </c>
      <c r="D540" t="s">
        <v>27</v>
      </c>
      <c r="E540" t="s">
        <v>33</v>
      </c>
      <c r="F540">
        <v>55</v>
      </c>
      <c r="G540" t="s">
        <v>122</v>
      </c>
      <c r="H540" s="17">
        <v>39154</v>
      </c>
      <c r="I540">
        <v>184648</v>
      </c>
      <c r="J540">
        <v>228964</v>
      </c>
      <c r="K540">
        <v>0.24</v>
      </c>
      <c r="L540" t="s">
        <v>34</v>
      </c>
      <c r="M540" t="s">
        <v>55</v>
      </c>
      <c r="N540" s="17"/>
      <c r="O540">
        <v>0</v>
      </c>
    </row>
    <row r="541" spans="1:15" x14ac:dyDescent="0.3">
      <c r="A541" t="s">
        <v>665</v>
      </c>
      <c r="B541" t="s">
        <v>56</v>
      </c>
      <c r="C541" t="s">
        <v>26</v>
      </c>
      <c r="D541" t="s">
        <v>32</v>
      </c>
      <c r="E541" t="s">
        <v>33</v>
      </c>
      <c r="F541">
        <v>51</v>
      </c>
      <c r="G541" t="s">
        <v>125</v>
      </c>
      <c r="H541" s="17">
        <v>37091</v>
      </c>
      <c r="I541">
        <v>247874</v>
      </c>
      <c r="J541">
        <v>329672</v>
      </c>
      <c r="K541">
        <v>0.33</v>
      </c>
      <c r="L541" t="s">
        <v>59</v>
      </c>
      <c r="M541" t="s">
        <v>60</v>
      </c>
      <c r="N541" s="17"/>
      <c r="O541">
        <v>0</v>
      </c>
    </row>
    <row r="542" spans="1:15" x14ac:dyDescent="0.3">
      <c r="A542" t="s">
        <v>666</v>
      </c>
      <c r="B542" t="s">
        <v>80</v>
      </c>
      <c r="C542" t="s">
        <v>54</v>
      </c>
      <c r="D542" t="s">
        <v>32</v>
      </c>
      <c r="E542" t="s">
        <v>33</v>
      </c>
      <c r="F542">
        <v>60</v>
      </c>
      <c r="G542" t="s">
        <v>122</v>
      </c>
      <c r="H542" s="17">
        <v>39944</v>
      </c>
      <c r="I542">
        <v>62239</v>
      </c>
      <c r="J542">
        <v>62239</v>
      </c>
      <c r="K542">
        <v>0</v>
      </c>
      <c r="L542" t="s">
        <v>34</v>
      </c>
      <c r="M542" t="s">
        <v>64</v>
      </c>
      <c r="N542" s="17"/>
      <c r="O542">
        <v>0</v>
      </c>
    </row>
    <row r="543" spans="1:15" x14ac:dyDescent="0.3">
      <c r="A543" t="s">
        <v>667</v>
      </c>
      <c r="B543" t="s">
        <v>47</v>
      </c>
      <c r="C543" t="s">
        <v>50</v>
      </c>
      <c r="D543" t="s">
        <v>39</v>
      </c>
      <c r="E543" t="s">
        <v>28</v>
      </c>
      <c r="F543">
        <v>31</v>
      </c>
      <c r="G543" t="s">
        <v>127</v>
      </c>
      <c r="H543" s="17">
        <v>41919</v>
      </c>
      <c r="I543">
        <v>114911</v>
      </c>
      <c r="J543">
        <v>122955</v>
      </c>
      <c r="K543">
        <v>7.0000000000000007E-2</v>
      </c>
      <c r="L543" t="s">
        <v>29</v>
      </c>
      <c r="M543" t="s">
        <v>40</v>
      </c>
      <c r="N543" s="17"/>
      <c r="O543">
        <v>0</v>
      </c>
    </row>
    <row r="544" spans="1:15" x14ac:dyDescent="0.3">
      <c r="A544" t="s">
        <v>668</v>
      </c>
      <c r="B544" t="s">
        <v>63</v>
      </c>
      <c r="C544" t="s">
        <v>54</v>
      </c>
      <c r="D544" t="s">
        <v>46</v>
      </c>
      <c r="E544" t="s">
        <v>33</v>
      </c>
      <c r="F544">
        <v>45</v>
      </c>
      <c r="G544" t="s">
        <v>125</v>
      </c>
      <c r="H544" s="17">
        <v>43217</v>
      </c>
      <c r="I544">
        <v>115490</v>
      </c>
      <c r="J544">
        <v>129349</v>
      </c>
      <c r="K544">
        <v>0.12</v>
      </c>
      <c r="L544" t="s">
        <v>29</v>
      </c>
      <c r="M544" t="s">
        <v>40</v>
      </c>
      <c r="N544" s="17"/>
      <c r="O544">
        <v>0</v>
      </c>
    </row>
    <row r="545" spans="1:15" x14ac:dyDescent="0.3">
      <c r="A545" t="s">
        <v>669</v>
      </c>
      <c r="B545" t="s">
        <v>47</v>
      </c>
      <c r="C545" t="s">
        <v>50</v>
      </c>
      <c r="D545" t="s">
        <v>39</v>
      </c>
      <c r="E545" t="s">
        <v>33</v>
      </c>
      <c r="F545">
        <v>34</v>
      </c>
      <c r="G545" t="s">
        <v>127</v>
      </c>
      <c r="H545" s="17">
        <v>40952</v>
      </c>
      <c r="I545">
        <v>118708</v>
      </c>
      <c r="J545">
        <v>127018</v>
      </c>
      <c r="K545">
        <v>7.0000000000000007E-2</v>
      </c>
      <c r="L545" t="s">
        <v>34</v>
      </c>
      <c r="M545" t="s">
        <v>55</v>
      </c>
      <c r="N545" s="17"/>
      <c r="O545">
        <v>0</v>
      </c>
    </row>
    <row r="546" spans="1:15" x14ac:dyDescent="0.3">
      <c r="A546" t="s">
        <v>670</v>
      </c>
      <c r="B546" t="s">
        <v>37</v>
      </c>
      <c r="C546" t="s">
        <v>50</v>
      </c>
      <c r="D546" t="s">
        <v>39</v>
      </c>
      <c r="E546" t="s">
        <v>28</v>
      </c>
      <c r="F546">
        <v>29</v>
      </c>
      <c r="G546" t="s">
        <v>127</v>
      </c>
      <c r="H546" s="17">
        <v>42914</v>
      </c>
      <c r="I546">
        <v>197649</v>
      </c>
      <c r="J546">
        <v>237179</v>
      </c>
      <c r="K546">
        <v>0.2</v>
      </c>
      <c r="L546" t="s">
        <v>29</v>
      </c>
      <c r="M546" t="s">
        <v>58</v>
      </c>
      <c r="N546" s="17"/>
      <c r="O546">
        <v>0</v>
      </c>
    </row>
    <row r="547" spans="1:15" x14ac:dyDescent="0.3">
      <c r="A547" t="s">
        <v>671</v>
      </c>
      <c r="B547" t="s">
        <v>42</v>
      </c>
      <c r="C547" t="s">
        <v>50</v>
      </c>
      <c r="D547" t="s">
        <v>39</v>
      </c>
      <c r="E547" t="s">
        <v>28</v>
      </c>
      <c r="F547">
        <v>45</v>
      </c>
      <c r="G547" t="s">
        <v>125</v>
      </c>
      <c r="H547" s="17">
        <v>43999</v>
      </c>
      <c r="I547">
        <v>89841</v>
      </c>
      <c r="J547">
        <v>89841</v>
      </c>
      <c r="K547">
        <v>0</v>
      </c>
      <c r="L547" t="s">
        <v>34</v>
      </c>
      <c r="M547" t="s">
        <v>64</v>
      </c>
      <c r="N547" s="17"/>
      <c r="O547">
        <v>0</v>
      </c>
    </row>
    <row r="548" spans="1:15" x14ac:dyDescent="0.3">
      <c r="A548" t="s">
        <v>672</v>
      </c>
      <c r="B548" t="s">
        <v>66</v>
      </c>
      <c r="C548" t="s">
        <v>38</v>
      </c>
      <c r="D548" t="s">
        <v>39</v>
      </c>
      <c r="E548" t="s">
        <v>28</v>
      </c>
      <c r="F548">
        <v>52</v>
      </c>
      <c r="G548" t="s">
        <v>125</v>
      </c>
      <c r="H548" s="17">
        <v>43819</v>
      </c>
      <c r="I548">
        <v>61026</v>
      </c>
      <c r="J548">
        <v>61026</v>
      </c>
      <c r="K548">
        <v>0</v>
      </c>
      <c r="L548" t="s">
        <v>29</v>
      </c>
      <c r="M548" t="s">
        <v>43</v>
      </c>
      <c r="N548" s="17"/>
      <c r="O548">
        <v>0</v>
      </c>
    </row>
    <row r="549" spans="1:15" x14ac:dyDescent="0.3">
      <c r="A549" t="s">
        <v>673</v>
      </c>
      <c r="B549" t="s">
        <v>53</v>
      </c>
      <c r="C549" t="s">
        <v>54</v>
      </c>
      <c r="D549" t="s">
        <v>39</v>
      </c>
      <c r="E549" t="s">
        <v>28</v>
      </c>
      <c r="F549">
        <v>48</v>
      </c>
      <c r="G549" t="s">
        <v>125</v>
      </c>
      <c r="H549" s="17">
        <v>41907</v>
      </c>
      <c r="I549">
        <v>96693</v>
      </c>
      <c r="J549">
        <v>96693</v>
      </c>
      <c r="K549">
        <v>0</v>
      </c>
      <c r="L549" t="s">
        <v>29</v>
      </c>
      <c r="M549" t="s">
        <v>40</v>
      </c>
      <c r="N549" s="17"/>
      <c r="O549">
        <v>0</v>
      </c>
    </row>
    <row r="550" spans="1:15" x14ac:dyDescent="0.3">
      <c r="A550" t="s">
        <v>674</v>
      </c>
      <c r="B550" t="s">
        <v>77</v>
      </c>
      <c r="C550" t="s">
        <v>54</v>
      </c>
      <c r="D550" t="s">
        <v>39</v>
      </c>
      <c r="E550" t="s">
        <v>28</v>
      </c>
      <c r="F550">
        <v>48</v>
      </c>
      <c r="G550" t="s">
        <v>125</v>
      </c>
      <c r="H550" s="17">
        <v>39991</v>
      </c>
      <c r="I550">
        <v>82907</v>
      </c>
      <c r="J550">
        <v>82907</v>
      </c>
      <c r="K550">
        <v>0</v>
      </c>
      <c r="L550" t="s">
        <v>29</v>
      </c>
      <c r="M550" t="s">
        <v>30</v>
      </c>
      <c r="N550" s="17"/>
      <c r="O550">
        <v>0</v>
      </c>
    </row>
    <row r="551" spans="1:15" x14ac:dyDescent="0.3">
      <c r="A551" t="s">
        <v>675</v>
      </c>
      <c r="B551" t="s">
        <v>56</v>
      </c>
      <c r="C551" t="s">
        <v>57</v>
      </c>
      <c r="D551" t="s">
        <v>46</v>
      </c>
      <c r="E551" t="s">
        <v>33</v>
      </c>
      <c r="F551">
        <v>41</v>
      </c>
      <c r="G551" t="s">
        <v>135</v>
      </c>
      <c r="H551" s="17">
        <v>41916</v>
      </c>
      <c r="I551">
        <v>257194</v>
      </c>
      <c r="J551">
        <v>347212</v>
      </c>
      <c r="K551">
        <v>0.35</v>
      </c>
      <c r="L551" t="s">
        <v>34</v>
      </c>
      <c r="M551" t="s">
        <v>35</v>
      </c>
      <c r="N551" s="17"/>
      <c r="O551">
        <v>0</v>
      </c>
    </row>
    <row r="552" spans="1:15" x14ac:dyDescent="0.3">
      <c r="A552" t="s">
        <v>676</v>
      </c>
      <c r="B552" t="s">
        <v>62</v>
      </c>
      <c r="C552" t="s">
        <v>54</v>
      </c>
      <c r="D552" t="s">
        <v>27</v>
      </c>
      <c r="E552" t="s">
        <v>33</v>
      </c>
      <c r="F552">
        <v>41</v>
      </c>
      <c r="G552" t="s">
        <v>135</v>
      </c>
      <c r="H552" s="17">
        <v>40929</v>
      </c>
      <c r="I552">
        <v>94658</v>
      </c>
      <c r="J552">
        <v>94658</v>
      </c>
      <c r="K552">
        <v>0</v>
      </c>
      <c r="L552" t="s">
        <v>29</v>
      </c>
      <c r="M552" t="s">
        <v>49</v>
      </c>
      <c r="N552" s="17"/>
      <c r="O552">
        <v>0</v>
      </c>
    </row>
    <row r="553" spans="1:15" x14ac:dyDescent="0.3">
      <c r="A553" t="s">
        <v>677</v>
      </c>
      <c r="B553" t="s">
        <v>62</v>
      </c>
      <c r="C553" t="s">
        <v>54</v>
      </c>
      <c r="D553" t="s">
        <v>27</v>
      </c>
      <c r="E553" t="s">
        <v>33</v>
      </c>
      <c r="F553">
        <v>55</v>
      </c>
      <c r="G553" t="s">
        <v>122</v>
      </c>
      <c r="H553" s="17">
        <v>40663</v>
      </c>
      <c r="I553">
        <v>89419</v>
      </c>
      <c r="J553">
        <v>89419</v>
      </c>
      <c r="K553">
        <v>0</v>
      </c>
      <c r="L553" t="s">
        <v>34</v>
      </c>
      <c r="M553" t="s">
        <v>55</v>
      </c>
      <c r="N553" s="17"/>
      <c r="O553">
        <v>0</v>
      </c>
    </row>
    <row r="554" spans="1:15" x14ac:dyDescent="0.3">
      <c r="A554" t="s">
        <v>678</v>
      </c>
      <c r="B554" t="s">
        <v>70</v>
      </c>
      <c r="C554" t="s">
        <v>52</v>
      </c>
      <c r="D554" t="s">
        <v>32</v>
      </c>
      <c r="E554" t="s">
        <v>33</v>
      </c>
      <c r="F554">
        <v>45</v>
      </c>
      <c r="G554" t="s">
        <v>125</v>
      </c>
      <c r="H554" s="17">
        <v>42357</v>
      </c>
      <c r="I554">
        <v>51983</v>
      </c>
      <c r="J554">
        <v>51983</v>
      </c>
      <c r="K554">
        <v>0</v>
      </c>
      <c r="L554" t="s">
        <v>29</v>
      </c>
      <c r="M554" t="s">
        <v>58</v>
      </c>
      <c r="N554" s="17"/>
      <c r="O554">
        <v>0</v>
      </c>
    </row>
    <row r="555" spans="1:15" x14ac:dyDescent="0.3">
      <c r="A555" t="s">
        <v>679</v>
      </c>
      <c r="B555" t="s">
        <v>37</v>
      </c>
      <c r="C555" t="s">
        <v>38</v>
      </c>
      <c r="D555" t="s">
        <v>46</v>
      </c>
      <c r="E555" t="s">
        <v>28</v>
      </c>
      <c r="F555">
        <v>53</v>
      </c>
      <c r="G555" t="s">
        <v>125</v>
      </c>
      <c r="H555" s="17">
        <v>37304</v>
      </c>
      <c r="I555">
        <v>179494</v>
      </c>
      <c r="J555">
        <v>215393</v>
      </c>
      <c r="K555">
        <v>0.2</v>
      </c>
      <c r="L555" t="s">
        <v>34</v>
      </c>
      <c r="M555" t="s">
        <v>35</v>
      </c>
      <c r="N555" s="17"/>
      <c r="O555">
        <v>0</v>
      </c>
    </row>
    <row r="556" spans="1:15" x14ac:dyDescent="0.3">
      <c r="A556" t="s">
        <v>680</v>
      </c>
      <c r="B556" t="s">
        <v>85</v>
      </c>
      <c r="C556" t="s">
        <v>26</v>
      </c>
      <c r="D556" t="s">
        <v>46</v>
      </c>
      <c r="E556" t="s">
        <v>33</v>
      </c>
      <c r="F556">
        <v>49</v>
      </c>
      <c r="G556" t="s">
        <v>125</v>
      </c>
      <c r="H556" s="17">
        <v>42545</v>
      </c>
      <c r="I556">
        <v>68426</v>
      </c>
      <c r="J556">
        <v>68426</v>
      </c>
      <c r="K556">
        <v>0</v>
      </c>
      <c r="L556" t="s">
        <v>59</v>
      </c>
      <c r="M556" t="s">
        <v>61</v>
      </c>
      <c r="N556" s="17"/>
      <c r="O556">
        <v>0</v>
      </c>
    </row>
    <row r="557" spans="1:15" x14ac:dyDescent="0.3">
      <c r="A557" t="s">
        <v>681</v>
      </c>
      <c r="B557" t="s">
        <v>25</v>
      </c>
      <c r="C557" t="s">
        <v>38</v>
      </c>
      <c r="D557" t="s">
        <v>46</v>
      </c>
      <c r="E557" t="s">
        <v>28</v>
      </c>
      <c r="F557">
        <v>55</v>
      </c>
      <c r="G557" t="s">
        <v>122</v>
      </c>
      <c r="H557" s="17">
        <v>42772</v>
      </c>
      <c r="I557">
        <v>144986</v>
      </c>
      <c r="J557">
        <v>162384</v>
      </c>
      <c r="K557">
        <v>0.12</v>
      </c>
      <c r="L557" t="s">
        <v>29</v>
      </c>
      <c r="M557" t="s">
        <v>43</v>
      </c>
      <c r="N557" s="17"/>
      <c r="O557">
        <v>0</v>
      </c>
    </row>
    <row r="558" spans="1:15" x14ac:dyDescent="0.3">
      <c r="A558" t="s">
        <v>682</v>
      </c>
      <c r="B558" t="s">
        <v>44</v>
      </c>
      <c r="C558" t="s">
        <v>45</v>
      </c>
      <c r="D558" t="s">
        <v>39</v>
      </c>
      <c r="E558" t="s">
        <v>28</v>
      </c>
      <c r="F558">
        <v>45</v>
      </c>
      <c r="G558" t="s">
        <v>125</v>
      </c>
      <c r="H558" s="17">
        <v>36754</v>
      </c>
      <c r="I558">
        <v>60113</v>
      </c>
      <c r="J558">
        <v>60113</v>
      </c>
      <c r="K558">
        <v>0</v>
      </c>
      <c r="L558" t="s">
        <v>29</v>
      </c>
      <c r="M558" t="s">
        <v>40</v>
      </c>
      <c r="N558" s="17"/>
      <c r="O558">
        <v>0</v>
      </c>
    </row>
    <row r="559" spans="1:15" x14ac:dyDescent="0.3">
      <c r="A559" t="s">
        <v>683</v>
      </c>
      <c r="B559" t="s">
        <v>70</v>
      </c>
      <c r="C559" t="s">
        <v>52</v>
      </c>
      <c r="D559" t="s">
        <v>27</v>
      </c>
      <c r="E559" t="s">
        <v>28</v>
      </c>
      <c r="F559">
        <v>52</v>
      </c>
      <c r="G559" t="s">
        <v>125</v>
      </c>
      <c r="H559" s="17">
        <v>44304</v>
      </c>
      <c r="I559">
        <v>50548</v>
      </c>
      <c r="J559">
        <v>50548</v>
      </c>
      <c r="K559">
        <v>0</v>
      </c>
      <c r="L559" t="s">
        <v>59</v>
      </c>
      <c r="M559" t="s">
        <v>76</v>
      </c>
      <c r="N559" s="17"/>
      <c r="O559">
        <v>0</v>
      </c>
    </row>
    <row r="560" spans="1:15" x14ac:dyDescent="0.3">
      <c r="A560" t="s">
        <v>684</v>
      </c>
      <c r="B560" t="s">
        <v>66</v>
      </c>
      <c r="C560" t="s">
        <v>57</v>
      </c>
      <c r="D560" t="s">
        <v>32</v>
      </c>
      <c r="E560" t="s">
        <v>28</v>
      </c>
      <c r="F560">
        <v>33</v>
      </c>
      <c r="G560" t="s">
        <v>127</v>
      </c>
      <c r="H560" s="17">
        <v>43904</v>
      </c>
      <c r="I560">
        <v>68846</v>
      </c>
      <c r="J560">
        <v>68846</v>
      </c>
      <c r="K560">
        <v>0</v>
      </c>
      <c r="L560" t="s">
        <v>29</v>
      </c>
      <c r="M560" t="s">
        <v>40</v>
      </c>
      <c r="N560" s="17"/>
      <c r="O560">
        <v>0</v>
      </c>
    </row>
    <row r="561" spans="1:15" x14ac:dyDescent="0.3">
      <c r="A561" t="s">
        <v>685</v>
      </c>
      <c r="B561" t="s">
        <v>84</v>
      </c>
      <c r="C561" t="s">
        <v>26</v>
      </c>
      <c r="D561" t="s">
        <v>46</v>
      </c>
      <c r="E561" t="s">
        <v>28</v>
      </c>
      <c r="F561">
        <v>59</v>
      </c>
      <c r="G561" t="s">
        <v>122</v>
      </c>
      <c r="H561" s="17">
        <v>41717</v>
      </c>
      <c r="I561">
        <v>90901</v>
      </c>
      <c r="J561">
        <v>90901</v>
      </c>
      <c r="K561">
        <v>0</v>
      </c>
      <c r="L561" t="s">
        <v>29</v>
      </c>
      <c r="M561" t="s">
        <v>30</v>
      </c>
      <c r="N561" s="17"/>
      <c r="O561">
        <v>0</v>
      </c>
    </row>
    <row r="562" spans="1:15" x14ac:dyDescent="0.3">
      <c r="A562" t="s">
        <v>686</v>
      </c>
      <c r="B562" t="s">
        <v>47</v>
      </c>
      <c r="C562" t="s">
        <v>50</v>
      </c>
      <c r="D562" t="s">
        <v>46</v>
      </c>
      <c r="E562" t="s">
        <v>28</v>
      </c>
      <c r="F562">
        <v>50</v>
      </c>
      <c r="G562" t="s">
        <v>125</v>
      </c>
      <c r="H562" s="17">
        <v>41155</v>
      </c>
      <c r="I562">
        <v>102033</v>
      </c>
      <c r="J562">
        <v>110196</v>
      </c>
      <c r="K562">
        <v>0.08</v>
      </c>
      <c r="L562" t="s">
        <v>29</v>
      </c>
      <c r="M562" t="s">
        <v>51</v>
      </c>
      <c r="N562" s="17"/>
      <c r="O562">
        <v>0</v>
      </c>
    </row>
    <row r="563" spans="1:15" x14ac:dyDescent="0.3">
      <c r="A563" t="s">
        <v>687</v>
      </c>
      <c r="B563" t="s">
        <v>37</v>
      </c>
      <c r="C563" t="s">
        <v>45</v>
      </c>
      <c r="D563" t="s">
        <v>32</v>
      </c>
      <c r="E563" t="s">
        <v>28</v>
      </c>
      <c r="F563">
        <v>61</v>
      </c>
      <c r="G563" t="s">
        <v>122</v>
      </c>
      <c r="H563" s="17">
        <v>44219</v>
      </c>
      <c r="I563">
        <v>151783</v>
      </c>
      <c r="J563">
        <v>191247</v>
      </c>
      <c r="K563">
        <v>0.26</v>
      </c>
      <c r="L563" t="s">
        <v>29</v>
      </c>
      <c r="M563" t="s">
        <v>30</v>
      </c>
      <c r="N563" s="17"/>
      <c r="O563">
        <v>0</v>
      </c>
    </row>
    <row r="564" spans="1:15" x14ac:dyDescent="0.3">
      <c r="A564" t="s">
        <v>688</v>
      </c>
      <c r="B564" t="s">
        <v>37</v>
      </c>
      <c r="C564" t="s">
        <v>54</v>
      </c>
      <c r="D564" t="s">
        <v>46</v>
      </c>
      <c r="E564" t="s">
        <v>28</v>
      </c>
      <c r="F564">
        <v>27</v>
      </c>
      <c r="G564" t="s">
        <v>127</v>
      </c>
      <c r="H564" s="17">
        <v>43441</v>
      </c>
      <c r="I564">
        <v>170164</v>
      </c>
      <c r="J564">
        <v>199092</v>
      </c>
      <c r="K564">
        <v>0.17</v>
      </c>
      <c r="L564" t="s">
        <v>29</v>
      </c>
      <c r="M564" t="s">
        <v>51</v>
      </c>
      <c r="N564" s="17"/>
      <c r="O564">
        <v>0</v>
      </c>
    </row>
    <row r="565" spans="1:15" x14ac:dyDescent="0.3">
      <c r="A565" t="s">
        <v>689</v>
      </c>
      <c r="B565" t="s">
        <v>25</v>
      </c>
      <c r="C565" t="s">
        <v>57</v>
      </c>
      <c r="D565" t="s">
        <v>39</v>
      </c>
      <c r="E565" t="s">
        <v>28</v>
      </c>
      <c r="F565">
        <v>35</v>
      </c>
      <c r="G565" t="s">
        <v>135</v>
      </c>
      <c r="H565" s="17">
        <v>41690</v>
      </c>
      <c r="I565">
        <v>155905</v>
      </c>
      <c r="J565">
        <v>177732</v>
      </c>
      <c r="K565">
        <v>0.14000000000000001</v>
      </c>
      <c r="L565" t="s">
        <v>29</v>
      </c>
      <c r="M565" t="s">
        <v>43</v>
      </c>
      <c r="N565" s="17"/>
      <c r="O565">
        <v>0</v>
      </c>
    </row>
    <row r="566" spans="1:15" x14ac:dyDescent="0.3">
      <c r="A566" t="s">
        <v>690</v>
      </c>
      <c r="B566" t="s">
        <v>48</v>
      </c>
      <c r="C566" t="s">
        <v>45</v>
      </c>
      <c r="D566" t="s">
        <v>46</v>
      </c>
      <c r="E566" t="s">
        <v>33</v>
      </c>
      <c r="F566">
        <v>40</v>
      </c>
      <c r="G566" t="s">
        <v>135</v>
      </c>
      <c r="H566" s="17">
        <v>42721</v>
      </c>
      <c r="I566">
        <v>50733</v>
      </c>
      <c r="J566">
        <v>50733</v>
      </c>
      <c r="K566">
        <v>0</v>
      </c>
      <c r="L566" t="s">
        <v>29</v>
      </c>
      <c r="M566" t="s">
        <v>49</v>
      </c>
      <c r="N566" s="17"/>
      <c r="O566">
        <v>0</v>
      </c>
    </row>
    <row r="567" spans="1:15" x14ac:dyDescent="0.3">
      <c r="A567" t="s">
        <v>691</v>
      </c>
      <c r="B567" t="s">
        <v>69</v>
      </c>
      <c r="C567" t="s">
        <v>52</v>
      </c>
      <c r="D567" t="s">
        <v>46</v>
      </c>
      <c r="E567" t="s">
        <v>28</v>
      </c>
      <c r="F567">
        <v>30</v>
      </c>
      <c r="G567" t="s">
        <v>127</v>
      </c>
      <c r="H567" s="17">
        <v>42761</v>
      </c>
      <c r="I567">
        <v>88663</v>
      </c>
      <c r="J567">
        <v>88663</v>
      </c>
      <c r="K567">
        <v>0</v>
      </c>
      <c r="L567" t="s">
        <v>29</v>
      </c>
      <c r="M567" t="s">
        <v>43</v>
      </c>
      <c r="N567" s="17"/>
      <c r="O567">
        <v>0</v>
      </c>
    </row>
    <row r="568" spans="1:15" x14ac:dyDescent="0.3">
      <c r="A568" t="s">
        <v>692</v>
      </c>
      <c r="B568" t="s">
        <v>71</v>
      </c>
      <c r="C568" t="s">
        <v>54</v>
      </c>
      <c r="D568" t="s">
        <v>32</v>
      </c>
      <c r="E568" t="s">
        <v>33</v>
      </c>
      <c r="F568">
        <v>60</v>
      </c>
      <c r="G568" t="s">
        <v>122</v>
      </c>
      <c r="H568" s="17">
        <v>33890</v>
      </c>
      <c r="I568">
        <v>88213</v>
      </c>
      <c r="J568">
        <v>88213</v>
      </c>
      <c r="K568">
        <v>0</v>
      </c>
      <c r="L568" t="s">
        <v>34</v>
      </c>
      <c r="M568" t="s">
        <v>35</v>
      </c>
      <c r="N568" s="17"/>
      <c r="O568">
        <v>0</v>
      </c>
    </row>
    <row r="569" spans="1:15" x14ac:dyDescent="0.3">
      <c r="A569" t="s">
        <v>693</v>
      </c>
      <c r="B569" t="s">
        <v>66</v>
      </c>
      <c r="C569" t="s">
        <v>45</v>
      </c>
      <c r="D569" t="s">
        <v>39</v>
      </c>
      <c r="E569" t="s">
        <v>33</v>
      </c>
      <c r="F569">
        <v>55</v>
      </c>
      <c r="G569" t="s">
        <v>122</v>
      </c>
      <c r="H569" s="17">
        <v>44410</v>
      </c>
      <c r="I569">
        <v>67130</v>
      </c>
      <c r="J569">
        <v>67130</v>
      </c>
      <c r="K569">
        <v>0</v>
      </c>
      <c r="L569" t="s">
        <v>29</v>
      </c>
      <c r="M569" t="s">
        <v>49</v>
      </c>
      <c r="N569" s="17"/>
      <c r="O569">
        <v>0</v>
      </c>
    </row>
    <row r="570" spans="1:15" x14ac:dyDescent="0.3">
      <c r="A570" t="s">
        <v>694</v>
      </c>
      <c r="B570" t="s">
        <v>42</v>
      </c>
      <c r="C570" t="s">
        <v>38</v>
      </c>
      <c r="D570" t="s">
        <v>39</v>
      </c>
      <c r="E570" t="s">
        <v>28</v>
      </c>
      <c r="F570">
        <v>33</v>
      </c>
      <c r="G570" t="s">
        <v>127</v>
      </c>
      <c r="H570" s="17">
        <v>42285</v>
      </c>
      <c r="I570">
        <v>94876</v>
      </c>
      <c r="J570">
        <v>94876</v>
      </c>
      <c r="K570">
        <v>0</v>
      </c>
      <c r="L570" t="s">
        <v>29</v>
      </c>
      <c r="M570" t="s">
        <v>49</v>
      </c>
      <c r="N570" s="17"/>
      <c r="O570">
        <v>0</v>
      </c>
    </row>
    <row r="571" spans="1:15" x14ac:dyDescent="0.3">
      <c r="A571" t="s">
        <v>695</v>
      </c>
      <c r="B571" t="s">
        <v>80</v>
      </c>
      <c r="C571" t="s">
        <v>54</v>
      </c>
      <c r="D571" t="s">
        <v>39</v>
      </c>
      <c r="E571" t="s">
        <v>33</v>
      </c>
      <c r="F571">
        <v>62</v>
      </c>
      <c r="G571" t="s">
        <v>122</v>
      </c>
      <c r="H571" s="17">
        <v>34616</v>
      </c>
      <c r="I571">
        <v>98230</v>
      </c>
      <c r="J571">
        <v>98230</v>
      </c>
      <c r="K571">
        <v>0</v>
      </c>
      <c r="L571" t="s">
        <v>29</v>
      </c>
      <c r="M571" t="s">
        <v>49</v>
      </c>
      <c r="N571" s="17"/>
      <c r="O571">
        <v>0</v>
      </c>
    </row>
    <row r="572" spans="1:15" x14ac:dyDescent="0.3">
      <c r="A572" t="s">
        <v>696</v>
      </c>
      <c r="B572" t="s">
        <v>77</v>
      </c>
      <c r="C572" t="s">
        <v>54</v>
      </c>
      <c r="D572" t="s">
        <v>27</v>
      </c>
      <c r="E572" t="s">
        <v>28</v>
      </c>
      <c r="F572">
        <v>36</v>
      </c>
      <c r="G572" t="s">
        <v>135</v>
      </c>
      <c r="H572" s="17">
        <v>43448</v>
      </c>
      <c r="I572">
        <v>96757</v>
      </c>
      <c r="J572">
        <v>96757</v>
      </c>
      <c r="K572">
        <v>0</v>
      </c>
      <c r="L572" t="s">
        <v>29</v>
      </c>
      <c r="M572" t="s">
        <v>58</v>
      </c>
      <c r="N572" s="17"/>
      <c r="O572">
        <v>0</v>
      </c>
    </row>
    <row r="573" spans="1:15" x14ac:dyDescent="0.3">
      <c r="A573" t="s">
        <v>697</v>
      </c>
      <c r="B573" t="s">
        <v>66</v>
      </c>
      <c r="C573" t="s">
        <v>57</v>
      </c>
      <c r="D573" t="s">
        <v>32</v>
      </c>
      <c r="E573" t="s">
        <v>33</v>
      </c>
      <c r="F573">
        <v>35</v>
      </c>
      <c r="G573" t="s">
        <v>135</v>
      </c>
      <c r="H573" s="17">
        <v>44015</v>
      </c>
      <c r="I573">
        <v>51513</v>
      </c>
      <c r="J573">
        <v>51513</v>
      </c>
      <c r="K573">
        <v>0</v>
      </c>
      <c r="L573" t="s">
        <v>29</v>
      </c>
      <c r="M573" t="s">
        <v>58</v>
      </c>
      <c r="N573" s="17"/>
      <c r="O573">
        <v>0</v>
      </c>
    </row>
    <row r="574" spans="1:15" x14ac:dyDescent="0.3">
      <c r="A574" t="s">
        <v>698</v>
      </c>
      <c r="B574" t="s">
        <v>56</v>
      </c>
      <c r="C574" t="s">
        <v>57</v>
      </c>
      <c r="D574" t="s">
        <v>46</v>
      </c>
      <c r="E574" t="s">
        <v>33</v>
      </c>
      <c r="F574">
        <v>60</v>
      </c>
      <c r="G574" t="s">
        <v>122</v>
      </c>
      <c r="H574" s="17">
        <v>39109</v>
      </c>
      <c r="I574">
        <v>234311</v>
      </c>
      <c r="J574">
        <v>321006</v>
      </c>
      <c r="K574">
        <v>0.37</v>
      </c>
      <c r="L574" t="s">
        <v>29</v>
      </c>
      <c r="M574" t="s">
        <v>49</v>
      </c>
      <c r="N574" s="17"/>
      <c r="O574">
        <v>0</v>
      </c>
    </row>
    <row r="575" spans="1:15" x14ac:dyDescent="0.3">
      <c r="A575" t="s">
        <v>699</v>
      </c>
      <c r="B575" t="s">
        <v>25</v>
      </c>
      <c r="C575" t="s">
        <v>52</v>
      </c>
      <c r="D575" t="s">
        <v>39</v>
      </c>
      <c r="E575" t="s">
        <v>28</v>
      </c>
      <c r="F575">
        <v>45</v>
      </c>
      <c r="G575" t="s">
        <v>125</v>
      </c>
      <c r="H575" s="17">
        <v>40685</v>
      </c>
      <c r="I575">
        <v>152353</v>
      </c>
      <c r="J575">
        <v>173682</v>
      </c>
      <c r="K575">
        <v>0.14000000000000001</v>
      </c>
      <c r="L575" t="s">
        <v>29</v>
      </c>
      <c r="M575" t="s">
        <v>30</v>
      </c>
      <c r="N575" s="17"/>
      <c r="O575">
        <v>0</v>
      </c>
    </row>
    <row r="576" spans="1:15" x14ac:dyDescent="0.3">
      <c r="A576" t="s">
        <v>700</v>
      </c>
      <c r="B576" t="s">
        <v>25</v>
      </c>
      <c r="C576" t="s">
        <v>50</v>
      </c>
      <c r="D576" t="s">
        <v>39</v>
      </c>
      <c r="E576" t="s">
        <v>28</v>
      </c>
      <c r="F576">
        <v>48</v>
      </c>
      <c r="G576" t="s">
        <v>125</v>
      </c>
      <c r="H576" s="17">
        <v>40389</v>
      </c>
      <c r="I576">
        <v>124774</v>
      </c>
      <c r="J576">
        <v>139747</v>
      </c>
      <c r="K576">
        <v>0.12</v>
      </c>
      <c r="L576" t="s">
        <v>29</v>
      </c>
      <c r="M576" t="s">
        <v>43</v>
      </c>
      <c r="N576" s="17"/>
      <c r="O576">
        <v>0</v>
      </c>
    </row>
    <row r="577" spans="1:15" x14ac:dyDescent="0.3">
      <c r="A577" t="s">
        <v>701</v>
      </c>
      <c r="B577" t="s">
        <v>37</v>
      </c>
      <c r="C577" t="s">
        <v>57</v>
      </c>
      <c r="D577" t="s">
        <v>46</v>
      </c>
      <c r="E577" t="s">
        <v>28</v>
      </c>
      <c r="F577">
        <v>36</v>
      </c>
      <c r="G577" t="s">
        <v>135</v>
      </c>
      <c r="H577" s="17">
        <v>40434</v>
      </c>
      <c r="I577">
        <v>157070</v>
      </c>
      <c r="J577">
        <v>201050</v>
      </c>
      <c r="K577">
        <v>0.28000000000000003</v>
      </c>
      <c r="L577" t="s">
        <v>34</v>
      </c>
      <c r="M577" t="s">
        <v>35</v>
      </c>
      <c r="N577" s="17"/>
      <c r="O577">
        <v>0</v>
      </c>
    </row>
    <row r="578" spans="1:15" x14ac:dyDescent="0.3">
      <c r="A578" t="s">
        <v>702</v>
      </c>
      <c r="B578" t="s">
        <v>25</v>
      </c>
      <c r="C578" t="s">
        <v>38</v>
      </c>
      <c r="D578" t="s">
        <v>39</v>
      </c>
      <c r="E578" t="s">
        <v>33</v>
      </c>
      <c r="F578">
        <v>44</v>
      </c>
      <c r="G578" t="s">
        <v>135</v>
      </c>
      <c r="H578" s="17">
        <v>43685</v>
      </c>
      <c r="I578">
        <v>130133</v>
      </c>
      <c r="J578">
        <v>149653</v>
      </c>
      <c r="K578">
        <v>0.15</v>
      </c>
      <c r="L578" t="s">
        <v>29</v>
      </c>
      <c r="M578" t="s">
        <v>51</v>
      </c>
      <c r="N578" s="17">
        <v>44699</v>
      </c>
      <c r="O578">
        <v>1</v>
      </c>
    </row>
    <row r="579" spans="1:15" x14ac:dyDescent="0.3">
      <c r="A579" t="s">
        <v>703</v>
      </c>
      <c r="B579" t="s">
        <v>47</v>
      </c>
      <c r="C579" t="s">
        <v>57</v>
      </c>
      <c r="D579" t="s">
        <v>32</v>
      </c>
      <c r="E579" t="s">
        <v>28</v>
      </c>
      <c r="F579">
        <v>64</v>
      </c>
      <c r="G579" t="s">
        <v>122</v>
      </c>
      <c r="H579" s="17">
        <v>43729</v>
      </c>
      <c r="I579">
        <v>108780</v>
      </c>
      <c r="J579">
        <v>115307</v>
      </c>
      <c r="K579">
        <v>0.06</v>
      </c>
      <c r="L579" t="s">
        <v>34</v>
      </c>
      <c r="M579" t="s">
        <v>55</v>
      </c>
      <c r="N579" s="17"/>
      <c r="O579">
        <v>0</v>
      </c>
    </row>
    <row r="580" spans="1:15" x14ac:dyDescent="0.3">
      <c r="A580" t="s">
        <v>704</v>
      </c>
      <c r="B580" t="s">
        <v>37</v>
      </c>
      <c r="C580" t="s">
        <v>54</v>
      </c>
      <c r="D580" t="s">
        <v>39</v>
      </c>
      <c r="E580" t="s">
        <v>28</v>
      </c>
      <c r="F580">
        <v>46</v>
      </c>
      <c r="G580" t="s">
        <v>125</v>
      </c>
      <c r="H580" s="17">
        <v>44125</v>
      </c>
      <c r="I580">
        <v>151853</v>
      </c>
      <c r="J580">
        <v>176149</v>
      </c>
      <c r="K580">
        <v>0.16</v>
      </c>
      <c r="L580" t="s">
        <v>34</v>
      </c>
      <c r="M580" t="s">
        <v>68</v>
      </c>
      <c r="N580" s="17"/>
      <c r="O580">
        <v>0</v>
      </c>
    </row>
    <row r="581" spans="1:15" x14ac:dyDescent="0.3">
      <c r="A581" t="s">
        <v>705</v>
      </c>
      <c r="B581" t="s">
        <v>44</v>
      </c>
      <c r="C581" t="s">
        <v>45</v>
      </c>
      <c r="D581" t="s">
        <v>32</v>
      </c>
      <c r="E581" t="s">
        <v>28</v>
      </c>
      <c r="F581">
        <v>62</v>
      </c>
      <c r="G581" t="s">
        <v>122</v>
      </c>
      <c r="H581" s="17">
        <v>38977</v>
      </c>
      <c r="I581">
        <v>64669</v>
      </c>
      <c r="J581">
        <v>64669</v>
      </c>
      <c r="K581">
        <v>0</v>
      </c>
      <c r="L581" t="s">
        <v>34</v>
      </c>
      <c r="M581" t="s">
        <v>35</v>
      </c>
      <c r="N581" s="17"/>
      <c r="O581">
        <v>0</v>
      </c>
    </row>
    <row r="582" spans="1:15" x14ac:dyDescent="0.3">
      <c r="A582" t="s">
        <v>706</v>
      </c>
      <c r="B582" t="s">
        <v>66</v>
      </c>
      <c r="C582" t="s">
        <v>57</v>
      </c>
      <c r="D582" t="s">
        <v>27</v>
      </c>
      <c r="E582" t="s">
        <v>33</v>
      </c>
      <c r="F582">
        <v>61</v>
      </c>
      <c r="G582" t="s">
        <v>122</v>
      </c>
      <c r="H582" s="17">
        <v>39568</v>
      </c>
      <c r="I582">
        <v>69352</v>
      </c>
      <c r="J582">
        <v>69352</v>
      </c>
      <c r="K582">
        <v>0</v>
      </c>
      <c r="L582" t="s">
        <v>59</v>
      </c>
      <c r="M582" t="s">
        <v>61</v>
      </c>
      <c r="N582" s="17"/>
      <c r="O582">
        <v>0</v>
      </c>
    </row>
    <row r="583" spans="1:15" x14ac:dyDescent="0.3">
      <c r="A583" t="s">
        <v>707</v>
      </c>
      <c r="B583" t="s">
        <v>66</v>
      </c>
      <c r="C583" t="s">
        <v>57</v>
      </c>
      <c r="D583" t="s">
        <v>27</v>
      </c>
      <c r="E583" t="s">
        <v>33</v>
      </c>
      <c r="F583">
        <v>65</v>
      </c>
      <c r="G583" t="s">
        <v>142</v>
      </c>
      <c r="H583" s="17">
        <v>37181</v>
      </c>
      <c r="I583">
        <v>74631</v>
      </c>
      <c r="J583">
        <v>74631</v>
      </c>
      <c r="K583">
        <v>0</v>
      </c>
      <c r="L583" t="s">
        <v>34</v>
      </c>
      <c r="M583" t="s">
        <v>35</v>
      </c>
      <c r="N583" s="17"/>
      <c r="O583">
        <v>0</v>
      </c>
    </row>
    <row r="584" spans="1:15" x14ac:dyDescent="0.3">
      <c r="A584" t="s">
        <v>708</v>
      </c>
      <c r="B584" t="s">
        <v>62</v>
      </c>
      <c r="C584" t="s">
        <v>54</v>
      </c>
      <c r="D584" t="s">
        <v>39</v>
      </c>
      <c r="E584" t="s">
        <v>33</v>
      </c>
      <c r="F584">
        <v>54</v>
      </c>
      <c r="G584" t="s">
        <v>125</v>
      </c>
      <c r="H584" s="17">
        <v>41028</v>
      </c>
      <c r="I584">
        <v>96441</v>
      </c>
      <c r="J584">
        <v>96441</v>
      </c>
      <c r="K584">
        <v>0</v>
      </c>
      <c r="L584" t="s">
        <v>59</v>
      </c>
      <c r="M584" t="s">
        <v>76</v>
      </c>
      <c r="N584" s="17"/>
      <c r="O584">
        <v>0</v>
      </c>
    </row>
    <row r="585" spans="1:15" x14ac:dyDescent="0.3">
      <c r="A585" t="s">
        <v>709</v>
      </c>
      <c r="B585" t="s">
        <v>63</v>
      </c>
      <c r="C585" t="s">
        <v>54</v>
      </c>
      <c r="D585" t="s">
        <v>39</v>
      </c>
      <c r="E585" t="s">
        <v>33</v>
      </c>
      <c r="F585">
        <v>46</v>
      </c>
      <c r="G585" t="s">
        <v>125</v>
      </c>
      <c r="H585" s="17">
        <v>40836</v>
      </c>
      <c r="I585">
        <v>114250</v>
      </c>
      <c r="J585">
        <v>130245</v>
      </c>
      <c r="K585">
        <v>0.14000000000000001</v>
      </c>
      <c r="L585" t="s">
        <v>34</v>
      </c>
      <c r="M585" t="s">
        <v>68</v>
      </c>
      <c r="N585" s="17"/>
      <c r="O585">
        <v>0</v>
      </c>
    </row>
    <row r="586" spans="1:15" x14ac:dyDescent="0.3">
      <c r="A586" t="s">
        <v>710</v>
      </c>
      <c r="B586" t="s">
        <v>41</v>
      </c>
      <c r="C586" t="s">
        <v>26</v>
      </c>
      <c r="D586" t="s">
        <v>46</v>
      </c>
      <c r="E586" t="s">
        <v>33</v>
      </c>
      <c r="F586">
        <v>36</v>
      </c>
      <c r="G586" t="s">
        <v>135</v>
      </c>
      <c r="H586" s="17">
        <v>44192</v>
      </c>
      <c r="I586">
        <v>70165</v>
      </c>
      <c r="J586">
        <v>75077</v>
      </c>
      <c r="K586">
        <v>7.0000000000000007E-2</v>
      </c>
      <c r="L586" t="s">
        <v>59</v>
      </c>
      <c r="M586" t="s">
        <v>60</v>
      </c>
      <c r="N586" s="17"/>
      <c r="O586">
        <v>0</v>
      </c>
    </row>
    <row r="587" spans="1:15" x14ac:dyDescent="0.3">
      <c r="A587" t="s">
        <v>711</v>
      </c>
      <c r="B587" t="s">
        <v>47</v>
      </c>
      <c r="C587" t="s">
        <v>26</v>
      </c>
      <c r="D587" t="s">
        <v>46</v>
      </c>
      <c r="E587" t="s">
        <v>33</v>
      </c>
      <c r="F587">
        <v>60</v>
      </c>
      <c r="G587" t="s">
        <v>122</v>
      </c>
      <c r="H587" s="17">
        <v>36554</v>
      </c>
      <c r="I587">
        <v>109059</v>
      </c>
      <c r="J587">
        <v>116693</v>
      </c>
      <c r="K587">
        <v>7.0000000000000007E-2</v>
      </c>
      <c r="L587" t="s">
        <v>34</v>
      </c>
      <c r="M587" t="s">
        <v>68</v>
      </c>
      <c r="N587" s="17"/>
      <c r="O587">
        <v>0</v>
      </c>
    </row>
    <row r="588" spans="1:15" x14ac:dyDescent="0.3">
      <c r="A588" t="s">
        <v>712</v>
      </c>
      <c r="B588" t="s">
        <v>73</v>
      </c>
      <c r="C588" t="s">
        <v>54</v>
      </c>
      <c r="D588" t="s">
        <v>27</v>
      </c>
      <c r="E588" t="s">
        <v>28</v>
      </c>
      <c r="F588">
        <v>30</v>
      </c>
      <c r="G588" t="s">
        <v>127</v>
      </c>
      <c r="H588" s="17">
        <v>42322</v>
      </c>
      <c r="I588">
        <v>77442</v>
      </c>
      <c r="J588">
        <v>77442</v>
      </c>
      <c r="K588">
        <v>0</v>
      </c>
      <c r="L588" t="s">
        <v>29</v>
      </c>
      <c r="M588" t="s">
        <v>58</v>
      </c>
      <c r="N588" s="17"/>
      <c r="O588">
        <v>0</v>
      </c>
    </row>
    <row r="589" spans="1:15" x14ac:dyDescent="0.3">
      <c r="A589" t="s">
        <v>713</v>
      </c>
      <c r="B589" t="s">
        <v>66</v>
      </c>
      <c r="C589" t="s">
        <v>45</v>
      </c>
      <c r="D589" t="s">
        <v>46</v>
      </c>
      <c r="E589" t="s">
        <v>28</v>
      </c>
      <c r="F589">
        <v>34</v>
      </c>
      <c r="G589" t="s">
        <v>127</v>
      </c>
      <c r="H589" s="17">
        <v>41066</v>
      </c>
      <c r="I589">
        <v>72126</v>
      </c>
      <c r="J589">
        <v>72126</v>
      </c>
      <c r="K589">
        <v>0</v>
      </c>
      <c r="L589" t="s">
        <v>59</v>
      </c>
      <c r="M589" t="s">
        <v>60</v>
      </c>
      <c r="N589" s="17"/>
      <c r="O589">
        <v>0</v>
      </c>
    </row>
    <row r="590" spans="1:15" x14ac:dyDescent="0.3">
      <c r="A590" t="s">
        <v>714</v>
      </c>
      <c r="B590" t="s">
        <v>86</v>
      </c>
      <c r="C590" t="s">
        <v>26</v>
      </c>
      <c r="D590" t="s">
        <v>32</v>
      </c>
      <c r="E590" t="s">
        <v>33</v>
      </c>
      <c r="F590">
        <v>55</v>
      </c>
      <c r="G590" t="s">
        <v>122</v>
      </c>
      <c r="H590" s="17">
        <v>41565</v>
      </c>
      <c r="I590">
        <v>70334</v>
      </c>
      <c r="J590">
        <v>70334</v>
      </c>
      <c r="K590">
        <v>0</v>
      </c>
      <c r="L590" t="s">
        <v>29</v>
      </c>
      <c r="M590" t="s">
        <v>49</v>
      </c>
      <c r="N590" s="17"/>
      <c r="O590">
        <v>0</v>
      </c>
    </row>
    <row r="591" spans="1:15" x14ac:dyDescent="0.3">
      <c r="A591" t="s">
        <v>715</v>
      </c>
      <c r="B591" t="s">
        <v>62</v>
      </c>
      <c r="C591" t="s">
        <v>54</v>
      </c>
      <c r="D591" t="s">
        <v>27</v>
      </c>
      <c r="E591" t="s">
        <v>33</v>
      </c>
      <c r="F591">
        <v>59</v>
      </c>
      <c r="G591" t="s">
        <v>122</v>
      </c>
      <c r="H591" s="17">
        <v>40170</v>
      </c>
      <c r="I591">
        <v>78006</v>
      </c>
      <c r="J591">
        <v>78006</v>
      </c>
      <c r="K591">
        <v>0</v>
      </c>
      <c r="L591" t="s">
        <v>29</v>
      </c>
      <c r="M591" t="s">
        <v>49</v>
      </c>
      <c r="N591" s="17"/>
      <c r="O591">
        <v>0</v>
      </c>
    </row>
    <row r="592" spans="1:15" x14ac:dyDescent="0.3">
      <c r="A592" t="s">
        <v>716</v>
      </c>
      <c r="B592" t="s">
        <v>37</v>
      </c>
      <c r="C592" t="s">
        <v>26</v>
      </c>
      <c r="D592" t="s">
        <v>32</v>
      </c>
      <c r="E592" t="s">
        <v>28</v>
      </c>
      <c r="F592">
        <v>28</v>
      </c>
      <c r="G592" t="s">
        <v>127</v>
      </c>
      <c r="H592" s="17">
        <v>44221</v>
      </c>
      <c r="I592">
        <v>160385</v>
      </c>
      <c r="J592">
        <v>197274</v>
      </c>
      <c r="K592">
        <v>0.23</v>
      </c>
      <c r="L592" t="s">
        <v>29</v>
      </c>
      <c r="M592" t="s">
        <v>49</v>
      </c>
      <c r="N592" s="17">
        <v>44334</v>
      </c>
      <c r="O592">
        <v>1</v>
      </c>
    </row>
    <row r="593" spans="1:15" x14ac:dyDescent="0.3">
      <c r="A593" t="s">
        <v>717</v>
      </c>
      <c r="B593" t="s">
        <v>56</v>
      </c>
      <c r="C593" t="s">
        <v>38</v>
      </c>
      <c r="D593" t="s">
        <v>46</v>
      </c>
      <c r="E593" t="s">
        <v>28</v>
      </c>
      <c r="F593">
        <v>36</v>
      </c>
      <c r="G593" t="s">
        <v>135</v>
      </c>
      <c r="H593" s="17">
        <v>41650</v>
      </c>
      <c r="I593">
        <v>202323</v>
      </c>
      <c r="J593">
        <v>281229</v>
      </c>
      <c r="K593">
        <v>0.39</v>
      </c>
      <c r="L593" t="s">
        <v>29</v>
      </c>
      <c r="M593" t="s">
        <v>40</v>
      </c>
      <c r="N593" s="17"/>
      <c r="O593">
        <v>0</v>
      </c>
    </row>
    <row r="594" spans="1:15" x14ac:dyDescent="0.3">
      <c r="A594" t="s">
        <v>718</v>
      </c>
      <c r="B594" t="s">
        <v>25</v>
      </c>
      <c r="C594" t="s">
        <v>52</v>
      </c>
      <c r="D594" t="s">
        <v>46</v>
      </c>
      <c r="E594" t="s">
        <v>28</v>
      </c>
      <c r="F594">
        <v>29</v>
      </c>
      <c r="G594" t="s">
        <v>127</v>
      </c>
      <c r="H594" s="17">
        <v>44025</v>
      </c>
      <c r="I594">
        <v>141555</v>
      </c>
      <c r="J594">
        <v>157126</v>
      </c>
      <c r="K594">
        <v>0.11</v>
      </c>
      <c r="L594" t="s">
        <v>59</v>
      </c>
      <c r="M594" t="s">
        <v>60</v>
      </c>
      <c r="N594" s="17"/>
      <c r="O594">
        <v>0</v>
      </c>
    </row>
    <row r="595" spans="1:15" x14ac:dyDescent="0.3">
      <c r="A595" t="s">
        <v>719</v>
      </c>
      <c r="B595" t="s">
        <v>37</v>
      </c>
      <c r="C595" t="s">
        <v>38</v>
      </c>
      <c r="D595" t="s">
        <v>39</v>
      </c>
      <c r="E595" t="s">
        <v>28</v>
      </c>
      <c r="F595">
        <v>34</v>
      </c>
      <c r="G595" t="s">
        <v>127</v>
      </c>
      <c r="H595" s="17">
        <v>44032</v>
      </c>
      <c r="I595">
        <v>184960</v>
      </c>
      <c r="J595">
        <v>218253</v>
      </c>
      <c r="K595">
        <v>0.18</v>
      </c>
      <c r="L595" t="s">
        <v>29</v>
      </c>
      <c r="M595" t="s">
        <v>30</v>
      </c>
      <c r="N595" s="17"/>
      <c r="O595">
        <v>0</v>
      </c>
    </row>
    <row r="596" spans="1:15" x14ac:dyDescent="0.3">
      <c r="A596" t="s">
        <v>720</v>
      </c>
      <c r="B596" t="s">
        <v>56</v>
      </c>
      <c r="C596" t="s">
        <v>26</v>
      </c>
      <c r="D596" t="s">
        <v>32</v>
      </c>
      <c r="E596" t="s">
        <v>33</v>
      </c>
      <c r="F596">
        <v>37</v>
      </c>
      <c r="G596" t="s">
        <v>135</v>
      </c>
      <c r="H596" s="17">
        <v>40719</v>
      </c>
      <c r="I596">
        <v>221592</v>
      </c>
      <c r="J596">
        <v>290286</v>
      </c>
      <c r="K596">
        <v>0.31</v>
      </c>
      <c r="L596" t="s">
        <v>29</v>
      </c>
      <c r="M596" t="s">
        <v>58</v>
      </c>
      <c r="N596" s="17"/>
      <c r="O596">
        <v>0</v>
      </c>
    </row>
    <row r="597" spans="1:15" x14ac:dyDescent="0.3">
      <c r="A597" t="s">
        <v>721</v>
      </c>
      <c r="B597" t="s">
        <v>70</v>
      </c>
      <c r="C597" t="s">
        <v>52</v>
      </c>
      <c r="D597" t="s">
        <v>32</v>
      </c>
      <c r="E597" t="s">
        <v>28</v>
      </c>
      <c r="F597">
        <v>44</v>
      </c>
      <c r="G597" t="s">
        <v>135</v>
      </c>
      <c r="H597" s="17">
        <v>39841</v>
      </c>
      <c r="I597">
        <v>53301</v>
      </c>
      <c r="J597">
        <v>53301</v>
      </c>
      <c r="K597">
        <v>0</v>
      </c>
      <c r="L597" t="s">
        <v>29</v>
      </c>
      <c r="M597" t="s">
        <v>30</v>
      </c>
      <c r="N597" s="17"/>
      <c r="O597">
        <v>0</v>
      </c>
    </row>
    <row r="598" spans="1:15" x14ac:dyDescent="0.3">
      <c r="A598" t="s">
        <v>722</v>
      </c>
      <c r="B598" t="s">
        <v>75</v>
      </c>
      <c r="C598" t="s">
        <v>26</v>
      </c>
      <c r="D598" t="s">
        <v>46</v>
      </c>
      <c r="E598" t="s">
        <v>33</v>
      </c>
      <c r="F598">
        <v>45</v>
      </c>
      <c r="G598" t="s">
        <v>125</v>
      </c>
      <c r="H598" s="17">
        <v>36587</v>
      </c>
      <c r="I598">
        <v>91276</v>
      </c>
      <c r="J598">
        <v>91276</v>
      </c>
      <c r="K598">
        <v>0</v>
      </c>
      <c r="L598" t="s">
        <v>29</v>
      </c>
      <c r="M598" t="s">
        <v>30</v>
      </c>
      <c r="N598" s="17"/>
      <c r="O598">
        <v>0</v>
      </c>
    </row>
    <row r="599" spans="1:15" x14ac:dyDescent="0.3">
      <c r="A599" t="s">
        <v>723</v>
      </c>
      <c r="B599" t="s">
        <v>25</v>
      </c>
      <c r="C599" t="s">
        <v>52</v>
      </c>
      <c r="D599" t="s">
        <v>27</v>
      </c>
      <c r="E599" t="s">
        <v>28</v>
      </c>
      <c r="F599">
        <v>52</v>
      </c>
      <c r="G599" t="s">
        <v>125</v>
      </c>
      <c r="H599" s="17">
        <v>42983</v>
      </c>
      <c r="I599">
        <v>140042</v>
      </c>
      <c r="J599">
        <v>158247</v>
      </c>
      <c r="K599">
        <v>0.13</v>
      </c>
      <c r="L599" t="s">
        <v>29</v>
      </c>
      <c r="M599" t="s">
        <v>51</v>
      </c>
      <c r="N599" s="17"/>
      <c r="O599">
        <v>0</v>
      </c>
    </row>
    <row r="600" spans="1:15" x14ac:dyDescent="0.3">
      <c r="A600" t="s">
        <v>724</v>
      </c>
      <c r="B600" t="s">
        <v>48</v>
      </c>
      <c r="C600" t="s">
        <v>50</v>
      </c>
      <c r="D600" t="s">
        <v>32</v>
      </c>
      <c r="E600" t="s">
        <v>28</v>
      </c>
      <c r="F600">
        <v>40</v>
      </c>
      <c r="G600" t="s">
        <v>135</v>
      </c>
      <c r="H600" s="17">
        <v>43440</v>
      </c>
      <c r="I600">
        <v>57225</v>
      </c>
      <c r="J600">
        <v>57225</v>
      </c>
      <c r="K600">
        <v>0</v>
      </c>
      <c r="L600" t="s">
        <v>29</v>
      </c>
      <c r="M600" t="s">
        <v>58</v>
      </c>
      <c r="N600" s="17"/>
      <c r="O600">
        <v>0</v>
      </c>
    </row>
    <row r="601" spans="1:15" x14ac:dyDescent="0.3">
      <c r="A601" t="s">
        <v>725</v>
      </c>
      <c r="B601" t="s">
        <v>47</v>
      </c>
      <c r="C601" t="s">
        <v>52</v>
      </c>
      <c r="D601" t="s">
        <v>39</v>
      </c>
      <c r="E601" t="s">
        <v>28</v>
      </c>
      <c r="F601">
        <v>55</v>
      </c>
      <c r="G601" t="s">
        <v>122</v>
      </c>
      <c r="H601" s="17">
        <v>40233</v>
      </c>
      <c r="I601">
        <v>102839</v>
      </c>
      <c r="J601">
        <v>107981</v>
      </c>
      <c r="K601">
        <v>0.05</v>
      </c>
      <c r="L601" t="s">
        <v>29</v>
      </c>
      <c r="M601" t="s">
        <v>49</v>
      </c>
      <c r="N601" s="17"/>
      <c r="O601">
        <v>0</v>
      </c>
    </row>
    <row r="602" spans="1:15" x14ac:dyDescent="0.3">
      <c r="A602" t="s">
        <v>726</v>
      </c>
      <c r="B602" t="s">
        <v>37</v>
      </c>
      <c r="C602" t="s">
        <v>57</v>
      </c>
      <c r="D602" t="s">
        <v>27</v>
      </c>
      <c r="E602" t="s">
        <v>33</v>
      </c>
      <c r="F602">
        <v>29</v>
      </c>
      <c r="G602" t="s">
        <v>127</v>
      </c>
      <c r="H602" s="17">
        <v>44454</v>
      </c>
      <c r="I602">
        <v>199783</v>
      </c>
      <c r="J602">
        <v>241737</v>
      </c>
      <c r="K602">
        <v>0.21</v>
      </c>
      <c r="L602" t="s">
        <v>29</v>
      </c>
      <c r="M602" t="s">
        <v>40</v>
      </c>
      <c r="N602" s="17">
        <v>44661</v>
      </c>
      <c r="O602">
        <v>1</v>
      </c>
    </row>
    <row r="603" spans="1:15" x14ac:dyDescent="0.3">
      <c r="A603" t="s">
        <v>727</v>
      </c>
      <c r="B603" t="s">
        <v>69</v>
      </c>
      <c r="C603" t="s">
        <v>52</v>
      </c>
      <c r="D603" t="s">
        <v>27</v>
      </c>
      <c r="E603" t="s">
        <v>33</v>
      </c>
      <c r="F603">
        <v>32</v>
      </c>
      <c r="G603" t="s">
        <v>127</v>
      </c>
      <c r="H603" s="17">
        <v>44295</v>
      </c>
      <c r="I603">
        <v>70980</v>
      </c>
      <c r="J603">
        <v>70980</v>
      </c>
      <c r="K603">
        <v>0</v>
      </c>
      <c r="L603" t="s">
        <v>59</v>
      </c>
      <c r="M603" t="s">
        <v>61</v>
      </c>
      <c r="N603" s="17"/>
      <c r="O603">
        <v>0</v>
      </c>
    </row>
    <row r="604" spans="1:15" x14ac:dyDescent="0.3">
      <c r="A604" t="s">
        <v>728</v>
      </c>
      <c r="B604" t="s">
        <v>47</v>
      </c>
      <c r="C604" t="s">
        <v>57</v>
      </c>
      <c r="D604" t="s">
        <v>46</v>
      </c>
      <c r="E604" t="s">
        <v>33</v>
      </c>
      <c r="F604">
        <v>51</v>
      </c>
      <c r="G604" t="s">
        <v>125</v>
      </c>
      <c r="H604" s="17">
        <v>35456</v>
      </c>
      <c r="I604">
        <v>104431</v>
      </c>
      <c r="J604">
        <v>111741</v>
      </c>
      <c r="K604">
        <v>7.0000000000000007E-2</v>
      </c>
      <c r="L604" t="s">
        <v>29</v>
      </c>
      <c r="M604" t="s">
        <v>43</v>
      </c>
      <c r="N604" s="17"/>
      <c r="O604">
        <v>0</v>
      </c>
    </row>
    <row r="605" spans="1:15" x14ac:dyDescent="0.3">
      <c r="A605" t="s">
        <v>729</v>
      </c>
      <c r="B605" t="s">
        <v>74</v>
      </c>
      <c r="C605" t="s">
        <v>52</v>
      </c>
      <c r="D605" t="s">
        <v>39</v>
      </c>
      <c r="E605" t="s">
        <v>33</v>
      </c>
      <c r="F605">
        <v>28</v>
      </c>
      <c r="G605" t="s">
        <v>127</v>
      </c>
      <c r="H605" s="17">
        <v>44374</v>
      </c>
      <c r="I605">
        <v>48510</v>
      </c>
      <c r="J605">
        <v>48510</v>
      </c>
      <c r="K605">
        <v>0</v>
      </c>
      <c r="L605" t="s">
        <v>29</v>
      </c>
      <c r="M605" t="s">
        <v>40</v>
      </c>
      <c r="N605" s="17"/>
      <c r="O605">
        <v>0</v>
      </c>
    </row>
    <row r="606" spans="1:15" x14ac:dyDescent="0.3">
      <c r="A606" t="s">
        <v>730</v>
      </c>
      <c r="B606" t="s">
        <v>62</v>
      </c>
      <c r="C606" t="s">
        <v>54</v>
      </c>
      <c r="D606" t="s">
        <v>39</v>
      </c>
      <c r="E606" t="s">
        <v>33</v>
      </c>
      <c r="F606">
        <v>27</v>
      </c>
      <c r="G606" t="s">
        <v>127</v>
      </c>
      <c r="H606" s="17">
        <v>43613</v>
      </c>
      <c r="I606">
        <v>70110</v>
      </c>
      <c r="J606">
        <v>70110</v>
      </c>
      <c r="K606">
        <v>0</v>
      </c>
      <c r="L606" t="s">
        <v>29</v>
      </c>
      <c r="M606" t="s">
        <v>49</v>
      </c>
      <c r="N606" s="17">
        <v>44203</v>
      </c>
      <c r="O606">
        <v>1</v>
      </c>
    </row>
    <row r="607" spans="1:15" x14ac:dyDescent="0.3">
      <c r="A607" t="s">
        <v>731</v>
      </c>
      <c r="B607" t="s">
        <v>37</v>
      </c>
      <c r="C607" t="s">
        <v>57</v>
      </c>
      <c r="D607" t="s">
        <v>46</v>
      </c>
      <c r="E607" t="s">
        <v>33</v>
      </c>
      <c r="F607">
        <v>45</v>
      </c>
      <c r="G607" t="s">
        <v>125</v>
      </c>
      <c r="H607" s="17">
        <v>39519</v>
      </c>
      <c r="I607">
        <v>186138</v>
      </c>
      <c r="J607">
        <v>238257</v>
      </c>
      <c r="K607">
        <v>0.28000000000000003</v>
      </c>
      <c r="L607" t="s">
        <v>34</v>
      </c>
      <c r="M607" t="s">
        <v>35</v>
      </c>
      <c r="N607" s="17"/>
      <c r="O607">
        <v>0</v>
      </c>
    </row>
    <row r="608" spans="1:15" x14ac:dyDescent="0.3">
      <c r="A608" t="s">
        <v>732</v>
      </c>
      <c r="B608" t="s">
        <v>48</v>
      </c>
      <c r="C608" t="s">
        <v>50</v>
      </c>
      <c r="D608" t="s">
        <v>32</v>
      </c>
      <c r="E608" t="s">
        <v>33</v>
      </c>
      <c r="F608">
        <v>58</v>
      </c>
      <c r="G608" t="s">
        <v>122</v>
      </c>
      <c r="H608" s="17">
        <v>40287</v>
      </c>
      <c r="I608">
        <v>56350</v>
      </c>
      <c r="J608">
        <v>56350</v>
      </c>
      <c r="K608">
        <v>0</v>
      </c>
      <c r="L608" t="s">
        <v>59</v>
      </c>
      <c r="M608" t="s">
        <v>61</v>
      </c>
      <c r="N608" s="17"/>
      <c r="O608">
        <v>0</v>
      </c>
    </row>
    <row r="609" spans="1:15" x14ac:dyDescent="0.3">
      <c r="A609" t="s">
        <v>733</v>
      </c>
      <c r="B609" t="s">
        <v>25</v>
      </c>
      <c r="C609" t="s">
        <v>38</v>
      </c>
      <c r="D609" t="s">
        <v>27</v>
      </c>
      <c r="E609" t="s">
        <v>28</v>
      </c>
      <c r="F609">
        <v>45</v>
      </c>
      <c r="G609" t="s">
        <v>125</v>
      </c>
      <c r="H609" s="17">
        <v>42379</v>
      </c>
      <c r="I609">
        <v>149761</v>
      </c>
      <c r="J609">
        <v>167732</v>
      </c>
      <c r="K609">
        <v>0.12</v>
      </c>
      <c r="L609" t="s">
        <v>29</v>
      </c>
      <c r="M609" t="s">
        <v>58</v>
      </c>
      <c r="N609" s="17"/>
      <c r="O609">
        <v>0</v>
      </c>
    </row>
    <row r="610" spans="1:15" x14ac:dyDescent="0.3">
      <c r="A610" t="s">
        <v>734</v>
      </c>
      <c r="B610" t="s">
        <v>25</v>
      </c>
      <c r="C610" t="s">
        <v>38</v>
      </c>
      <c r="D610" t="s">
        <v>46</v>
      </c>
      <c r="E610" t="s">
        <v>33</v>
      </c>
      <c r="F610">
        <v>44</v>
      </c>
      <c r="G610" t="s">
        <v>135</v>
      </c>
      <c r="H610" s="17">
        <v>39305</v>
      </c>
      <c r="I610">
        <v>126277</v>
      </c>
      <c r="J610">
        <v>142693</v>
      </c>
      <c r="K610">
        <v>0.13</v>
      </c>
      <c r="L610" t="s">
        <v>59</v>
      </c>
      <c r="M610" t="s">
        <v>60</v>
      </c>
      <c r="N610" s="17"/>
      <c r="O610">
        <v>0</v>
      </c>
    </row>
    <row r="611" spans="1:15" x14ac:dyDescent="0.3">
      <c r="A611" t="s">
        <v>735</v>
      </c>
      <c r="B611" t="s">
        <v>47</v>
      </c>
      <c r="C611" t="s">
        <v>45</v>
      </c>
      <c r="D611" t="s">
        <v>39</v>
      </c>
      <c r="E611" t="s">
        <v>33</v>
      </c>
      <c r="F611">
        <v>33</v>
      </c>
      <c r="G611" t="s">
        <v>127</v>
      </c>
      <c r="H611" s="17">
        <v>41446</v>
      </c>
      <c r="I611">
        <v>119631</v>
      </c>
      <c r="J611">
        <v>126809</v>
      </c>
      <c r="K611">
        <v>0.06</v>
      </c>
      <c r="L611" t="s">
        <v>29</v>
      </c>
      <c r="M611" t="s">
        <v>43</v>
      </c>
      <c r="N611" s="17"/>
      <c r="O611">
        <v>0</v>
      </c>
    </row>
    <row r="612" spans="1:15" x14ac:dyDescent="0.3">
      <c r="A612" t="s">
        <v>736</v>
      </c>
      <c r="B612" t="s">
        <v>56</v>
      </c>
      <c r="C612" t="s">
        <v>26</v>
      </c>
      <c r="D612" t="s">
        <v>27</v>
      </c>
      <c r="E612" t="s">
        <v>33</v>
      </c>
      <c r="F612">
        <v>26</v>
      </c>
      <c r="G612" t="s">
        <v>127</v>
      </c>
      <c r="H612" s="17">
        <v>43960</v>
      </c>
      <c r="I612">
        <v>256561</v>
      </c>
      <c r="J612">
        <v>356620</v>
      </c>
      <c r="K612">
        <v>0.39</v>
      </c>
      <c r="L612" t="s">
        <v>29</v>
      </c>
      <c r="M612" t="s">
        <v>51</v>
      </c>
      <c r="N612" s="17"/>
      <c r="O612">
        <v>0</v>
      </c>
    </row>
    <row r="613" spans="1:15" x14ac:dyDescent="0.3">
      <c r="A613" t="s">
        <v>737</v>
      </c>
      <c r="B613" t="s">
        <v>84</v>
      </c>
      <c r="C613" t="s">
        <v>26</v>
      </c>
      <c r="D613" t="s">
        <v>39</v>
      </c>
      <c r="E613" t="s">
        <v>28</v>
      </c>
      <c r="F613">
        <v>45</v>
      </c>
      <c r="G613" t="s">
        <v>125</v>
      </c>
      <c r="H613" s="17">
        <v>43937</v>
      </c>
      <c r="I613">
        <v>66958</v>
      </c>
      <c r="J613">
        <v>66958</v>
      </c>
      <c r="K613">
        <v>0</v>
      </c>
      <c r="L613" t="s">
        <v>29</v>
      </c>
      <c r="M613" t="s">
        <v>49</v>
      </c>
      <c r="N613" s="17"/>
      <c r="O613">
        <v>0</v>
      </c>
    </row>
    <row r="614" spans="1:15" x14ac:dyDescent="0.3">
      <c r="A614" t="s">
        <v>738</v>
      </c>
      <c r="B614" t="s">
        <v>25</v>
      </c>
      <c r="C614" t="s">
        <v>45</v>
      </c>
      <c r="D614" t="s">
        <v>32</v>
      </c>
      <c r="E614" t="s">
        <v>28</v>
      </c>
      <c r="F614">
        <v>46</v>
      </c>
      <c r="G614" t="s">
        <v>125</v>
      </c>
      <c r="H614" s="17">
        <v>38046</v>
      </c>
      <c r="I614">
        <v>158897</v>
      </c>
      <c r="J614">
        <v>174787</v>
      </c>
      <c r="K614">
        <v>0.1</v>
      </c>
      <c r="L614" t="s">
        <v>34</v>
      </c>
      <c r="M614" t="s">
        <v>35</v>
      </c>
      <c r="N614" s="17"/>
      <c r="O614">
        <v>0</v>
      </c>
    </row>
    <row r="615" spans="1:15" x14ac:dyDescent="0.3">
      <c r="A615" t="s">
        <v>739</v>
      </c>
      <c r="B615" t="s">
        <v>31</v>
      </c>
      <c r="C615" t="s">
        <v>26</v>
      </c>
      <c r="D615" t="s">
        <v>46</v>
      </c>
      <c r="E615" t="s">
        <v>33</v>
      </c>
      <c r="F615">
        <v>37</v>
      </c>
      <c r="G615" t="s">
        <v>135</v>
      </c>
      <c r="H615" s="17">
        <v>39493</v>
      </c>
      <c r="I615">
        <v>71695</v>
      </c>
      <c r="J615">
        <v>71695</v>
      </c>
      <c r="K615">
        <v>0</v>
      </c>
      <c r="L615" t="s">
        <v>29</v>
      </c>
      <c r="M615" t="s">
        <v>43</v>
      </c>
      <c r="N615" s="17"/>
      <c r="O615">
        <v>0</v>
      </c>
    </row>
    <row r="616" spans="1:15" x14ac:dyDescent="0.3">
      <c r="A616" t="s">
        <v>740</v>
      </c>
      <c r="B616" t="s">
        <v>42</v>
      </c>
      <c r="C616" t="s">
        <v>57</v>
      </c>
      <c r="D616" t="s">
        <v>46</v>
      </c>
      <c r="E616" t="s">
        <v>33</v>
      </c>
      <c r="F616">
        <v>40</v>
      </c>
      <c r="G616" t="s">
        <v>135</v>
      </c>
      <c r="H616" s="17">
        <v>41904</v>
      </c>
      <c r="I616">
        <v>73779</v>
      </c>
      <c r="J616">
        <v>73779</v>
      </c>
      <c r="K616">
        <v>0</v>
      </c>
      <c r="L616" t="s">
        <v>34</v>
      </c>
      <c r="M616" t="s">
        <v>35</v>
      </c>
      <c r="N616" s="17">
        <v>43594</v>
      </c>
      <c r="O616">
        <v>1</v>
      </c>
    </row>
    <row r="617" spans="1:15" x14ac:dyDescent="0.3">
      <c r="A617" t="s">
        <v>741</v>
      </c>
      <c r="B617" t="s">
        <v>47</v>
      </c>
      <c r="C617" t="s">
        <v>45</v>
      </c>
      <c r="D617" t="s">
        <v>39</v>
      </c>
      <c r="E617" t="s">
        <v>28</v>
      </c>
      <c r="F617">
        <v>45</v>
      </c>
      <c r="G617" t="s">
        <v>125</v>
      </c>
      <c r="H617" s="17">
        <v>40836</v>
      </c>
      <c r="I617">
        <v>123640</v>
      </c>
      <c r="J617">
        <v>132295</v>
      </c>
      <c r="K617">
        <v>7.0000000000000007E-2</v>
      </c>
      <c r="L617" t="s">
        <v>34</v>
      </c>
      <c r="M617" t="s">
        <v>55</v>
      </c>
      <c r="N617" s="17"/>
      <c r="O617">
        <v>0</v>
      </c>
    </row>
    <row r="618" spans="1:15" x14ac:dyDescent="0.3">
      <c r="A618" t="s">
        <v>742</v>
      </c>
      <c r="B618" t="s">
        <v>48</v>
      </c>
      <c r="C618" t="s">
        <v>45</v>
      </c>
      <c r="D618" t="s">
        <v>39</v>
      </c>
      <c r="E618" t="s">
        <v>28</v>
      </c>
      <c r="F618">
        <v>33</v>
      </c>
      <c r="G618" t="s">
        <v>127</v>
      </c>
      <c r="H618" s="17">
        <v>41742</v>
      </c>
      <c r="I618">
        <v>46878</v>
      </c>
      <c r="J618">
        <v>46878</v>
      </c>
      <c r="K618">
        <v>0</v>
      </c>
      <c r="L618" t="s">
        <v>29</v>
      </c>
      <c r="M618" t="s">
        <v>49</v>
      </c>
      <c r="N618" s="17"/>
      <c r="O618">
        <v>0</v>
      </c>
    </row>
    <row r="619" spans="1:15" x14ac:dyDescent="0.3">
      <c r="A619" t="s">
        <v>743</v>
      </c>
      <c r="B619" t="s">
        <v>48</v>
      </c>
      <c r="C619" t="s">
        <v>57</v>
      </c>
      <c r="D619" t="s">
        <v>39</v>
      </c>
      <c r="E619" t="s">
        <v>28</v>
      </c>
      <c r="F619">
        <v>64</v>
      </c>
      <c r="G619" t="s">
        <v>122</v>
      </c>
      <c r="H619" s="17">
        <v>37662</v>
      </c>
      <c r="I619">
        <v>57032</v>
      </c>
      <c r="J619">
        <v>57032</v>
      </c>
      <c r="K619">
        <v>0</v>
      </c>
      <c r="L619" t="s">
        <v>29</v>
      </c>
      <c r="M619" t="s">
        <v>49</v>
      </c>
      <c r="N619" s="17"/>
      <c r="O619">
        <v>0</v>
      </c>
    </row>
    <row r="620" spans="1:15" x14ac:dyDescent="0.3">
      <c r="A620" t="s">
        <v>744</v>
      </c>
      <c r="B620" t="s">
        <v>42</v>
      </c>
      <c r="C620" t="s">
        <v>45</v>
      </c>
      <c r="D620" t="s">
        <v>32</v>
      </c>
      <c r="E620" t="s">
        <v>28</v>
      </c>
      <c r="F620">
        <v>57</v>
      </c>
      <c r="G620" t="s">
        <v>122</v>
      </c>
      <c r="H620" s="17">
        <v>39357</v>
      </c>
      <c r="I620">
        <v>98150</v>
      </c>
      <c r="J620">
        <v>98150</v>
      </c>
      <c r="K620">
        <v>0</v>
      </c>
      <c r="L620" t="s">
        <v>59</v>
      </c>
      <c r="M620" t="s">
        <v>61</v>
      </c>
      <c r="N620" s="17"/>
      <c r="O620">
        <v>0</v>
      </c>
    </row>
    <row r="621" spans="1:15" x14ac:dyDescent="0.3">
      <c r="A621" t="s">
        <v>745</v>
      </c>
      <c r="B621" t="s">
        <v>37</v>
      </c>
      <c r="C621" t="s">
        <v>57</v>
      </c>
      <c r="D621" t="s">
        <v>32</v>
      </c>
      <c r="E621" t="s">
        <v>28</v>
      </c>
      <c r="F621">
        <v>35</v>
      </c>
      <c r="G621" t="s">
        <v>135</v>
      </c>
      <c r="H621" s="17">
        <v>42800</v>
      </c>
      <c r="I621">
        <v>171426</v>
      </c>
      <c r="J621">
        <v>197140</v>
      </c>
      <c r="K621">
        <v>0.15</v>
      </c>
      <c r="L621" t="s">
        <v>34</v>
      </c>
      <c r="M621" t="s">
        <v>64</v>
      </c>
      <c r="N621" s="17">
        <v>43000</v>
      </c>
      <c r="O621">
        <v>1</v>
      </c>
    </row>
    <row r="622" spans="1:15" x14ac:dyDescent="0.3">
      <c r="A622" t="s">
        <v>746</v>
      </c>
      <c r="B622" t="s">
        <v>48</v>
      </c>
      <c r="C622" t="s">
        <v>38</v>
      </c>
      <c r="D622" t="s">
        <v>32</v>
      </c>
      <c r="E622" t="s">
        <v>28</v>
      </c>
      <c r="F622">
        <v>55</v>
      </c>
      <c r="G622" t="s">
        <v>122</v>
      </c>
      <c r="H622" s="17">
        <v>44302</v>
      </c>
      <c r="I622">
        <v>48266</v>
      </c>
      <c r="J622">
        <v>48266</v>
      </c>
      <c r="K622">
        <v>0</v>
      </c>
      <c r="L622" t="s">
        <v>29</v>
      </c>
      <c r="M622" t="s">
        <v>40</v>
      </c>
      <c r="N622" s="17"/>
      <c r="O622">
        <v>0</v>
      </c>
    </row>
    <row r="623" spans="1:15" x14ac:dyDescent="0.3">
      <c r="A623" t="s">
        <v>747</v>
      </c>
      <c r="B623" t="s">
        <v>56</v>
      </c>
      <c r="C623" t="s">
        <v>38</v>
      </c>
      <c r="D623" t="s">
        <v>27</v>
      </c>
      <c r="E623" t="s">
        <v>33</v>
      </c>
      <c r="F623">
        <v>36</v>
      </c>
      <c r="G623" t="s">
        <v>135</v>
      </c>
      <c r="H623" s="17">
        <v>43330</v>
      </c>
      <c r="I623">
        <v>223404</v>
      </c>
      <c r="J623">
        <v>294893</v>
      </c>
      <c r="K623">
        <v>0.32</v>
      </c>
      <c r="L623" t="s">
        <v>29</v>
      </c>
      <c r="M623" t="s">
        <v>58</v>
      </c>
      <c r="N623" s="17"/>
      <c r="O623">
        <v>0</v>
      </c>
    </row>
    <row r="624" spans="1:15" x14ac:dyDescent="0.3">
      <c r="A624" t="s">
        <v>748</v>
      </c>
      <c r="B624" t="s">
        <v>82</v>
      </c>
      <c r="C624" t="s">
        <v>26</v>
      </c>
      <c r="D624" t="s">
        <v>39</v>
      </c>
      <c r="E624" t="s">
        <v>28</v>
      </c>
      <c r="F624">
        <v>57</v>
      </c>
      <c r="G624" t="s">
        <v>122</v>
      </c>
      <c r="H624" s="17">
        <v>41649</v>
      </c>
      <c r="I624">
        <v>74854</v>
      </c>
      <c r="J624">
        <v>74854</v>
      </c>
      <c r="K624">
        <v>0</v>
      </c>
      <c r="L624" t="s">
        <v>29</v>
      </c>
      <c r="M624" t="s">
        <v>30</v>
      </c>
      <c r="N624" s="17"/>
      <c r="O624">
        <v>0</v>
      </c>
    </row>
    <row r="625" spans="1:15" x14ac:dyDescent="0.3">
      <c r="A625" t="s">
        <v>749</v>
      </c>
      <c r="B625" t="s">
        <v>56</v>
      </c>
      <c r="C625" t="s">
        <v>50</v>
      </c>
      <c r="D625" t="s">
        <v>39</v>
      </c>
      <c r="E625" t="s">
        <v>28</v>
      </c>
      <c r="F625">
        <v>48</v>
      </c>
      <c r="G625" t="s">
        <v>125</v>
      </c>
      <c r="H625" s="17">
        <v>39197</v>
      </c>
      <c r="I625">
        <v>217783</v>
      </c>
      <c r="J625">
        <v>296185</v>
      </c>
      <c r="K625">
        <v>0.36</v>
      </c>
      <c r="L625" t="s">
        <v>29</v>
      </c>
      <c r="M625" t="s">
        <v>30</v>
      </c>
      <c r="N625" s="17"/>
      <c r="O625">
        <v>0</v>
      </c>
    </row>
    <row r="626" spans="1:15" x14ac:dyDescent="0.3">
      <c r="A626" t="s">
        <v>750</v>
      </c>
      <c r="B626" t="s">
        <v>83</v>
      </c>
      <c r="C626" t="s">
        <v>26</v>
      </c>
      <c r="D626" t="s">
        <v>32</v>
      </c>
      <c r="E626" t="s">
        <v>28</v>
      </c>
      <c r="F626">
        <v>53</v>
      </c>
      <c r="G626" t="s">
        <v>125</v>
      </c>
      <c r="H626" s="17">
        <v>38214</v>
      </c>
      <c r="I626">
        <v>44735</v>
      </c>
      <c r="J626">
        <v>44735</v>
      </c>
      <c r="K626">
        <v>0</v>
      </c>
      <c r="L626" t="s">
        <v>59</v>
      </c>
      <c r="M626" t="s">
        <v>60</v>
      </c>
      <c r="N626" s="17"/>
      <c r="O626">
        <v>0</v>
      </c>
    </row>
    <row r="627" spans="1:15" x14ac:dyDescent="0.3">
      <c r="A627" t="s">
        <v>751</v>
      </c>
      <c r="B627" t="s">
        <v>66</v>
      </c>
      <c r="C627" t="s">
        <v>38</v>
      </c>
      <c r="D627" t="s">
        <v>32</v>
      </c>
      <c r="E627" t="s">
        <v>28</v>
      </c>
      <c r="F627">
        <v>41</v>
      </c>
      <c r="G627" t="s">
        <v>135</v>
      </c>
      <c r="H627" s="17">
        <v>39091</v>
      </c>
      <c r="I627">
        <v>50685</v>
      </c>
      <c r="J627">
        <v>50685</v>
      </c>
      <c r="K627">
        <v>0</v>
      </c>
      <c r="L627" t="s">
        <v>29</v>
      </c>
      <c r="M627" t="s">
        <v>58</v>
      </c>
      <c r="N627" s="17"/>
      <c r="O627">
        <v>0</v>
      </c>
    </row>
    <row r="628" spans="1:15" x14ac:dyDescent="0.3">
      <c r="A628" t="s">
        <v>752</v>
      </c>
      <c r="B628" t="s">
        <v>66</v>
      </c>
      <c r="C628" t="s">
        <v>45</v>
      </c>
      <c r="D628" t="s">
        <v>27</v>
      </c>
      <c r="E628" t="s">
        <v>33</v>
      </c>
      <c r="F628">
        <v>34</v>
      </c>
      <c r="G628" t="s">
        <v>127</v>
      </c>
      <c r="H628" s="17">
        <v>43169</v>
      </c>
      <c r="I628">
        <v>58993</v>
      </c>
      <c r="J628">
        <v>58993</v>
      </c>
      <c r="K628">
        <v>0</v>
      </c>
      <c r="L628" t="s">
        <v>29</v>
      </c>
      <c r="M628" t="s">
        <v>51</v>
      </c>
      <c r="N628" s="17"/>
      <c r="O628">
        <v>0</v>
      </c>
    </row>
    <row r="629" spans="1:15" x14ac:dyDescent="0.3">
      <c r="A629" t="s">
        <v>753</v>
      </c>
      <c r="B629" t="s">
        <v>73</v>
      </c>
      <c r="C629" t="s">
        <v>54</v>
      </c>
      <c r="D629" t="s">
        <v>46</v>
      </c>
      <c r="E629" t="s">
        <v>33</v>
      </c>
      <c r="F629">
        <v>47</v>
      </c>
      <c r="G629" t="s">
        <v>125</v>
      </c>
      <c r="H629" s="17">
        <v>43990</v>
      </c>
      <c r="I629">
        <v>115765</v>
      </c>
      <c r="J629">
        <v>115765</v>
      </c>
      <c r="K629">
        <v>0</v>
      </c>
      <c r="L629" t="s">
        <v>29</v>
      </c>
      <c r="M629" t="s">
        <v>49</v>
      </c>
      <c r="N629" s="17">
        <v>44229</v>
      </c>
      <c r="O629">
        <v>1</v>
      </c>
    </row>
    <row r="630" spans="1:15" x14ac:dyDescent="0.3">
      <c r="A630" t="s">
        <v>754</v>
      </c>
      <c r="B630" t="s">
        <v>37</v>
      </c>
      <c r="C630" t="s">
        <v>50</v>
      </c>
      <c r="D630" t="s">
        <v>32</v>
      </c>
      <c r="E630" t="s">
        <v>28</v>
      </c>
      <c r="F630">
        <v>63</v>
      </c>
      <c r="G630" t="s">
        <v>122</v>
      </c>
      <c r="H630" s="17">
        <v>39147</v>
      </c>
      <c r="I630">
        <v>193044</v>
      </c>
      <c r="J630">
        <v>222001</v>
      </c>
      <c r="K630">
        <v>0.15</v>
      </c>
      <c r="L630" t="s">
        <v>29</v>
      </c>
      <c r="M630" t="s">
        <v>49</v>
      </c>
      <c r="N630" s="17"/>
      <c r="O630">
        <v>0</v>
      </c>
    </row>
    <row r="631" spans="1:15" x14ac:dyDescent="0.3">
      <c r="A631" t="s">
        <v>755</v>
      </c>
      <c r="B631" t="s">
        <v>48</v>
      </c>
      <c r="C631" t="s">
        <v>57</v>
      </c>
      <c r="D631" t="s">
        <v>27</v>
      </c>
      <c r="E631" t="s">
        <v>28</v>
      </c>
      <c r="F631">
        <v>65</v>
      </c>
      <c r="G631" t="s">
        <v>142</v>
      </c>
      <c r="H631" s="17">
        <v>40711</v>
      </c>
      <c r="I631">
        <v>56686</v>
      </c>
      <c r="J631">
        <v>56686</v>
      </c>
      <c r="K631">
        <v>0</v>
      </c>
      <c r="L631" t="s">
        <v>29</v>
      </c>
      <c r="M631" t="s">
        <v>30</v>
      </c>
      <c r="N631" s="17">
        <v>42164</v>
      </c>
      <c r="O631">
        <v>1</v>
      </c>
    </row>
    <row r="632" spans="1:15" x14ac:dyDescent="0.3">
      <c r="A632" t="s">
        <v>756</v>
      </c>
      <c r="B632" t="s">
        <v>25</v>
      </c>
      <c r="C632" t="s">
        <v>38</v>
      </c>
      <c r="D632" t="s">
        <v>32</v>
      </c>
      <c r="E632" t="s">
        <v>28</v>
      </c>
      <c r="F632">
        <v>33</v>
      </c>
      <c r="G632" t="s">
        <v>127</v>
      </c>
      <c r="H632" s="17">
        <v>43763</v>
      </c>
      <c r="I632">
        <v>131652</v>
      </c>
      <c r="J632">
        <v>146134</v>
      </c>
      <c r="K632">
        <v>0.11</v>
      </c>
      <c r="L632" t="s">
        <v>29</v>
      </c>
      <c r="M632" t="s">
        <v>30</v>
      </c>
      <c r="N632" s="17"/>
      <c r="O632">
        <v>0</v>
      </c>
    </row>
    <row r="633" spans="1:15" x14ac:dyDescent="0.3">
      <c r="A633" t="s">
        <v>757</v>
      </c>
      <c r="B633" t="s">
        <v>37</v>
      </c>
      <c r="C633" t="s">
        <v>57</v>
      </c>
      <c r="D633" t="s">
        <v>32</v>
      </c>
      <c r="E633" t="s">
        <v>28</v>
      </c>
      <c r="F633">
        <v>45</v>
      </c>
      <c r="G633" t="s">
        <v>125</v>
      </c>
      <c r="H633" s="17">
        <v>39507</v>
      </c>
      <c r="I633">
        <v>150577</v>
      </c>
      <c r="J633">
        <v>188221</v>
      </c>
      <c r="K633">
        <v>0.25</v>
      </c>
      <c r="L633" t="s">
        <v>29</v>
      </c>
      <c r="M633" t="s">
        <v>49</v>
      </c>
      <c r="N633" s="17"/>
      <c r="O633">
        <v>0</v>
      </c>
    </row>
    <row r="634" spans="1:15" x14ac:dyDescent="0.3">
      <c r="A634" t="s">
        <v>758</v>
      </c>
      <c r="B634" t="s">
        <v>63</v>
      </c>
      <c r="C634" t="s">
        <v>54</v>
      </c>
      <c r="D634" t="s">
        <v>27</v>
      </c>
      <c r="E634" t="s">
        <v>28</v>
      </c>
      <c r="F634">
        <v>37</v>
      </c>
      <c r="G634" t="s">
        <v>135</v>
      </c>
      <c r="H634" s="17">
        <v>43461</v>
      </c>
      <c r="I634">
        <v>87359</v>
      </c>
      <c r="J634">
        <v>96968</v>
      </c>
      <c r="K634">
        <v>0.11</v>
      </c>
      <c r="L634" t="s">
        <v>59</v>
      </c>
      <c r="M634" t="s">
        <v>61</v>
      </c>
      <c r="N634" s="17"/>
      <c r="O634">
        <v>0</v>
      </c>
    </row>
    <row r="635" spans="1:15" x14ac:dyDescent="0.3">
      <c r="A635" t="s">
        <v>759</v>
      </c>
      <c r="B635" t="s">
        <v>66</v>
      </c>
      <c r="C635" t="s">
        <v>45</v>
      </c>
      <c r="D635" t="s">
        <v>39</v>
      </c>
      <c r="E635" t="s">
        <v>28</v>
      </c>
      <c r="F635">
        <v>60</v>
      </c>
      <c r="G635" t="s">
        <v>122</v>
      </c>
      <c r="H635" s="17">
        <v>41647</v>
      </c>
      <c r="I635">
        <v>51877</v>
      </c>
      <c r="J635">
        <v>51877</v>
      </c>
      <c r="K635">
        <v>0</v>
      </c>
      <c r="L635" t="s">
        <v>34</v>
      </c>
      <c r="M635" t="s">
        <v>64</v>
      </c>
      <c r="N635" s="17"/>
      <c r="O635">
        <v>0</v>
      </c>
    </row>
    <row r="636" spans="1:15" x14ac:dyDescent="0.3">
      <c r="A636" t="s">
        <v>760</v>
      </c>
      <c r="B636" t="s">
        <v>84</v>
      </c>
      <c r="C636" t="s">
        <v>26</v>
      </c>
      <c r="D636" t="s">
        <v>32</v>
      </c>
      <c r="E636" t="s">
        <v>33</v>
      </c>
      <c r="F636">
        <v>43</v>
      </c>
      <c r="G636" t="s">
        <v>135</v>
      </c>
      <c r="H636" s="17">
        <v>42753</v>
      </c>
      <c r="I636">
        <v>86417</v>
      </c>
      <c r="J636">
        <v>86417</v>
      </c>
      <c r="K636">
        <v>0</v>
      </c>
      <c r="L636" t="s">
        <v>29</v>
      </c>
      <c r="M636" t="s">
        <v>40</v>
      </c>
      <c r="N636" s="17"/>
      <c r="O636">
        <v>0</v>
      </c>
    </row>
    <row r="637" spans="1:15" x14ac:dyDescent="0.3">
      <c r="A637" t="s">
        <v>761</v>
      </c>
      <c r="B637" t="s">
        <v>82</v>
      </c>
      <c r="C637" t="s">
        <v>26</v>
      </c>
      <c r="D637" t="s">
        <v>27</v>
      </c>
      <c r="E637" t="s">
        <v>28</v>
      </c>
      <c r="F637">
        <v>65</v>
      </c>
      <c r="G637" t="s">
        <v>142</v>
      </c>
      <c r="H637" s="17">
        <v>37749</v>
      </c>
      <c r="I637">
        <v>96548</v>
      </c>
      <c r="J637">
        <v>96548</v>
      </c>
      <c r="K637">
        <v>0</v>
      </c>
      <c r="L637" t="s">
        <v>29</v>
      </c>
      <c r="M637" t="s">
        <v>51</v>
      </c>
      <c r="N637" s="17"/>
      <c r="O637">
        <v>0</v>
      </c>
    </row>
    <row r="638" spans="1:15" x14ac:dyDescent="0.3">
      <c r="A638" t="s">
        <v>762</v>
      </c>
      <c r="B638" t="s">
        <v>42</v>
      </c>
      <c r="C638" t="s">
        <v>50</v>
      </c>
      <c r="D638" t="s">
        <v>32</v>
      </c>
      <c r="E638" t="s">
        <v>28</v>
      </c>
      <c r="F638">
        <v>43</v>
      </c>
      <c r="G638" t="s">
        <v>135</v>
      </c>
      <c r="H638" s="17">
        <v>41662</v>
      </c>
      <c r="I638">
        <v>92940</v>
      </c>
      <c r="J638">
        <v>92940</v>
      </c>
      <c r="K638">
        <v>0</v>
      </c>
      <c r="L638" t="s">
        <v>34</v>
      </c>
      <c r="M638" t="s">
        <v>68</v>
      </c>
      <c r="N638" s="17"/>
      <c r="O638">
        <v>0</v>
      </c>
    </row>
    <row r="639" spans="1:15" x14ac:dyDescent="0.3">
      <c r="A639" t="s">
        <v>763</v>
      </c>
      <c r="B639" t="s">
        <v>66</v>
      </c>
      <c r="C639" t="s">
        <v>50</v>
      </c>
      <c r="D639" t="s">
        <v>39</v>
      </c>
      <c r="E639" t="s">
        <v>33</v>
      </c>
      <c r="F639">
        <v>28</v>
      </c>
      <c r="G639" t="s">
        <v>127</v>
      </c>
      <c r="H639" s="17">
        <v>43336</v>
      </c>
      <c r="I639">
        <v>61410</v>
      </c>
      <c r="J639">
        <v>61410</v>
      </c>
      <c r="K639">
        <v>0</v>
      </c>
      <c r="L639" t="s">
        <v>29</v>
      </c>
      <c r="M639" t="s">
        <v>43</v>
      </c>
      <c r="N639" s="17"/>
      <c r="O639">
        <v>0</v>
      </c>
    </row>
    <row r="640" spans="1:15" x14ac:dyDescent="0.3">
      <c r="A640" t="s">
        <v>764</v>
      </c>
      <c r="B640" t="s">
        <v>47</v>
      </c>
      <c r="C640" t="s">
        <v>38</v>
      </c>
      <c r="D640" t="s">
        <v>39</v>
      </c>
      <c r="E640" t="s">
        <v>28</v>
      </c>
      <c r="F640">
        <v>61</v>
      </c>
      <c r="G640" t="s">
        <v>122</v>
      </c>
      <c r="H640" s="17">
        <v>40293</v>
      </c>
      <c r="I640">
        <v>110302</v>
      </c>
      <c r="J640">
        <v>116920</v>
      </c>
      <c r="K640">
        <v>0.06</v>
      </c>
      <c r="L640" t="s">
        <v>29</v>
      </c>
      <c r="M640" t="s">
        <v>49</v>
      </c>
      <c r="N640" s="17"/>
      <c r="O640">
        <v>0</v>
      </c>
    </row>
    <row r="641" spans="1:15" x14ac:dyDescent="0.3">
      <c r="A641" t="s">
        <v>765</v>
      </c>
      <c r="B641" t="s">
        <v>37</v>
      </c>
      <c r="C641" t="s">
        <v>54</v>
      </c>
      <c r="D641" t="s">
        <v>39</v>
      </c>
      <c r="E641" t="s">
        <v>28</v>
      </c>
      <c r="F641">
        <v>45</v>
      </c>
      <c r="G641" t="s">
        <v>125</v>
      </c>
      <c r="H641" s="17">
        <v>43212</v>
      </c>
      <c r="I641">
        <v>187205</v>
      </c>
      <c r="J641">
        <v>232134</v>
      </c>
      <c r="K641">
        <v>0.24</v>
      </c>
      <c r="L641" t="s">
        <v>29</v>
      </c>
      <c r="M641" t="s">
        <v>58</v>
      </c>
      <c r="N641" s="17">
        <v>44732</v>
      </c>
      <c r="O641">
        <v>1</v>
      </c>
    </row>
    <row r="642" spans="1:15" x14ac:dyDescent="0.3">
      <c r="A642" t="s">
        <v>766</v>
      </c>
      <c r="B642" t="s">
        <v>42</v>
      </c>
      <c r="C642" t="s">
        <v>45</v>
      </c>
      <c r="D642" t="s">
        <v>46</v>
      </c>
      <c r="E642" t="s">
        <v>33</v>
      </c>
      <c r="F642">
        <v>45</v>
      </c>
      <c r="G642" t="s">
        <v>125</v>
      </c>
      <c r="H642" s="17">
        <v>40618</v>
      </c>
      <c r="I642">
        <v>81687</v>
      </c>
      <c r="J642">
        <v>81687</v>
      </c>
      <c r="K642">
        <v>0</v>
      </c>
      <c r="L642" t="s">
        <v>29</v>
      </c>
      <c r="M642" t="s">
        <v>43</v>
      </c>
      <c r="N642" s="17"/>
      <c r="O642">
        <v>0</v>
      </c>
    </row>
    <row r="643" spans="1:15" x14ac:dyDescent="0.3">
      <c r="A643" t="s">
        <v>767</v>
      </c>
      <c r="B643" t="s">
        <v>56</v>
      </c>
      <c r="C643" t="s">
        <v>26</v>
      </c>
      <c r="D643" t="s">
        <v>39</v>
      </c>
      <c r="E643" t="s">
        <v>33</v>
      </c>
      <c r="F643">
        <v>54</v>
      </c>
      <c r="G643" t="s">
        <v>125</v>
      </c>
      <c r="H643" s="17">
        <v>40040</v>
      </c>
      <c r="I643">
        <v>241083</v>
      </c>
      <c r="J643">
        <v>335105</v>
      </c>
      <c r="K643">
        <v>0.39</v>
      </c>
      <c r="L643" t="s">
        <v>29</v>
      </c>
      <c r="M643" t="s">
        <v>58</v>
      </c>
      <c r="N643" s="17"/>
      <c r="O643">
        <v>0</v>
      </c>
    </row>
    <row r="644" spans="1:15" x14ac:dyDescent="0.3">
      <c r="A644" t="s">
        <v>768</v>
      </c>
      <c r="B644" t="s">
        <v>56</v>
      </c>
      <c r="C644" t="s">
        <v>38</v>
      </c>
      <c r="D644" t="s">
        <v>39</v>
      </c>
      <c r="E644" t="s">
        <v>28</v>
      </c>
      <c r="F644">
        <v>38</v>
      </c>
      <c r="G644" t="s">
        <v>135</v>
      </c>
      <c r="H644" s="17">
        <v>43413</v>
      </c>
      <c r="I644">
        <v>223805</v>
      </c>
      <c r="J644">
        <v>304375</v>
      </c>
      <c r="K644">
        <v>0.36</v>
      </c>
      <c r="L644" t="s">
        <v>29</v>
      </c>
      <c r="M644" t="s">
        <v>40</v>
      </c>
      <c r="N644" s="17"/>
      <c r="O644">
        <v>0</v>
      </c>
    </row>
    <row r="645" spans="1:15" x14ac:dyDescent="0.3">
      <c r="A645" t="s">
        <v>769</v>
      </c>
      <c r="B645" t="s">
        <v>37</v>
      </c>
      <c r="C645" t="s">
        <v>50</v>
      </c>
      <c r="D645" t="s">
        <v>46</v>
      </c>
      <c r="E645" t="s">
        <v>28</v>
      </c>
      <c r="F645">
        <v>27</v>
      </c>
      <c r="G645" t="s">
        <v>127</v>
      </c>
      <c r="H645" s="17">
        <v>44393</v>
      </c>
      <c r="I645">
        <v>161759</v>
      </c>
      <c r="J645">
        <v>187640</v>
      </c>
      <c r="K645">
        <v>0.16</v>
      </c>
      <c r="L645" t="s">
        <v>29</v>
      </c>
      <c r="M645" t="s">
        <v>49</v>
      </c>
      <c r="N645" s="17"/>
      <c r="O645">
        <v>0</v>
      </c>
    </row>
    <row r="646" spans="1:15" x14ac:dyDescent="0.3">
      <c r="A646" t="s">
        <v>770</v>
      </c>
      <c r="B646" t="s">
        <v>41</v>
      </c>
      <c r="C646" t="s">
        <v>26</v>
      </c>
      <c r="D646" t="s">
        <v>27</v>
      </c>
      <c r="E646" t="s">
        <v>33</v>
      </c>
      <c r="F646">
        <v>40</v>
      </c>
      <c r="G646" t="s">
        <v>135</v>
      </c>
      <c r="H646" s="17">
        <v>43520</v>
      </c>
      <c r="I646">
        <v>95899</v>
      </c>
      <c r="J646">
        <v>105489</v>
      </c>
      <c r="K646">
        <v>0.1</v>
      </c>
      <c r="L646" t="s">
        <v>29</v>
      </c>
      <c r="M646" t="s">
        <v>58</v>
      </c>
      <c r="N646" s="17">
        <v>44263</v>
      </c>
      <c r="O646">
        <v>1</v>
      </c>
    </row>
    <row r="647" spans="1:15" x14ac:dyDescent="0.3">
      <c r="A647" t="s">
        <v>771</v>
      </c>
      <c r="B647" t="s">
        <v>42</v>
      </c>
      <c r="C647" t="s">
        <v>38</v>
      </c>
      <c r="D647" t="s">
        <v>46</v>
      </c>
      <c r="E647" t="s">
        <v>33</v>
      </c>
      <c r="F647">
        <v>49</v>
      </c>
      <c r="G647" t="s">
        <v>125</v>
      </c>
      <c r="H647" s="17">
        <v>43623</v>
      </c>
      <c r="I647">
        <v>80700</v>
      </c>
      <c r="J647">
        <v>80700</v>
      </c>
      <c r="K647">
        <v>0</v>
      </c>
      <c r="L647" t="s">
        <v>29</v>
      </c>
      <c r="M647" t="s">
        <v>58</v>
      </c>
      <c r="N647" s="17"/>
      <c r="O647">
        <v>0</v>
      </c>
    </row>
    <row r="648" spans="1:15" x14ac:dyDescent="0.3">
      <c r="A648" t="s">
        <v>772</v>
      </c>
      <c r="B648" t="s">
        <v>47</v>
      </c>
      <c r="C648" t="s">
        <v>52</v>
      </c>
      <c r="D648" t="s">
        <v>39</v>
      </c>
      <c r="E648" t="s">
        <v>33</v>
      </c>
      <c r="F648">
        <v>54</v>
      </c>
      <c r="G648" t="s">
        <v>125</v>
      </c>
      <c r="H648" s="17">
        <v>35500</v>
      </c>
      <c r="I648">
        <v>128136</v>
      </c>
      <c r="J648">
        <v>134543</v>
      </c>
      <c r="K648">
        <v>0.05</v>
      </c>
      <c r="L648" t="s">
        <v>34</v>
      </c>
      <c r="M648" t="s">
        <v>64</v>
      </c>
      <c r="N648" s="17"/>
      <c r="O648">
        <v>0</v>
      </c>
    </row>
    <row r="649" spans="1:15" x14ac:dyDescent="0.3">
      <c r="A649" t="s">
        <v>773</v>
      </c>
      <c r="B649" t="s">
        <v>66</v>
      </c>
      <c r="C649" t="s">
        <v>57</v>
      </c>
      <c r="D649" t="s">
        <v>46</v>
      </c>
      <c r="E649" t="s">
        <v>28</v>
      </c>
      <c r="F649">
        <v>39</v>
      </c>
      <c r="G649" t="s">
        <v>135</v>
      </c>
      <c r="H649" s="17">
        <v>42843</v>
      </c>
      <c r="I649">
        <v>58745</v>
      </c>
      <c r="J649">
        <v>58745</v>
      </c>
      <c r="K649">
        <v>0</v>
      </c>
      <c r="L649" t="s">
        <v>29</v>
      </c>
      <c r="M649" t="s">
        <v>51</v>
      </c>
      <c r="N649" s="17"/>
      <c r="O649">
        <v>0</v>
      </c>
    </row>
    <row r="650" spans="1:15" x14ac:dyDescent="0.3">
      <c r="A650" t="s">
        <v>774</v>
      </c>
      <c r="B650" t="s">
        <v>31</v>
      </c>
      <c r="C650" t="s">
        <v>26</v>
      </c>
      <c r="D650" t="s">
        <v>46</v>
      </c>
      <c r="E650" t="s">
        <v>28</v>
      </c>
      <c r="F650">
        <v>57</v>
      </c>
      <c r="G650" t="s">
        <v>122</v>
      </c>
      <c r="H650" s="17">
        <v>33728</v>
      </c>
      <c r="I650">
        <v>76202</v>
      </c>
      <c r="J650">
        <v>76202</v>
      </c>
      <c r="K650">
        <v>0</v>
      </c>
      <c r="L650" t="s">
        <v>29</v>
      </c>
      <c r="M650" t="s">
        <v>51</v>
      </c>
      <c r="N650" s="17">
        <v>34686</v>
      </c>
      <c r="O650">
        <v>1</v>
      </c>
    </row>
    <row r="651" spans="1:15" x14ac:dyDescent="0.3">
      <c r="A651" t="s">
        <v>775</v>
      </c>
      <c r="B651" t="s">
        <v>56</v>
      </c>
      <c r="C651" t="s">
        <v>45</v>
      </c>
      <c r="D651" t="s">
        <v>39</v>
      </c>
      <c r="E651" t="s">
        <v>33</v>
      </c>
      <c r="F651">
        <v>36</v>
      </c>
      <c r="G651" t="s">
        <v>135</v>
      </c>
      <c r="H651" s="17">
        <v>43178</v>
      </c>
      <c r="I651">
        <v>195200</v>
      </c>
      <c r="J651">
        <v>265472</v>
      </c>
      <c r="K651">
        <v>0.36</v>
      </c>
      <c r="L651" t="s">
        <v>29</v>
      </c>
      <c r="M651" t="s">
        <v>51</v>
      </c>
      <c r="N651" s="17"/>
      <c r="O651">
        <v>0</v>
      </c>
    </row>
    <row r="652" spans="1:15" x14ac:dyDescent="0.3">
      <c r="A652" t="s">
        <v>776</v>
      </c>
      <c r="B652" t="s">
        <v>66</v>
      </c>
      <c r="C652" t="s">
        <v>38</v>
      </c>
      <c r="D652" t="s">
        <v>32</v>
      </c>
      <c r="E652" t="s">
        <v>28</v>
      </c>
      <c r="F652">
        <v>45</v>
      </c>
      <c r="G652" t="s">
        <v>125</v>
      </c>
      <c r="H652" s="17">
        <v>42711</v>
      </c>
      <c r="I652">
        <v>71454</v>
      </c>
      <c r="J652">
        <v>71454</v>
      </c>
      <c r="K652">
        <v>0</v>
      </c>
      <c r="L652" t="s">
        <v>34</v>
      </c>
      <c r="M652" t="s">
        <v>55</v>
      </c>
      <c r="N652" s="17"/>
      <c r="O652">
        <v>0</v>
      </c>
    </row>
    <row r="653" spans="1:15" x14ac:dyDescent="0.3">
      <c r="A653" t="s">
        <v>777</v>
      </c>
      <c r="B653" t="s">
        <v>75</v>
      </c>
      <c r="C653" t="s">
        <v>26</v>
      </c>
      <c r="D653" t="s">
        <v>32</v>
      </c>
      <c r="E653" t="s">
        <v>28</v>
      </c>
      <c r="F653">
        <v>30</v>
      </c>
      <c r="G653" t="s">
        <v>127</v>
      </c>
      <c r="H653" s="17">
        <v>43864</v>
      </c>
      <c r="I653">
        <v>94652</v>
      </c>
      <c r="J653">
        <v>94652</v>
      </c>
      <c r="K653">
        <v>0</v>
      </c>
      <c r="L653" t="s">
        <v>29</v>
      </c>
      <c r="M653" t="s">
        <v>30</v>
      </c>
      <c r="N653" s="17"/>
      <c r="O653">
        <v>0</v>
      </c>
    </row>
    <row r="654" spans="1:15" x14ac:dyDescent="0.3">
      <c r="A654" t="s">
        <v>778</v>
      </c>
      <c r="B654" t="s">
        <v>31</v>
      </c>
      <c r="C654" t="s">
        <v>26</v>
      </c>
      <c r="D654" t="s">
        <v>32</v>
      </c>
      <c r="E654" t="s">
        <v>33</v>
      </c>
      <c r="F654">
        <v>34</v>
      </c>
      <c r="G654" t="s">
        <v>127</v>
      </c>
      <c r="H654" s="17">
        <v>42416</v>
      </c>
      <c r="I654">
        <v>63411</v>
      </c>
      <c r="J654">
        <v>63411</v>
      </c>
      <c r="K654">
        <v>0</v>
      </c>
      <c r="L654" t="s">
        <v>29</v>
      </c>
      <c r="M654" t="s">
        <v>49</v>
      </c>
      <c r="N654" s="17"/>
      <c r="O654">
        <v>0</v>
      </c>
    </row>
    <row r="655" spans="1:15" x14ac:dyDescent="0.3">
      <c r="A655" t="s">
        <v>779</v>
      </c>
      <c r="B655" t="s">
        <v>66</v>
      </c>
      <c r="C655" t="s">
        <v>45</v>
      </c>
      <c r="D655" t="s">
        <v>39</v>
      </c>
      <c r="E655" t="s">
        <v>33</v>
      </c>
      <c r="F655">
        <v>31</v>
      </c>
      <c r="G655" t="s">
        <v>127</v>
      </c>
      <c r="H655" s="17">
        <v>43878</v>
      </c>
      <c r="I655">
        <v>67171</v>
      </c>
      <c r="J655">
        <v>67171</v>
      </c>
      <c r="K655">
        <v>0</v>
      </c>
      <c r="L655" t="s">
        <v>34</v>
      </c>
      <c r="M655" t="s">
        <v>35</v>
      </c>
      <c r="N655" s="17">
        <v>44317</v>
      </c>
      <c r="O655">
        <v>1</v>
      </c>
    </row>
    <row r="656" spans="1:15" x14ac:dyDescent="0.3">
      <c r="A656" t="s">
        <v>780</v>
      </c>
      <c r="B656" t="s">
        <v>25</v>
      </c>
      <c r="C656" t="s">
        <v>50</v>
      </c>
      <c r="D656" t="s">
        <v>39</v>
      </c>
      <c r="E656" t="s">
        <v>28</v>
      </c>
      <c r="F656">
        <v>28</v>
      </c>
      <c r="G656" t="s">
        <v>127</v>
      </c>
      <c r="H656" s="17">
        <v>43652</v>
      </c>
      <c r="I656">
        <v>152036</v>
      </c>
      <c r="J656">
        <v>174841</v>
      </c>
      <c r="K656">
        <v>0.15</v>
      </c>
      <c r="L656" t="s">
        <v>59</v>
      </c>
      <c r="M656" t="s">
        <v>61</v>
      </c>
      <c r="N656" s="17"/>
      <c r="O656">
        <v>0</v>
      </c>
    </row>
    <row r="657" spans="1:15" x14ac:dyDescent="0.3">
      <c r="A657" t="s">
        <v>781</v>
      </c>
      <c r="B657" t="s">
        <v>53</v>
      </c>
      <c r="C657" t="s">
        <v>54</v>
      </c>
      <c r="D657" t="s">
        <v>32</v>
      </c>
      <c r="E657" t="s">
        <v>28</v>
      </c>
      <c r="F657">
        <v>55</v>
      </c>
      <c r="G657" t="s">
        <v>122</v>
      </c>
      <c r="H657" s="17">
        <v>44276</v>
      </c>
      <c r="I657">
        <v>95562</v>
      </c>
      <c r="J657">
        <v>95562</v>
      </c>
      <c r="K657">
        <v>0</v>
      </c>
      <c r="L657" t="s">
        <v>29</v>
      </c>
      <c r="M657" t="s">
        <v>40</v>
      </c>
      <c r="N657" s="17"/>
      <c r="O657">
        <v>0</v>
      </c>
    </row>
    <row r="658" spans="1:15" x14ac:dyDescent="0.3">
      <c r="A658" t="s">
        <v>782</v>
      </c>
      <c r="B658" t="s">
        <v>42</v>
      </c>
      <c r="C658" t="s">
        <v>45</v>
      </c>
      <c r="D658" t="s">
        <v>27</v>
      </c>
      <c r="E658" t="s">
        <v>33</v>
      </c>
      <c r="F658">
        <v>30</v>
      </c>
      <c r="G658" t="s">
        <v>127</v>
      </c>
      <c r="H658" s="17">
        <v>43773</v>
      </c>
      <c r="I658">
        <v>96092</v>
      </c>
      <c r="J658">
        <v>96092</v>
      </c>
      <c r="K658">
        <v>0</v>
      </c>
      <c r="L658" t="s">
        <v>29</v>
      </c>
      <c r="M658" t="s">
        <v>51</v>
      </c>
      <c r="N658" s="17"/>
      <c r="O658">
        <v>0</v>
      </c>
    </row>
    <row r="659" spans="1:15" x14ac:dyDescent="0.3">
      <c r="A659" t="s">
        <v>783</v>
      </c>
      <c r="B659" t="s">
        <v>56</v>
      </c>
      <c r="C659" t="s">
        <v>54</v>
      </c>
      <c r="D659" t="s">
        <v>32</v>
      </c>
      <c r="E659" t="s">
        <v>33</v>
      </c>
      <c r="F659">
        <v>63</v>
      </c>
      <c r="G659" t="s">
        <v>122</v>
      </c>
      <c r="H659" s="17">
        <v>41428</v>
      </c>
      <c r="I659">
        <v>254289</v>
      </c>
      <c r="J659">
        <v>353462</v>
      </c>
      <c r="K659">
        <v>0.39</v>
      </c>
      <c r="L659" t="s">
        <v>29</v>
      </c>
      <c r="M659" t="s">
        <v>40</v>
      </c>
      <c r="N659" s="17"/>
      <c r="O659">
        <v>0</v>
      </c>
    </row>
    <row r="660" spans="1:15" x14ac:dyDescent="0.3">
      <c r="A660" t="s">
        <v>784</v>
      </c>
      <c r="B660" t="s">
        <v>41</v>
      </c>
      <c r="C660" t="s">
        <v>26</v>
      </c>
      <c r="D660" t="s">
        <v>27</v>
      </c>
      <c r="E660" t="s">
        <v>33</v>
      </c>
      <c r="F660">
        <v>26</v>
      </c>
      <c r="G660" t="s">
        <v>127</v>
      </c>
      <c r="H660" s="17">
        <v>43656</v>
      </c>
      <c r="I660">
        <v>69110</v>
      </c>
      <c r="J660">
        <v>72566</v>
      </c>
      <c r="K660">
        <v>0.05</v>
      </c>
      <c r="L660" t="s">
        <v>29</v>
      </c>
      <c r="M660" t="s">
        <v>40</v>
      </c>
      <c r="N660" s="17"/>
      <c r="O660">
        <v>0</v>
      </c>
    </row>
    <row r="661" spans="1:15" x14ac:dyDescent="0.3">
      <c r="A661" t="s">
        <v>785</v>
      </c>
      <c r="B661" t="s">
        <v>56</v>
      </c>
      <c r="C661" t="s">
        <v>57</v>
      </c>
      <c r="D661" t="s">
        <v>39</v>
      </c>
      <c r="E661" t="s">
        <v>33</v>
      </c>
      <c r="F661">
        <v>52</v>
      </c>
      <c r="G661" t="s">
        <v>125</v>
      </c>
      <c r="H661" s="17">
        <v>37418</v>
      </c>
      <c r="I661">
        <v>236314</v>
      </c>
      <c r="J661">
        <v>316661</v>
      </c>
      <c r="K661">
        <v>0.34</v>
      </c>
      <c r="L661" t="s">
        <v>29</v>
      </c>
      <c r="M661" t="s">
        <v>49</v>
      </c>
      <c r="N661" s="17"/>
      <c r="O661">
        <v>0</v>
      </c>
    </row>
    <row r="662" spans="1:15" x14ac:dyDescent="0.3">
      <c r="A662" t="s">
        <v>786</v>
      </c>
      <c r="B662" t="s">
        <v>48</v>
      </c>
      <c r="C662" t="s">
        <v>57</v>
      </c>
      <c r="D662" t="s">
        <v>46</v>
      </c>
      <c r="E662" t="s">
        <v>33</v>
      </c>
      <c r="F662">
        <v>51</v>
      </c>
      <c r="G662" t="s">
        <v>125</v>
      </c>
      <c r="H662" s="17">
        <v>39252</v>
      </c>
      <c r="I662">
        <v>45206</v>
      </c>
      <c r="J662">
        <v>45206</v>
      </c>
      <c r="K662">
        <v>0</v>
      </c>
      <c r="L662" t="s">
        <v>29</v>
      </c>
      <c r="M662" t="s">
        <v>58</v>
      </c>
      <c r="N662" s="17"/>
      <c r="O662">
        <v>0</v>
      </c>
    </row>
    <row r="663" spans="1:15" x14ac:dyDescent="0.3">
      <c r="A663" t="s">
        <v>787</v>
      </c>
      <c r="B663" t="s">
        <v>56</v>
      </c>
      <c r="C663" t="s">
        <v>38</v>
      </c>
      <c r="D663" t="s">
        <v>27</v>
      </c>
      <c r="E663" t="s">
        <v>28</v>
      </c>
      <c r="F663">
        <v>25</v>
      </c>
      <c r="G663" t="s">
        <v>127</v>
      </c>
      <c r="H663" s="17">
        <v>44515</v>
      </c>
      <c r="I663">
        <v>210708</v>
      </c>
      <c r="J663">
        <v>280242</v>
      </c>
      <c r="K663">
        <v>0.33</v>
      </c>
      <c r="L663" t="s">
        <v>29</v>
      </c>
      <c r="M663" t="s">
        <v>40</v>
      </c>
      <c r="N663" s="17"/>
      <c r="O663">
        <v>0</v>
      </c>
    </row>
    <row r="664" spans="1:15" x14ac:dyDescent="0.3">
      <c r="A664" t="s">
        <v>788</v>
      </c>
      <c r="B664" t="s">
        <v>82</v>
      </c>
      <c r="C664" t="s">
        <v>26</v>
      </c>
      <c r="D664" t="s">
        <v>46</v>
      </c>
      <c r="E664" t="s">
        <v>33</v>
      </c>
      <c r="F664">
        <v>40</v>
      </c>
      <c r="G664" t="s">
        <v>135</v>
      </c>
      <c r="H664" s="17">
        <v>44465</v>
      </c>
      <c r="I664">
        <v>87770</v>
      </c>
      <c r="J664">
        <v>87770</v>
      </c>
      <c r="K664">
        <v>0</v>
      </c>
      <c r="L664" t="s">
        <v>29</v>
      </c>
      <c r="M664" t="s">
        <v>51</v>
      </c>
      <c r="N664" s="17"/>
      <c r="O664">
        <v>0</v>
      </c>
    </row>
    <row r="665" spans="1:15" x14ac:dyDescent="0.3">
      <c r="A665" t="s">
        <v>789</v>
      </c>
      <c r="B665" t="s">
        <v>47</v>
      </c>
      <c r="C665" t="s">
        <v>50</v>
      </c>
      <c r="D665" t="s">
        <v>46</v>
      </c>
      <c r="E665" t="s">
        <v>28</v>
      </c>
      <c r="F665">
        <v>38</v>
      </c>
      <c r="G665" t="s">
        <v>135</v>
      </c>
      <c r="H665" s="17">
        <v>42228</v>
      </c>
      <c r="I665">
        <v>106858</v>
      </c>
      <c r="J665">
        <v>112201</v>
      </c>
      <c r="K665">
        <v>0.05</v>
      </c>
      <c r="L665" t="s">
        <v>29</v>
      </c>
      <c r="M665" t="s">
        <v>30</v>
      </c>
      <c r="N665" s="17"/>
      <c r="O665">
        <v>0</v>
      </c>
    </row>
    <row r="666" spans="1:15" x14ac:dyDescent="0.3">
      <c r="A666" t="s">
        <v>790</v>
      </c>
      <c r="B666" t="s">
        <v>37</v>
      </c>
      <c r="C666" t="s">
        <v>52</v>
      </c>
      <c r="D666" t="s">
        <v>46</v>
      </c>
      <c r="E666" t="s">
        <v>33</v>
      </c>
      <c r="F666">
        <v>60</v>
      </c>
      <c r="G666" t="s">
        <v>122</v>
      </c>
      <c r="H666" s="17">
        <v>42108</v>
      </c>
      <c r="I666">
        <v>155788</v>
      </c>
      <c r="J666">
        <v>182272</v>
      </c>
      <c r="K666">
        <v>0.17</v>
      </c>
      <c r="L666" t="s">
        <v>29</v>
      </c>
      <c r="M666" t="s">
        <v>30</v>
      </c>
      <c r="N666" s="17"/>
      <c r="O666">
        <v>0</v>
      </c>
    </row>
    <row r="667" spans="1:15" x14ac:dyDescent="0.3">
      <c r="A667" t="s">
        <v>791</v>
      </c>
      <c r="B667" t="s">
        <v>69</v>
      </c>
      <c r="C667" t="s">
        <v>52</v>
      </c>
      <c r="D667" t="s">
        <v>39</v>
      </c>
      <c r="E667" t="s">
        <v>28</v>
      </c>
      <c r="F667">
        <v>45</v>
      </c>
      <c r="G667" t="s">
        <v>125</v>
      </c>
      <c r="H667" s="17">
        <v>43581</v>
      </c>
      <c r="I667">
        <v>74891</v>
      </c>
      <c r="J667">
        <v>74891</v>
      </c>
      <c r="K667">
        <v>0</v>
      </c>
      <c r="L667" t="s">
        <v>59</v>
      </c>
      <c r="M667" t="s">
        <v>61</v>
      </c>
      <c r="N667" s="17"/>
      <c r="O667">
        <v>0</v>
      </c>
    </row>
    <row r="668" spans="1:15" x14ac:dyDescent="0.3">
      <c r="A668" t="s">
        <v>792</v>
      </c>
      <c r="B668" t="s">
        <v>53</v>
      </c>
      <c r="C668" t="s">
        <v>54</v>
      </c>
      <c r="D668" t="s">
        <v>46</v>
      </c>
      <c r="E668" t="s">
        <v>33</v>
      </c>
      <c r="F668">
        <v>28</v>
      </c>
      <c r="G668" t="s">
        <v>127</v>
      </c>
      <c r="H668" s="17">
        <v>44548</v>
      </c>
      <c r="I668">
        <v>95670</v>
      </c>
      <c r="J668">
        <v>95670</v>
      </c>
      <c r="K668">
        <v>0</v>
      </c>
      <c r="L668" t="s">
        <v>29</v>
      </c>
      <c r="M668" t="s">
        <v>43</v>
      </c>
      <c r="N668" s="17"/>
      <c r="O668">
        <v>0</v>
      </c>
    </row>
    <row r="669" spans="1:15" x14ac:dyDescent="0.3">
      <c r="A669" t="s">
        <v>793</v>
      </c>
      <c r="B669" t="s">
        <v>44</v>
      </c>
      <c r="C669" t="s">
        <v>45</v>
      </c>
      <c r="D669" t="s">
        <v>27</v>
      </c>
      <c r="E669" t="s">
        <v>28</v>
      </c>
      <c r="F669">
        <v>65</v>
      </c>
      <c r="G669" t="s">
        <v>142</v>
      </c>
      <c r="H669" s="17">
        <v>36798</v>
      </c>
      <c r="I669">
        <v>67837</v>
      </c>
      <c r="J669">
        <v>67837</v>
      </c>
      <c r="K669">
        <v>0</v>
      </c>
      <c r="L669" t="s">
        <v>29</v>
      </c>
      <c r="M669" t="s">
        <v>51</v>
      </c>
      <c r="N669" s="17"/>
      <c r="O669">
        <v>0</v>
      </c>
    </row>
    <row r="670" spans="1:15" x14ac:dyDescent="0.3">
      <c r="A670" t="s">
        <v>794</v>
      </c>
      <c r="B670" t="s">
        <v>66</v>
      </c>
      <c r="C670" t="s">
        <v>45</v>
      </c>
      <c r="D670" t="s">
        <v>27</v>
      </c>
      <c r="E670" t="s">
        <v>33</v>
      </c>
      <c r="F670">
        <v>41</v>
      </c>
      <c r="G670" t="s">
        <v>135</v>
      </c>
      <c r="H670" s="17">
        <v>40333</v>
      </c>
      <c r="I670">
        <v>72425</v>
      </c>
      <c r="J670">
        <v>72425</v>
      </c>
      <c r="K670">
        <v>0</v>
      </c>
      <c r="L670" t="s">
        <v>34</v>
      </c>
      <c r="M670" t="s">
        <v>64</v>
      </c>
      <c r="N670" s="17"/>
      <c r="O670">
        <v>0</v>
      </c>
    </row>
    <row r="671" spans="1:15" x14ac:dyDescent="0.3">
      <c r="A671" t="s">
        <v>795</v>
      </c>
      <c r="B671" t="s">
        <v>42</v>
      </c>
      <c r="C671" t="s">
        <v>45</v>
      </c>
      <c r="D671" t="s">
        <v>46</v>
      </c>
      <c r="E671" t="s">
        <v>28</v>
      </c>
      <c r="F671">
        <v>52</v>
      </c>
      <c r="G671" t="s">
        <v>125</v>
      </c>
      <c r="H671" s="17">
        <v>34623</v>
      </c>
      <c r="I671">
        <v>93103</v>
      </c>
      <c r="J671">
        <v>93103</v>
      </c>
      <c r="K671">
        <v>0</v>
      </c>
      <c r="L671" t="s">
        <v>29</v>
      </c>
      <c r="M671" t="s">
        <v>43</v>
      </c>
      <c r="N671" s="17"/>
      <c r="O671">
        <v>0</v>
      </c>
    </row>
    <row r="672" spans="1:15" x14ac:dyDescent="0.3">
      <c r="A672" t="s">
        <v>796</v>
      </c>
      <c r="B672" t="s">
        <v>53</v>
      </c>
      <c r="C672" t="s">
        <v>54</v>
      </c>
      <c r="D672" t="s">
        <v>46</v>
      </c>
      <c r="E672" t="s">
        <v>28</v>
      </c>
      <c r="F672">
        <v>56</v>
      </c>
      <c r="G672" t="s">
        <v>122</v>
      </c>
      <c r="H672" s="17">
        <v>42291</v>
      </c>
      <c r="I672">
        <v>76272</v>
      </c>
      <c r="J672">
        <v>76272</v>
      </c>
      <c r="K672">
        <v>0</v>
      </c>
      <c r="L672" t="s">
        <v>29</v>
      </c>
      <c r="M672" t="s">
        <v>49</v>
      </c>
      <c r="N672" s="17">
        <v>44491</v>
      </c>
      <c r="O672">
        <v>1</v>
      </c>
    </row>
    <row r="673" spans="1:15" x14ac:dyDescent="0.3">
      <c r="A673" t="s">
        <v>797</v>
      </c>
      <c r="B673" t="s">
        <v>66</v>
      </c>
      <c r="C673" t="s">
        <v>38</v>
      </c>
      <c r="D673" t="s">
        <v>32</v>
      </c>
      <c r="E673" t="s">
        <v>28</v>
      </c>
      <c r="F673">
        <v>48</v>
      </c>
      <c r="G673" t="s">
        <v>125</v>
      </c>
      <c r="H673" s="17">
        <v>37796</v>
      </c>
      <c r="I673">
        <v>55760</v>
      </c>
      <c r="J673">
        <v>55760</v>
      </c>
      <c r="K673">
        <v>0</v>
      </c>
      <c r="L673" t="s">
        <v>29</v>
      </c>
      <c r="M673" t="s">
        <v>51</v>
      </c>
      <c r="N673" s="17"/>
      <c r="O673">
        <v>0</v>
      </c>
    </row>
    <row r="674" spans="1:15" x14ac:dyDescent="0.3">
      <c r="A674" t="s">
        <v>798</v>
      </c>
      <c r="B674" t="s">
        <v>56</v>
      </c>
      <c r="C674" t="s">
        <v>50</v>
      </c>
      <c r="D674" t="s">
        <v>46</v>
      </c>
      <c r="E674" t="s">
        <v>28</v>
      </c>
      <c r="F674">
        <v>36</v>
      </c>
      <c r="G674" t="s">
        <v>135</v>
      </c>
      <c r="H674" s="17">
        <v>43843</v>
      </c>
      <c r="I674">
        <v>253294</v>
      </c>
      <c r="J674">
        <v>354612</v>
      </c>
      <c r="K674">
        <v>0.4</v>
      </c>
      <c r="L674" t="s">
        <v>29</v>
      </c>
      <c r="M674" t="s">
        <v>49</v>
      </c>
      <c r="N674" s="17"/>
      <c r="O674">
        <v>0</v>
      </c>
    </row>
    <row r="675" spans="1:15" x14ac:dyDescent="0.3">
      <c r="A675" t="s">
        <v>799</v>
      </c>
      <c r="B675" t="s">
        <v>66</v>
      </c>
      <c r="C675" t="s">
        <v>38</v>
      </c>
      <c r="D675" t="s">
        <v>46</v>
      </c>
      <c r="E675" t="s">
        <v>33</v>
      </c>
      <c r="F675">
        <v>60</v>
      </c>
      <c r="G675" t="s">
        <v>122</v>
      </c>
      <c r="H675" s="17">
        <v>39310</v>
      </c>
      <c r="I675">
        <v>58671</v>
      </c>
      <c r="J675">
        <v>58671</v>
      </c>
      <c r="K675">
        <v>0</v>
      </c>
      <c r="L675" t="s">
        <v>29</v>
      </c>
      <c r="M675" t="s">
        <v>58</v>
      </c>
      <c r="N675" s="17"/>
      <c r="O675">
        <v>0</v>
      </c>
    </row>
    <row r="676" spans="1:15" x14ac:dyDescent="0.3">
      <c r="A676" t="s">
        <v>800</v>
      </c>
      <c r="B676" t="s">
        <v>44</v>
      </c>
      <c r="C676" t="s">
        <v>45</v>
      </c>
      <c r="D676" t="s">
        <v>27</v>
      </c>
      <c r="E676" t="s">
        <v>28</v>
      </c>
      <c r="F676">
        <v>40</v>
      </c>
      <c r="G676" t="s">
        <v>135</v>
      </c>
      <c r="H676" s="17">
        <v>43175</v>
      </c>
      <c r="I676">
        <v>55457</v>
      </c>
      <c r="J676">
        <v>55457</v>
      </c>
      <c r="K676">
        <v>0</v>
      </c>
      <c r="L676" t="s">
        <v>29</v>
      </c>
      <c r="M676" t="s">
        <v>58</v>
      </c>
      <c r="N676" s="17"/>
      <c r="O676">
        <v>0</v>
      </c>
    </row>
    <row r="677" spans="1:15" x14ac:dyDescent="0.3">
      <c r="A677" t="s">
        <v>801</v>
      </c>
      <c r="B677" t="s">
        <v>44</v>
      </c>
      <c r="C677" t="s">
        <v>45</v>
      </c>
      <c r="D677" t="s">
        <v>32</v>
      </c>
      <c r="E677" t="s">
        <v>28</v>
      </c>
      <c r="F677">
        <v>63</v>
      </c>
      <c r="G677" t="s">
        <v>122</v>
      </c>
      <c r="H677" s="17">
        <v>43004</v>
      </c>
      <c r="I677">
        <v>72340</v>
      </c>
      <c r="J677">
        <v>72340</v>
      </c>
      <c r="K677">
        <v>0</v>
      </c>
      <c r="L677" t="s">
        <v>29</v>
      </c>
      <c r="M677" t="s">
        <v>43</v>
      </c>
      <c r="N677" s="17">
        <v>43558</v>
      </c>
      <c r="O677">
        <v>1</v>
      </c>
    </row>
    <row r="678" spans="1:15" x14ac:dyDescent="0.3">
      <c r="A678" t="s">
        <v>802</v>
      </c>
      <c r="B678" t="s">
        <v>47</v>
      </c>
      <c r="C678" t="s">
        <v>57</v>
      </c>
      <c r="D678" t="s">
        <v>46</v>
      </c>
      <c r="E678" t="s">
        <v>28</v>
      </c>
      <c r="F678">
        <v>29</v>
      </c>
      <c r="G678" t="s">
        <v>127</v>
      </c>
      <c r="H678" s="17">
        <v>42676</v>
      </c>
      <c r="I678">
        <v>122054</v>
      </c>
      <c r="J678">
        <v>129377</v>
      </c>
      <c r="K678">
        <v>0.06</v>
      </c>
      <c r="L678" t="s">
        <v>29</v>
      </c>
      <c r="M678" t="s">
        <v>43</v>
      </c>
      <c r="N678" s="17"/>
      <c r="O678">
        <v>0</v>
      </c>
    </row>
    <row r="679" spans="1:15" x14ac:dyDescent="0.3">
      <c r="A679" t="s">
        <v>803</v>
      </c>
      <c r="B679" t="s">
        <v>37</v>
      </c>
      <c r="C679" t="s">
        <v>26</v>
      </c>
      <c r="D679" t="s">
        <v>32</v>
      </c>
      <c r="E679" t="s">
        <v>28</v>
      </c>
      <c r="F679">
        <v>27</v>
      </c>
      <c r="G679" t="s">
        <v>127</v>
      </c>
      <c r="H679" s="17">
        <v>43103</v>
      </c>
      <c r="I679">
        <v>167100</v>
      </c>
      <c r="J679">
        <v>200520</v>
      </c>
      <c r="K679">
        <v>0.2</v>
      </c>
      <c r="L679" t="s">
        <v>34</v>
      </c>
      <c r="M679" t="s">
        <v>68</v>
      </c>
      <c r="N679" s="17"/>
      <c r="O679">
        <v>0</v>
      </c>
    </row>
    <row r="680" spans="1:15" x14ac:dyDescent="0.3">
      <c r="A680" t="s">
        <v>804</v>
      </c>
      <c r="B680" t="s">
        <v>31</v>
      </c>
      <c r="C680" t="s">
        <v>26</v>
      </c>
      <c r="D680" t="s">
        <v>46</v>
      </c>
      <c r="E680" t="s">
        <v>28</v>
      </c>
      <c r="F680">
        <v>53</v>
      </c>
      <c r="G680" t="s">
        <v>125</v>
      </c>
      <c r="H680" s="17">
        <v>35543</v>
      </c>
      <c r="I680">
        <v>78153</v>
      </c>
      <c r="J680">
        <v>78153</v>
      </c>
      <c r="K680">
        <v>0</v>
      </c>
      <c r="L680" t="s">
        <v>29</v>
      </c>
      <c r="M680" t="s">
        <v>49</v>
      </c>
      <c r="N680" s="17"/>
      <c r="O680">
        <v>0</v>
      </c>
    </row>
    <row r="681" spans="1:15" x14ac:dyDescent="0.3">
      <c r="A681" t="s">
        <v>805</v>
      </c>
      <c r="B681" t="s">
        <v>47</v>
      </c>
      <c r="C681" t="s">
        <v>38</v>
      </c>
      <c r="D681" t="s">
        <v>32</v>
      </c>
      <c r="E681" t="s">
        <v>28</v>
      </c>
      <c r="F681">
        <v>37</v>
      </c>
      <c r="G681" t="s">
        <v>135</v>
      </c>
      <c r="H681" s="17">
        <v>43935</v>
      </c>
      <c r="I681">
        <v>103524</v>
      </c>
      <c r="J681">
        <v>112841</v>
      </c>
      <c r="K681">
        <v>0.09</v>
      </c>
      <c r="L681" t="s">
        <v>29</v>
      </c>
      <c r="M681" t="s">
        <v>43</v>
      </c>
      <c r="N681" s="17"/>
      <c r="O681">
        <v>0</v>
      </c>
    </row>
    <row r="682" spans="1:15" x14ac:dyDescent="0.3">
      <c r="A682" t="s">
        <v>806</v>
      </c>
      <c r="B682" t="s">
        <v>47</v>
      </c>
      <c r="C682" t="s">
        <v>26</v>
      </c>
      <c r="D682" t="s">
        <v>46</v>
      </c>
      <c r="E682" t="s">
        <v>33</v>
      </c>
      <c r="F682">
        <v>30</v>
      </c>
      <c r="G682" t="s">
        <v>127</v>
      </c>
      <c r="H682" s="17">
        <v>42952</v>
      </c>
      <c r="I682">
        <v>119906</v>
      </c>
      <c r="J682">
        <v>125901</v>
      </c>
      <c r="K682">
        <v>0.05</v>
      </c>
      <c r="L682" t="s">
        <v>29</v>
      </c>
      <c r="M682" t="s">
        <v>58</v>
      </c>
      <c r="N682" s="17"/>
      <c r="O682">
        <v>0</v>
      </c>
    </row>
    <row r="683" spans="1:15" x14ac:dyDescent="0.3">
      <c r="A683" t="s">
        <v>807</v>
      </c>
      <c r="B683" t="s">
        <v>48</v>
      </c>
      <c r="C683" t="s">
        <v>57</v>
      </c>
      <c r="D683" t="s">
        <v>39</v>
      </c>
      <c r="E683" t="s">
        <v>28</v>
      </c>
      <c r="F683">
        <v>28</v>
      </c>
      <c r="G683" t="s">
        <v>127</v>
      </c>
      <c r="H683" s="17">
        <v>43847</v>
      </c>
      <c r="I683">
        <v>45061</v>
      </c>
      <c r="J683">
        <v>45061</v>
      </c>
      <c r="K683">
        <v>0</v>
      </c>
      <c r="L683" t="s">
        <v>29</v>
      </c>
      <c r="M683" t="s">
        <v>49</v>
      </c>
      <c r="N683" s="17"/>
      <c r="O683">
        <v>0</v>
      </c>
    </row>
    <row r="684" spans="1:15" x14ac:dyDescent="0.3">
      <c r="A684" t="s">
        <v>808</v>
      </c>
      <c r="B684" t="s">
        <v>85</v>
      </c>
      <c r="C684" t="s">
        <v>26</v>
      </c>
      <c r="D684" t="s">
        <v>46</v>
      </c>
      <c r="E684" t="s">
        <v>33</v>
      </c>
      <c r="F684">
        <v>51</v>
      </c>
      <c r="G684" t="s">
        <v>125</v>
      </c>
      <c r="H684" s="17">
        <v>37638</v>
      </c>
      <c r="I684">
        <v>91399</v>
      </c>
      <c r="J684">
        <v>91399</v>
      </c>
      <c r="K684">
        <v>0</v>
      </c>
      <c r="L684" t="s">
        <v>29</v>
      </c>
      <c r="M684" t="s">
        <v>30</v>
      </c>
      <c r="N684" s="17"/>
      <c r="O684">
        <v>0</v>
      </c>
    </row>
    <row r="685" spans="1:15" x14ac:dyDescent="0.3">
      <c r="A685" t="s">
        <v>809</v>
      </c>
      <c r="B685" t="s">
        <v>67</v>
      </c>
      <c r="C685" t="s">
        <v>26</v>
      </c>
      <c r="D685" t="s">
        <v>27</v>
      </c>
      <c r="E685" t="s">
        <v>33</v>
      </c>
      <c r="F685">
        <v>28</v>
      </c>
      <c r="G685" t="s">
        <v>127</v>
      </c>
      <c r="H685" s="17">
        <v>43006</v>
      </c>
      <c r="I685">
        <v>97336</v>
      </c>
      <c r="J685">
        <v>97336</v>
      </c>
      <c r="K685">
        <v>0</v>
      </c>
      <c r="L685" t="s">
        <v>29</v>
      </c>
      <c r="M685" t="s">
        <v>51</v>
      </c>
      <c r="N685" s="17"/>
      <c r="O685">
        <v>0</v>
      </c>
    </row>
    <row r="686" spans="1:15" x14ac:dyDescent="0.3">
      <c r="A686" t="s">
        <v>810</v>
      </c>
      <c r="B686" t="s">
        <v>25</v>
      </c>
      <c r="C686" t="s">
        <v>50</v>
      </c>
      <c r="D686" t="s">
        <v>46</v>
      </c>
      <c r="E686" t="s">
        <v>28</v>
      </c>
      <c r="F686">
        <v>31</v>
      </c>
      <c r="G686" t="s">
        <v>127</v>
      </c>
      <c r="H686" s="17">
        <v>42755</v>
      </c>
      <c r="I686">
        <v>124629</v>
      </c>
      <c r="J686">
        <v>137092</v>
      </c>
      <c r="K686">
        <v>0.1</v>
      </c>
      <c r="L686" t="s">
        <v>29</v>
      </c>
      <c r="M686" t="s">
        <v>58</v>
      </c>
      <c r="N686" s="17"/>
      <c r="O686">
        <v>0</v>
      </c>
    </row>
    <row r="687" spans="1:15" x14ac:dyDescent="0.3">
      <c r="A687" t="s">
        <v>811</v>
      </c>
      <c r="B687" t="s">
        <v>56</v>
      </c>
      <c r="C687" t="s">
        <v>52</v>
      </c>
      <c r="D687" t="s">
        <v>39</v>
      </c>
      <c r="E687" t="s">
        <v>28</v>
      </c>
      <c r="F687">
        <v>28</v>
      </c>
      <c r="G687" t="s">
        <v>127</v>
      </c>
      <c r="H687" s="17">
        <v>44402</v>
      </c>
      <c r="I687">
        <v>231850</v>
      </c>
      <c r="J687">
        <v>322272</v>
      </c>
      <c r="K687">
        <v>0.39</v>
      </c>
      <c r="L687" t="s">
        <v>29</v>
      </c>
      <c r="M687" t="s">
        <v>49</v>
      </c>
      <c r="N687" s="17"/>
      <c r="O687">
        <v>0</v>
      </c>
    </row>
    <row r="688" spans="1:15" x14ac:dyDescent="0.3">
      <c r="A688" t="s">
        <v>812</v>
      </c>
      <c r="B688" t="s">
        <v>47</v>
      </c>
      <c r="C688" t="s">
        <v>50</v>
      </c>
      <c r="D688" t="s">
        <v>27</v>
      </c>
      <c r="E688" t="s">
        <v>33</v>
      </c>
      <c r="F688">
        <v>34</v>
      </c>
      <c r="G688" t="s">
        <v>127</v>
      </c>
      <c r="H688" s="17">
        <v>43255</v>
      </c>
      <c r="I688">
        <v>128329</v>
      </c>
      <c r="J688">
        <v>138595</v>
      </c>
      <c r="K688">
        <v>0.08</v>
      </c>
      <c r="L688" t="s">
        <v>29</v>
      </c>
      <c r="M688" t="s">
        <v>43</v>
      </c>
      <c r="N688" s="17"/>
      <c r="O688">
        <v>0</v>
      </c>
    </row>
    <row r="689" spans="1:15" x14ac:dyDescent="0.3">
      <c r="A689" t="s">
        <v>813</v>
      </c>
      <c r="B689" t="s">
        <v>56</v>
      </c>
      <c r="C689" t="s">
        <v>57</v>
      </c>
      <c r="D689" t="s">
        <v>39</v>
      </c>
      <c r="E689" t="s">
        <v>33</v>
      </c>
      <c r="F689">
        <v>44</v>
      </c>
      <c r="G689" t="s">
        <v>135</v>
      </c>
      <c r="H689" s="17">
        <v>44283</v>
      </c>
      <c r="I689">
        <v>186033</v>
      </c>
      <c r="J689">
        <v>249284</v>
      </c>
      <c r="K689">
        <v>0.34</v>
      </c>
      <c r="L689" t="s">
        <v>59</v>
      </c>
      <c r="M689" t="s">
        <v>76</v>
      </c>
      <c r="N689" s="17"/>
      <c r="O689">
        <v>0</v>
      </c>
    </row>
    <row r="690" spans="1:15" x14ac:dyDescent="0.3">
      <c r="A690" t="s">
        <v>814</v>
      </c>
      <c r="B690" t="s">
        <v>25</v>
      </c>
      <c r="C690" t="s">
        <v>57</v>
      </c>
      <c r="D690" t="s">
        <v>32</v>
      </c>
      <c r="E690" t="s">
        <v>33</v>
      </c>
      <c r="F690">
        <v>60</v>
      </c>
      <c r="G690" t="s">
        <v>122</v>
      </c>
      <c r="H690" s="17">
        <v>44403</v>
      </c>
      <c r="I690">
        <v>121480</v>
      </c>
      <c r="J690">
        <v>138487</v>
      </c>
      <c r="K690">
        <v>0.14000000000000001</v>
      </c>
      <c r="L690" t="s">
        <v>29</v>
      </c>
      <c r="M690" t="s">
        <v>43</v>
      </c>
      <c r="N690" s="17"/>
      <c r="O690">
        <v>0</v>
      </c>
    </row>
    <row r="691" spans="1:15" x14ac:dyDescent="0.3">
      <c r="A691" t="s">
        <v>815</v>
      </c>
      <c r="B691" t="s">
        <v>37</v>
      </c>
      <c r="C691" t="s">
        <v>52</v>
      </c>
      <c r="D691" t="s">
        <v>39</v>
      </c>
      <c r="E691" t="s">
        <v>28</v>
      </c>
      <c r="F691">
        <v>41</v>
      </c>
      <c r="G691" t="s">
        <v>135</v>
      </c>
      <c r="H691" s="17">
        <v>40319</v>
      </c>
      <c r="I691">
        <v>153275</v>
      </c>
      <c r="J691">
        <v>190061</v>
      </c>
      <c r="K691">
        <v>0.24</v>
      </c>
      <c r="L691" t="s">
        <v>29</v>
      </c>
      <c r="M691" t="s">
        <v>58</v>
      </c>
      <c r="N691" s="17"/>
      <c r="O691">
        <v>0</v>
      </c>
    </row>
    <row r="692" spans="1:15" x14ac:dyDescent="0.3">
      <c r="A692" t="s">
        <v>816</v>
      </c>
      <c r="B692" t="s">
        <v>42</v>
      </c>
      <c r="C692" t="s">
        <v>45</v>
      </c>
      <c r="D692" t="s">
        <v>27</v>
      </c>
      <c r="E692" t="s">
        <v>28</v>
      </c>
      <c r="F692">
        <v>62</v>
      </c>
      <c r="G692" t="s">
        <v>122</v>
      </c>
      <c r="H692" s="17">
        <v>43969</v>
      </c>
      <c r="I692">
        <v>97830</v>
      </c>
      <c r="J692">
        <v>97830</v>
      </c>
      <c r="K692">
        <v>0</v>
      </c>
      <c r="L692" t="s">
        <v>29</v>
      </c>
      <c r="M692" t="s">
        <v>51</v>
      </c>
      <c r="N692" s="17"/>
      <c r="O692">
        <v>0</v>
      </c>
    </row>
    <row r="693" spans="1:15" x14ac:dyDescent="0.3">
      <c r="A693" t="s">
        <v>817</v>
      </c>
      <c r="B693" t="s">
        <v>56</v>
      </c>
      <c r="C693" t="s">
        <v>57</v>
      </c>
      <c r="D693" t="s">
        <v>46</v>
      </c>
      <c r="E693" t="s">
        <v>28</v>
      </c>
      <c r="F693">
        <v>47</v>
      </c>
      <c r="G693" t="s">
        <v>125</v>
      </c>
      <c r="H693" s="17">
        <v>36232</v>
      </c>
      <c r="I693">
        <v>239394</v>
      </c>
      <c r="J693">
        <v>316000</v>
      </c>
      <c r="K693">
        <v>0.32</v>
      </c>
      <c r="L693" t="s">
        <v>29</v>
      </c>
      <c r="M693" t="s">
        <v>51</v>
      </c>
      <c r="N693" s="17"/>
      <c r="O693">
        <v>0</v>
      </c>
    </row>
    <row r="694" spans="1:15" x14ac:dyDescent="0.3">
      <c r="A694" t="s">
        <v>818</v>
      </c>
      <c r="B694" t="s">
        <v>48</v>
      </c>
      <c r="C694" t="s">
        <v>38</v>
      </c>
      <c r="D694" t="s">
        <v>39</v>
      </c>
      <c r="E694" t="s">
        <v>28</v>
      </c>
      <c r="F694">
        <v>62</v>
      </c>
      <c r="G694" t="s">
        <v>122</v>
      </c>
      <c r="H694" s="17">
        <v>37519</v>
      </c>
      <c r="I694">
        <v>49738</v>
      </c>
      <c r="J694">
        <v>49738</v>
      </c>
      <c r="K694">
        <v>0</v>
      </c>
      <c r="L694" t="s">
        <v>34</v>
      </c>
      <c r="M694" t="s">
        <v>64</v>
      </c>
      <c r="N694" s="17"/>
      <c r="O694">
        <v>0</v>
      </c>
    </row>
    <row r="695" spans="1:15" x14ac:dyDescent="0.3">
      <c r="A695" t="s">
        <v>819</v>
      </c>
      <c r="B695" t="s">
        <v>48</v>
      </c>
      <c r="C695" t="s">
        <v>50</v>
      </c>
      <c r="D695" t="s">
        <v>32</v>
      </c>
      <c r="E695" t="s">
        <v>28</v>
      </c>
      <c r="F695">
        <v>33</v>
      </c>
      <c r="G695" t="s">
        <v>127</v>
      </c>
      <c r="H695" s="17">
        <v>43247</v>
      </c>
      <c r="I695">
        <v>45049</v>
      </c>
      <c r="J695">
        <v>45049</v>
      </c>
      <c r="K695">
        <v>0</v>
      </c>
      <c r="L695" t="s">
        <v>29</v>
      </c>
      <c r="M695" t="s">
        <v>30</v>
      </c>
      <c r="N695" s="17"/>
      <c r="O695">
        <v>0</v>
      </c>
    </row>
    <row r="696" spans="1:15" x14ac:dyDescent="0.3">
      <c r="A696" t="s">
        <v>820</v>
      </c>
      <c r="B696" t="s">
        <v>37</v>
      </c>
      <c r="C696" t="s">
        <v>38</v>
      </c>
      <c r="D696" t="s">
        <v>27</v>
      </c>
      <c r="E696" t="s">
        <v>28</v>
      </c>
      <c r="F696">
        <v>27</v>
      </c>
      <c r="G696" t="s">
        <v>127</v>
      </c>
      <c r="H696" s="17">
        <v>43977</v>
      </c>
      <c r="I696">
        <v>153628</v>
      </c>
      <c r="J696">
        <v>198180</v>
      </c>
      <c r="K696">
        <v>0.28999999999999998</v>
      </c>
      <c r="L696" t="s">
        <v>34</v>
      </c>
      <c r="M696" t="s">
        <v>35</v>
      </c>
      <c r="N696" s="17">
        <v>44177</v>
      </c>
      <c r="O696">
        <v>1</v>
      </c>
    </row>
    <row r="697" spans="1:15" x14ac:dyDescent="0.3">
      <c r="A697" t="s">
        <v>821</v>
      </c>
      <c r="B697" t="s">
        <v>25</v>
      </c>
      <c r="C697" t="s">
        <v>45</v>
      </c>
      <c r="D697" t="s">
        <v>32</v>
      </c>
      <c r="E697" t="s">
        <v>33</v>
      </c>
      <c r="F697">
        <v>25</v>
      </c>
      <c r="G697" t="s">
        <v>127</v>
      </c>
      <c r="H697" s="17">
        <v>44362</v>
      </c>
      <c r="I697">
        <v>142731</v>
      </c>
      <c r="J697">
        <v>158431</v>
      </c>
      <c r="K697">
        <v>0.11</v>
      </c>
      <c r="L697" t="s">
        <v>34</v>
      </c>
      <c r="M697" t="s">
        <v>55</v>
      </c>
      <c r="N697" s="17">
        <v>44715</v>
      </c>
      <c r="O697">
        <v>1</v>
      </c>
    </row>
    <row r="698" spans="1:15" x14ac:dyDescent="0.3">
      <c r="A698" t="s">
        <v>822</v>
      </c>
      <c r="B698" t="s">
        <v>25</v>
      </c>
      <c r="C698" t="s">
        <v>57</v>
      </c>
      <c r="D698" t="s">
        <v>39</v>
      </c>
      <c r="E698" t="s">
        <v>28</v>
      </c>
      <c r="F698">
        <v>29</v>
      </c>
      <c r="G698" t="s">
        <v>127</v>
      </c>
      <c r="H698" s="17">
        <v>43966</v>
      </c>
      <c r="I698">
        <v>137106</v>
      </c>
      <c r="J698">
        <v>153559</v>
      </c>
      <c r="K698">
        <v>0.12</v>
      </c>
      <c r="L698" t="s">
        <v>59</v>
      </c>
      <c r="M698" t="s">
        <v>76</v>
      </c>
      <c r="N698" s="17"/>
      <c r="O698">
        <v>0</v>
      </c>
    </row>
    <row r="699" spans="1:15" x14ac:dyDescent="0.3">
      <c r="A699" t="s">
        <v>823</v>
      </c>
      <c r="B699" t="s">
        <v>56</v>
      </c>
      <c r="C699" t="s">
        <v>38</v>
      </c>
      <c r="D699" t="s">
        <v>46</v>
      </c>
      <c r="E699" t="s">
        <v>28</v>
      </c>
      <c r="F699">
        <v>54</v>
      </c>
      <c r="G699" t="s">
        <v>125</v>
      </c>
      <c r="H699" s="17">
        <v>39330</v>
      </c>
      <c r="I699">
        <v>183239</v>
      </c>
      <c r="J699">
        <v>241875</v>
      </c>
      <c r="K699">
        <v>0.32</v>
      </c>
      <c r="L699" t="s">
        <v>29</v>
      </c>
      <c r="M699" t="s">
        <v>30</v>
      </c>
      <c r="N699" s="17"/>
      <c r="O699">
        <v>0</v>
      </c>
    </row>
    <row r="700" spans="1:15" x14ac:dyDescent="0.3">
      <c r="A700" t="s">
        <v>824</v>
      </c>
      <c r="B700" t="s">
        <v>48</v>
      </c>
      <c r="C700" t="s">
        <v>50</v>
      </c>
      <c r="D700" t="s">
        <v>32</v>
      </c>
      <c r="E700" t="s">
        <v>28</v>
      </c>
      <c r="F700">
        <v>28</v>
      </c>
      <c r="G700" t="s">
        <v>127</v>
      </c>
      <c r="H700" s="17">
        <v>43610</v>
      </c>
      <c r="I700">
        <v>45819</v>
      </c>
      <c r="J700">
        <v>45819</v>
      </c>
      <c r="K700">
        <v>0</v>
      </c>
      <c r="L700" t="s">
        <v>29</v>
      </c>
      <c r="M700" t="s">
        <v>49</v>
      </c>
      <c r="N700" s="17"/>
      <c r="O700">
        <v>0</v>
      </c>
    </row>
    <row r="701" spans="1:15" x14ac:dyDescent="0.3">
      <c r="A701" t="s">
        <v>825</v>
      </c>
      <c r="B701" t="s">
        <v>48</v>
      </c>
      <c r="C701" t="s">
        <v>50</v>
      </c>
      <c r="D701" t="s">
        <v>27</v>
      </c>
      <c r="E701" t="s">
        <v>28</v>
      </c>
      <c r="F701">
        <v>54</v>
      </c>
      <c r="G701" t="s">
        <v>125</v>
      </c>
      <c r="H701" s="17">
        <v>39080</v>
      </c>
      <c r="I701">
        <v>55518</v>
      </c>
      <c r="J701">
        <v>55518</v>
      </c>
      <c r="K701">
        <v>0</v>
      </c>
      <c r="L701" t="s">
        <v>29</v>
      </c>
      <c r="M701" t="s">
        <v>58</v>
      </c>
      <c r="N701" s="17"/>
      <c r="O701">
        <v>0</v>
      </c>
    </row>
    <row r="702" spans="1:15" x14ac:dyDescent="0.3">
      <c r="A702" t="s">
        <v>826</v>
      </c>
      <c r="B702" t="s">
        <v>47</v>
      </c>
      <c r="C702" t="s">
        <v>57</v>
      </c>
      <c r="D702" t="s">
        <v>32</v>
      </c>
      <c r="E702" t="s">
        <v>28</v>
      </c>
      <c r="F702">
        <v>50</v>
      </c>
      <c r="G702" t="s">
        <v>125</v>
      </c>
      <c r="H702" s="17">
        <v>40979</v>
      </c>
      <c r="I702">
        <v>108134</v>
      </c>
      <c r="J702">
        <v>118947</v>
      </c>
      <c r="K702">
        <v>0.1</v>
      </c>
      <c r="L702" t="s">
        <v>34</v>
      </c>
      <c r="M702" t="s">
        <v>55</v>
      </c>
      <c r="N702" s="17"/>
      <c r="O702">
        <v>0</v>
      </c>
    </row>
    <row r="703" spans="1:15" x14ac:dyDescent="0.3">
      <c r="A703" t="s">
        <v>827</v>
      </c>
      <c r="B703" t="s">
        <v>47</v>
      </c>
      <c r="C703" t="s">
        <v>57</v>
      </c>
      <c r="D703" t="s">
        <v>27</v>
      </c>
      <c r="E703" t="s">
        <v>28</v>
      </c>
      <c r="F703">
        <v>55</v>
      </c>
      <c r="G703" t="s">
        <v>122</v>
      </c>
      <c r="H703" s="17">
        <v>33958</v>
      </c>
      <c r="I703">
        <v>113950</v>
      </c>
      <c r="J703">
        <v>124206</v>
      </c>
      <c r="K703">
        <v>0.09</v>
      </c>
      <c r="L703" t="s">
        <v>29</v>
      </c>
      <c r="M703" t="s">
        <v>49</v>
      </c>
      <c r="N703" s="17"/>
      <c r="O703">
        <v>0</v>
      </c>
    </row>
    <row r="704" spans="1:15" x14ac:dyDescent="0.3">
      <c r="A704" t="s">
        <v>828</v>
      </c>
      <c r="B704" t="s">
        <v>56</v>
      </c>
      <c r="C704" t="s">
        <v>57</v>
      </c>
      <c r="D704" t="s">
        <v>39</v>
      </c>
      <c r="E704" t="s">
        <v>28</v>
      </c>
      <c r="F704">
        <v>52</v>
      </c>
      <c r="G704" t="s">
        <v>125</v>
      </c>
      <c r="H704" s="17">
        <v>35886</v>
      </c>
      <c r="I704">
        <v>182035</v>
      </c>
      <c r="J704">
        <v>236646</v>
      </c>
      <c r="K704">
        <v>0.3</v>
      </c>
      <c r="L704" t="s">
        <v>29</v>
      </c>
      <c r="M704" t="s">
        <v>40</v>
      </c>
      <c r="N704" s="17"/>
      <c r="O704">
        <v>0</v>
      </c>
    </row>
    <row r="705" spans="1:15" x14ac:dyDescent="0.3">
      <c r="A705" t="s">
        <v>829</v>
      </c>
      <c r="B705" t="s">
        <v>37</v>
      </c>
      <c r="C705" t="s">
        <v>50</v>
      </c>
      <c r="D705" t="s">
        <v>39</v>
      </c>
      <c r="E705" t="s">
        <v>33</v>
      </c>
      <c r="F705">
        <v>35</v>
      </c>
      <c r="G705" t="s">
        <v>135</v>
      </c>
      <c r="H705" s="17">
        <v>42963</v>
      </c>
      <c r="I705">
        <v>181356</v>
      </c>
      <c r="J705">
        <v>223068</v>
      </c>
      <c r="K705">
        <v>0.23</v>
      </c>
      <c r="L705" t="s">
        <v>34</v>
      </c>
      <c r="M705" t="s">
        <v>64</v>
      </c>
      <c r="N705" s="17"/>
      <c r="O705">
        <v>0</v>
      </c>
    </row>
    <row r="706" spans="1:15" x14ac:dyDescent="0.3">
      <c r="A706" t="s">
        <v>830</v>
      </c>
      <c r="B706" t="s">
        <v>44</v>
      </c>
      <c r="C706" t="s">
        <v>45</v>
      </c>
      <c r="D706" t="s">
        <v>46</v>
      </c>
      <c r="E706" t="s">
        <v>28</v>
      </c>
      <c r="F706">
        <v>26</v>
      </c>
      <c r="G706" t="s">
        <v>127</v>
      </c>
      <c r="H706" s="17">
        <v>43698</v>
      </c>
      <c r="I706">
        <v>66084</v>
      </c>
      <c r="J706">
        <v>66084</v>
      </c>
      <c r="K706">
        <v>0</v>
      </c>
      <c r="L706" t="s">
        <v>29</v>
      </c>
      <c r="M706" t="s">
        <v>30</v>
      </c>
      <c r="N706" s="17"/>
      <c r="O706">
        <v>0</v>
      </c>
    </row>
    <row r="707" spans="1:15" x14ac:dyDescent="0.3">
      <c r="A707" t="s">
        <v>831</v>
      </c>
      <c r="B707" t="s">
        <v>84</v>
      </c>
      <c r="C707" t="s">
        <v>26</v>
      </c>
      <c r="D707" t="s">
        <v>39</v>
      </c>
      <c r="E707" t="s">
        <v>28</v>
      </c>
      <c r="F707">
        <v>43</v>
      </c>
      <c r="G707" t="s">
        <v>135</v>
      </c>
      <c r="H707" s="17">
        <v>40290</v>
      </c>
      <c r="I707">
        <v>76912</v>
      </c>
      <c r="J707">
        <v>76912</v>
      </c>
      <c r="K707">
        <v>0</v>
      </c>
      <c r="L707" t="s">
        <v>59</v>
      </c>
      <c r="M707" t="s">
        <v>76</v>
      </c>
      <c r="N707" s="17"/>
      <c r="O707">
        <v>0</v>
      </c>
    </row>
    <row r="708" spans="1:15" x14ac:dyDescent="0.3">
      <c r="A708" t="s">
        <v>832</v>
      </c>
      <c r="B708" t="s">
        <v>77</v>
      </c>
      <c r="C708" t="s">
        <v>54</v>
      </c>
      <c r="D708" t="s">
        <v>27</v>
      </c>
      <c r="E708" t="s">
        <v>28</v>
      </c>
      <c r="F708">
        <v>63</v>
      </c>
      <c r="G708" t="s">
        <v>122</v>
      </c>
      <c r="H708" s="17">
        <v>43227</v>
      </c>
      <c r="I708">
        <v>67987</v>
      </c>
      <c r="J708">
        <v>67987</v>
      </c>
      <c r="K708">
        <v>0</v>
      </c>
      <c r="L708" t="s">
        <v>29</v>
      </c>
      <c r="M708" t="s">
        <v>49</v>
      </c>
      <c r="N708" s="17"/>
      <c r="O708">
        <v>0</v>
      </c>
    </row>
    <row r="709" spans="1:15" x14ac:dyDescent="0.3">
      <c r="A709" t="s">
        <v>833</v>
      </c>
      <c r="B709" t="s">
        <v>66</v>
      </c>
      <c r="C709" t="s">
        <v>57</v>
      </c>
      <c r="D709" t="s">
        <v>32</v>
      </c>
      <c r="E709" t="s">
        <v>33</v>
      </c>
      <c r="F709">
        <v>65</v>
      </c>
      <c r="G709" t="s">
        <v>142</v>
      </c>
      <c r="H709" s="17">
        <v>38584</v>
      </c>
      <c r="I709">
        <v>59833</v>
      </c>
      <c r="J709">
        <v>59833</v>
      </c>
      <c r="K709">
        <v>0</v>
      </c>
      <c r="L709" t="s">
        <v>29</v>
      </c>
      <c r="M709" t="s">
        <v>58</v>
      </c>
      <c r="N709" s="17"/>
      <c r="O709">
        <v>0</v>
      </c>
    </row>
    <row r="710" spans="1:15" x14ac:dyDescent="0.3">
      <c r="A710" t="s">
        <v>834</v>
      </c>
      <c r="B710" t="s">
        <v>25</v>
      </c>
      <c r="C710" t="s">
        <v>57</v>
      </c>
      <c r="D710" t="s">
        <v>39</v>
      </c>
      <c r="E710" t="s">
        <v>33</v>
      </c>
      <c r="F710">
        <v>45</v>
      </c>
      <c r="G710" t="s">
        <v>125</v>
      </c>
      <c r="H710" s="17">
        <v>38453</v>
      </c>
      <c r="I710">
        <v>128468</v>
      </c>
      <c r="J710">
        <v>142599</v>
      </c>
      <c r="K710">
        <v>0.11</v>
      </c>
      <c r="L710" t="s">
        <v>29</v>
      </c>
      <c r="M710" t="s">
        <v>40</v>
      </c>
      <c r="N710" s="17"/>
      <c r="O710">
        <v>0</v>
      </c>
    </row>
    <row r="711" spans="1:15" x14ac:dyDescent="0.3">
      <c r="A711" t="s">
        <v>835</v>
      </c>
      <c r="B711" t="s">
        <v>47</v>
      </c>
      <c r="C711" t="s">
        <v>45</v>
      </c>
      <c r="D711" t="s">
        <v>46</v>
      </c>
      <c r="E711" t="s">
        <v>33</v>
      </c>
      <c r="F711">
        <v>42</v>
      </c>
      <c r="G711" t="s">
        <v>135</v>
      </c>
      <c r="H711" s="17">
        <v>40692</v>
      </c>
      <c r="I711">
        <v>102440</v>
      </c>
      <c r="J711">
        <v>108586</v>
      </c>
      <c r="K711">
        <v>0.06</v>
      </c>
      <c r="L711" t="s">
        <v>29</v>
      </c>
      <c r="M711" t="s">
        <v>40</v>
      </c>
      <c r="N711" s="17"/>
      <c r="O711">
        <v>0</v>
      </c>
    </row>
    <row r="712" spans="1:15" x14ac:dyDescent="0.3">
      <c r="A712" t="s">
        <v>836</v>
      </c>
      <c r="B712" t="s">
        <v>56</v>
      </c>
      <c r="C712" t="s">
        <v>26</v>
      </c>
      <c r="D712" t="s">
        <v>39</v>
      </c>
      <c r="E712" t="s">
        <v>33</v>
      </c>
      <c r="F712">
        <v>59</v>
      </c>
      <c r="G712" t="s">
        <v>122</v>
      </c>
      <c r="H712" s="17">
        <v>40542</v>
      </c>
      <c r="I712">
        <v>246619</v>
      </c>
      <c r="J712">
        <v>335402</v>
      </c>
      <c r="K712">
        <v>0.36</v>
      </c>
      <c r="L712" t="s">
        <v>29</v>
      </c>
      <c r="M712" t="s">
        <v>49</v>
      </c>
      <c r="N712" s="17"/>
      <c r="O712">
        <v>0</v>
      </c>
    </row>
    <row r="713" spans="1:15" x14ac:dyDescent="0.3">
      <c r="A713" t="s">
        <v>837</v>
      </c>
      <c r="B713" t="s">
        <v>47</v>
      </c>
      <c r="C713" t="s">
        <v>52</v>
      </c>
      <c r="D713" t="s">
        <v>46</v>
      </c>
      <c r="E713" t="s">
        <v>28</v>
      </c>
      <c r="F713">
        <v>42</v>
      </c>
      <c r="G713" t="s">
        <v>135</v>
      </c>
      <c r="H713" s="17">
        <v>43058</v>
      </c>
      <c r="I713">
        <v>101143</v>
      </c>
      <c r="J713">
        <v>107212</v>
      </c>
      <c r="K713">
        <v>0.06</v>
      </c>
      <c r="L713" t="s">
        <v>29</v>
      </c>
      <c r="M713" t="s">
        <v>49</v>
      </c>
      <c r="N713" s="17"/>
      <c r="O713">
        <v>0</v>
      </c>
    </row>
    <row r="714" spans="1:15" x14ac:dyDescent="0.3">
      <c r="A714" t="s">
        <v>838</v>
      </c>
      <c r="B714" t="s">
        <v>74</v>
      </c>
      <c r="C714" t="s">
        <v>52</v>
      </c>
      <c r="D714" t="s">
        <v>32</v>
      </c>
      <c r="E714" t="s">
        <v>28</v>
      </c>
      <c r="F714">
        <v>45</v>
      </c>
      <c r="G714" t="s">
        <v>125</v>
      </c>
      <c r="H714" s="17">
        <v>38639</v>
      </c>
      <c r="I714">
        <v>51404</v>
      </c>
      <c r="J714">
        <v>51404</v>
      </c>
      <c r="K714">
        <v>0</v>
      </c>
      <c r="L714" t="s">
        <v>59</v>
      </c>
      <c r="M714" t="s">
        <v>60</v>
      </c>
      <c r="N714" s="17">
        <v>40153</v>
      </c>
      <c r="O714">
        <v>1</v>
      </c>
    </row>
    <row r="715" spans="1:15" x14ac:dyDescent="0.3">
      <c r="A715" t="s">
        <v>839</v>
      </c>
      <c r="B715" t="s">
        <v>71</v>
      </c>
      <c r="C715" t="s">
        <v>54</v>
      </c>
      <c r="D715" t="s">
        <v>39</v>
      </c>
      <c r="E715" t="s">
        <v>33</v>
      </c>
      <c r="F715">
        <v>45</v>
      </c>
      <c r="G715" t="s">
        <v>125</v>
      </c>
      <c r="H715" s="17">
        <v>42329</v>
      </c>
      <c r="I715">
        <v>87292</v>
      </c>
      <c r="J715">
        <v>87292</v>
      </c>
      <c r="K715">
        <v>0</v>
      </c>
      <c r="L715" t="s">
        <v>29</v>
      </c>
      <c r="M715" t="s">
        <v>58</v>
      </c>
      <c r="N715" s="17"/>
      <c r="O715">
        <v>0</v>
      </c>
    </row>
    <row r="716" spans="1:15" x14ac:dyDescent="0.3">
      <c r="A716" t="s">
        <v>840</v>
      </c>
      <c r="B716" t="s">
        <v>37</v>
      </c>
      <c r="C716" t="s">
        <v>57</v>
      </c>
      <c r="D716" t="s">
        <v>39</v>
      </c>
      <c r="E716" t="s">
        <v>28</v>
      </c>
      <c r="F716">
        <v>28</v>
      </c>
      <c r="G716" t="s">
        <v>127</v>
      </c>
      <c r="H716" s="17">
        <v>43810</v>
      </c>
      <c r="I716">
        <v>182321</v>
      </c>
      <c r="J716">
        <v>233371</v>
      </c>
      <c r="K716">
        <v>0.28000000000000003</v>
      </c>
      <c r="L716" t="s">
        <v>34</v>
      </c>
      <c r="M716" t="s">
        <v>64</v>
      </c>
      <c r="N716" s="17"/>
      <c r="O716">
        <v>0</v>
      </c>
    </row>
    <row r="717" spans="1:15" x14ac:dyDescent="0.3">
      <c r="A717" t="s">
        <v>841</v>
      </c>
      <c r="B717" t="s">
        <v>83</v>
      </c>
      <c r="C717" t="s">
        <v>26</v>
      </c>
      <c r="D717" t="s">
        <v>46</v>
      </c>
      <c r="E717" t="s">
        <v>33</v>
      </c>
      <c r="F717">
        <v>51</v>
      </c>
      <c r="G717" t="s">
        <v>125</v>
      </c>
      <c r="H717" s="17">
        <v>41697</v>
      </c>
      <c r="I717">
        <v>53929</v>
      </c>
      <c r="J717">
        <v>53929</v>
      </c>
      <c r="K717">
        <v>0</v>
      </c>
      <c r="L717" t="s">
        <v>29</v>
      </c>
      <c r="M717" t="s">
        <v>49</v>
      </c>
      <c r="N717" s="17">
        <v>43091</v>
      </c>
      <c r="O717">
        <v>1</v>
      </c>
    </row>
    <row r="718" spans="1:15" x14ac:dyDescent="0.3">
      <c r="A718" t="s">
        <v>842</v>
      </c>
      <c r="B718" t="s">
        <v>56</v>
      </c>
      <c r="C718" t="s">
        <v>50</v>
      </c>
      <c r="D718" t="s">
        <v>32</v>
      </c>
      <c r="E718" t="s">
        <v>28</v>
      </c>
      <c r="F718">
        <v>38</v>
      </c>
      <c r="G718" t="s">
        <v>135</v>
      </c>
      <c r="H718" s="17">
        <v>41256</v>
      </c>
      <c r="I718">
        <v>191571</v>
      </c>
      <c r="J718">
        <v>252874</v>
      </c>
      <c r="K718">
        <v>0.32</v>
      </c>
      <c r="L718" t="s">
        <v>29</v>
      </c>
      <c r="M718" t="s">
        <v>51</v>
      </c>
      <c r="N718" s="17"/>
      <c r="O718">
        <v>0</v>
      </c>
    </row>
    <row r="719" spans="1:15" x14ac:dyDescent="0.3">
      <c r="A719" t="s">
        <v>843</v>
      </c>
      <c r="B719" t="s">
        <v>25</v>
      </c>
      <c r="C719" t="s">
        <v>50</v>
      </c>
      <c r="D719" t="s">
        <v>46</v>
      </c>
      <c r="E719" t="s">
        <v>28</v>
      </c>
      <c r="F719">
        <v>62</v>
      </c>
      <c r="G719" t="s">
        <v>122</v>
      </c>
      <c r="H719" s="17">
        <v>39843</v>
      </c>
      <c r="I719">
        <v>150555</v>
      </c>
      <c r="J719">
        <v>170127</v>
      </c>
      <c r="K719">
        <v>0.13</v>
      </c>
      <c r="L719" t="s">
        <v>29</v>
      </c>
      <c r="M719" t="s">
        <v>43</v>
      </c>
      <c r="N719" s="17"/>
      <c r="O719">
        <v>0</v>
      </c>
    </row>
    <row r="720" spans="1:15" x14ac:dyDescent="0.3">
      <c r="A720" t="s">
        <v>844</v>
      </c>
      <c r="B720" t="s">
        <v>47</v>
      </c>
      <c r="C720" t="s">
        <v>38</v>
      </c>
      <c r="D720" t="s">
        <v>46</v>
      </c>
      <c r="E720" t="s">
        <v>33</v>
      </c>
      <c r="F720">
        <v>52</v>
      </c>
      <c r="G720" t="s">
        <v>125</v>
      </c>
      <c r="H720" s="17">
        <v>40091</v>
      </c>
      <c r="I720">
        <v>122890</v>
      </c>
      <c r="J720">
        <v>131492</v>
      </c>
      <c r="K720">
        <v>7.0000000000000007E-2</v>
      </c>
      <c r="L720" t="s">
        <v>34</v>
      </c>
      <c r="M720" t="s">
        <v>55</v>
      </c>
      <c r="N720" s="17"/>
      <c r="O720">
        <v>0</v>
      </c>
    </row>
    <row r="721" spans="1:15" x14ac:dyDescent="0.3">
      <c r="A721" t="s">
        <v>845</v>
      </c>
      <c r="B721" t="s">
        <v>56</v>
      </c>
      <c r="C721" t="s">
        <v>38</v>
      </c>
      <c r="D721" t="s">
        <v>27</v>
      </c>
      <c r="E721" t="s">
        <v>33</v>
      </c>
      <c r="F721">
        <v>52</v>
      </c>
      <c r="G721" t="s">
        <v>125</v>
      </c>
      <c r="H721" s="17">
        <v>35576</v>
      </c>
      <c r="I721">
        <v>216999</v>
      </c>
      <c r="J721">
        <v>297289</v>
      </c>
      <c r="K721">
        <v>0.37</v>
      </c>
      <c r="L721" t="s">
        <v>29</v>
      </c>
      <c r="M721" t="s">
        <v>49</v>
      </c>
      <c r="N721" s="17"/>
      <c r="O721">
        <v>0</v>
      </c>
    </row>
    <row r="722" spans="1:15" x14ac:dyDescent="0.3">
      <c r="A722" t="s">
        <v>846</v>
      </c>
      <c r="B722" t="s">
        <v>47</v>
      </c>
      <c r="C722" t="s">
        <v>52</v>
      </c>
      <c r="D722" t="s">
        <v>46</v>
      </c>
      <c r="E722" t="s">
        <v>33</v>
      </c>
      <c r="F722">
        <v>48</v>
      </c>
      <c r="G722" t="s">
        <v>125</v>
      </c>
      <c r="H722" s="17">
        <v>42201</v>
      </c>
      <c r="I722">
        <v>110565</v>
      </c>
      <c r="J722">
        <v>120516</v>
      </c>
      <c r="K722">
        <v>0.09</v>
      </c>
      <c r="L722" t="s">
        <v>34</v>
      </c>
      <c r="M722" t="s">
        <v>64</v>
      </c>
      <c r="N722" s="17"/>
      <c r="O722">
        <v>0</v>
      </c>
    </row>
    <row r="723" spans="1:15" x14ac:dyDescent="0.3">
      <c r="A723" t="s">
        <v>847</v>
      </c>
      <c r="B723" t="s">
        <v>65</v>
      </c>
      <c r="C723" t="s">
        <v>26</v>
      </c>
      <c r="D723" t="s">
        <v>39</v>
      </c>
      <c r="E723" t="s">
        <v>33</v>
      </c>
      <c r="F723">
        <v>38</v>
      </c>
      <c r="G723" t="s">
        <v>135</v>
      </c>
      <c r="H723" s="17">
        <v>42113</v>
      </c>
      <c r="I723">
        <v>48762</v>
      </c>
      <c r="J723">
        <v>48762</v>
      </c>
      <c r="K723">
        <v>0</v>
      </c>
      <c r="L723" t="s">
        <v>29</v>
      </c>
      <c r="M723" t="s">
        <v>30</v>
      </c>
      <c r="N723" s="17"/>
      <c r="O723">
        <v>0</v>
      </c>
    </row>
    <row r="724" spans="1:15" x14ac:dyDescent="0.3">
      <c r="A724" t="s">
        <v>848</v>
      </c>
      <c r="B724" t="s">
        <v>80</v>
      </c>
      <c r="C724" t="s">
        <v>54</v>
      </c>
      <c r="D724" t="s">
        <v>39</v>
      </c>
      <c r="E724" t="s">
        <v>28</v>
      </c>
      <c r="F724">
        <v>51</v>
      </c>
      <c r="G724" t="s">
        <v>125</v>
      </c>
      <c r="H724" s="17">
        <v>42777</v>
      </c>
      <c r="I724">
        <v>87036</v>
      </c>
      <c r="J724">
        <v>87036</v>
      </c>
      <c r="K724">
        <v>0</v>
      </c>
      <c r="L724" t="s">
        <v>34</v>
      </c>
      <c r="M724" t="s">
        <v>35</v>
      </c>
      <c r="N724" s="17"/>
      <c r="O724">
        <v>0</v>
      </c>
    </row>
    <row r="725" spans="1:15" x14ac:dyDescent="0.3">
      <c r="A725" t="s">
        <v>849</v>
      </c>
      <c r="B725" t="s">
        <v>37</v>
      </c>
      <c r="C725" t="s">
        <v>57</v>
      </c>
      <c r="D725" t="s">
        <v>39</v>
      </c>
      <c r="E725" t="s">
        <v>33</v>
      </c>
      <c r="F725">
        <v>32</v>
      </c>
      <c r="G725" t="s">
        <v>127</v>
      </c>
      <c r="H725" s="17">
        <v>42702</v>
      </c>
      <c r="I725">
        <v>177443</v>
      </c>
      <c r="J725">
        <v>205834</v>
      </c>
      <c r="K725">
        <v>0.16</v>
      </c>
      <c r="L725" t="s">
        <v>29</v>
      </c>
      <c r="M725" t="s">
        <v>30</v>
      </c>
      <c r="N725" s="17"/>
      <c r="O725">
        <v>0</v>
      </c>
    </row>
    <row r="726" spans="1:15" x14ac:dyDescent="0.3">
      <c r="A726" t="s">
        <v>850</v>
      </c>
      <c r="B726" t="s">
        <v>67</v>
      </c>
      <c r="C726" t="s">
        <v>26</v>
      </c>
      <c r="D726" t="s">
        <v>27</v>
      </c>
      <c r="E726" t="s">
        <v>28</v>
      </c>
      <c r="F726">
        <v>36</v>
      </c>
      <c r="G726" t="s">
        <v>135</v>
      </c>
      <c r="H726" s="17">
        <v>42489</v>
      </c>
      <c r="I726">
        <v>75862</v>
      </c>
      <c r="J726">
        <v>75862</v>
      </c>
      <c r="K726">
        <v>0</v>
      </c>
      <c r="L726" t="s">
        <v>29</v>
      </c>
      <c r="M726" t="s">
        <v>51</v>
      </c>
      <c r="N726" s="17"/>
      <c r="O726">
        <v>0</v>
      </c>
    </row>
    <row r="727" spans="1:15" x14ac:dyDescent="0.3">
      <c r="A727" t="s">
        <v>851</v>
      </c>
      <c r="B727" t="s">
        <v>69</v>
      </c>
      <c r="C727" t="s">
        <v>52</v>
      </c>
      <c r="D727" t="s">
        <v>27</v>
      </c>
      <c r="E727" t="s">
        <v>28</v>
      </c>
      <c r="F727">
        <v>45</v>
      </c>
      <c r="G727" t="s">
        <v>125</v>
      </c>
      <c r="H727" s="17">
        <v>43581</v>
      </c>
      <c r="I727">
        <v>90870</v>
      </c>
      <c r="J727">
        <v>90870</v>
      </c>
      <c r="K727">
        <v>0</v>
      </c>
      <c r="L727" t="s">
        <v>29</v>
      </c>
      <c r="M727" t="s">
        <v>40</v>
      </c>
      <c r="N727" s="17"/>
      <c r="O727">
        <v>0</v>
      </c>
    </row>
    <row r="728" spans="1:15" x14ac:dyDescent="0.3">
      <c r="A728" t="s">
        <v>852</v>
      </c>
      <c r="B728" t="s">
        <v>63</v>
      </c>
      <c r="C728" t="s">
        <v>54</v>
      </c>
      <c r="D728" t="s">
        <v>46</v>
      </c>
      <c r="E728" t="s">
        <v>28</v>
      </c>
      <c r="F728">
        <v>32</v>
      </c>
      <c r="G728" t="s">
        <v>127</v>
      </c>
      <c r="H728" s="17">
        <v>41977</v>
      </c>
      <c r="I728">
        <v>99202</v>
      </c>
      <c r="J728">
        <v>110114</v>
      </c>
      <c r="K728">
        <v>0.11</v>
      </c>
      <c r="L728" t="s">
        <v>29</v>
      </c>
      <c r="M728" t="s">
        <v>43</v>
      </c>
      <c r="N728" s="17"/>
      <c r="O728">
        <v>0</v>
      </c>
    </row>
    <row r="729" spans="1:15" x14ac:dyDescent="0.3">
      <c r="A729" t="s">
        <v>853</v>
      </c>
      <c r="B729" t="s">
        <v>42</v>
      </c>
      <c r="C729" t="s">
        <v>57</v>
      </c>
      <c r="D729" t="s">
        <v>46</v>
      </c>
      <c r="E729" t="s">
        <v>33</v>
      </c>
      <c r="F729">
        <v>45</v>
      </c>
      <c r="G729" t="s">
        <v>125</v>
      </c>
      <c r="H729" s="17">
        <v>39347</v>
      </c>
      <c r="I729">
        <v>92293</v>
      </c>
      <c r="J729">
        <v>92293</v>
      </c>
      <c r="K729">
        <v>0</v>
      </c>
      <c r="L729" t="s">
        <v>34</v>
      </c>
      <c r="M729" t="s">
        <v>68</v>
      </c>
      <c r="N729" s="17"/>
      <c r="O729">
        <v>0</v>
      </c>
    </row>
    <row r="730" spans="1:15" x14ac:dyDescent="0.3">
      <c r="A730" t="s">
        <v>854</v>
      </c>
      <c r="B730" t="s">
        <v>84</v>
      </c>
      <c r="C730" t="s">
        <v>26</v>
      </c>
      <c r="D730" t="s">
        <v>46</v>
      </c>
      <c r="E730" t="s">
        <v>33</v>
      </c>
      <c r="F730">
        <v>54</v>
      </c>
      <c r="G730" t="s">
        <v>125</v>
      </c>
      <c r="H730" s="17">
        <v>33785</v>
      </c>
      <c r="I730">
        <v>63196</v>
      </c>
      <c r="J730">
        <v>63196</v>
      </c>
      <c r="K730">
        <v>0</v>
      </c>
      <c r="L730" t="s">
        <v>29</v>
      </c>
      <c r="M730" t="s">
        <v>40</v>
      </c>
      <c r="N730" s="17">
        <v>41938</v>
      </c>
      <c r="O730">
        <v>1</v>
      </c>
    </row>
    <row r="731" spans="1:15" x14ac:dyDescent="0.3">
      <c r="A731" t="s">
        <v>855</v>
      </c>
      <c r="B731" t="s">
        <v>80</v>
      </c>
      <c r="C731" t="s">
        <v>54</v>
      </c>
      <c r="D731" t="s">
        <v>39</v>
      </c>
      <c r="E731" t="s">
        <v>28</v>
      </c>
      <c r="F731">
        <v>48</v>
      </c>
      <c r="G731" t="s">
        <v>125</v>
      </c>
      <c r="H731" s="17">
        <v>41032</v>
      </c>
      <c r="I731">
        <v>65340</v>
      </c>
      <c r="J731">
        <v>65340</v>
      </c>
      <c r="K731">
        <v>0</v>
      </c>
      <c r="L731" t="s">
        <v>34</v>
      </c>
      <c r="M731" t="s">
        <v>55</v>
      </c>
      <c r="N731" s="17">
        <v>43229</v>
      </c>
      <c r="O731">
        <v>1</v>
      </c>
    </row>
    <row r="732" spans="1:15" x14ac:dyDescent="0.3">
      <c r="A732" t="s">
        <v>856</v>
      </c>
      <c r="B732" t="s">
        <v>56</v>
      </c>
      <c r="C732" t="s">
        <v>57</v>
      </c>
      <c r="D732" t="s">
        <v>46</v>
      </c>
      <c r="E732" t="s">
        <v>33</v>
      </c>
      <c r="F732">
        <v>45</v>
      </c>
      <c r="G732" t="s">
        <v>125</v>
      </c>
      <c r="H732" s="17">
        <v>42271</v>
      </c>
      <c r="I732">
        <v>202680</v>
      </c>
      <c r="J732">
        <v>267538</v>
      </c>
      <c r="K732">
        <v>0.32</v>
      </c>
      <c r="L732" t="s">
        <v>29</v>
      </c>
      <c r="M732" t="s">
        <v>43</v>
      </c>
      <c r="N732" s="17">
        <v>44790</v>
      </c>
      <c r="O732">
        <v>1</v>
      </c>
    </row>
    <row r="733" spans="1:15" x14ac:dyDescent="0.3">
      <c r="A733" t="s">
        <v>857</v>
      </c>
      <c r="B733" t="s">
        <v>41</v>
      </c>
      <c r="C733" t="s">
        <v>26</v>
      </c>
      <c r="D733" t="s">
        <v>32</v>
      </c>
      <c r="E733" t="s">
        <v>28</v>
      </c>
      <c r="F733">
        <v>46</v>
      </c>
      <c r="G733" t="s">
        <v>125</v>
      </c>
      <c r="H733" s="17">
        <v>42849</v>
      </c>
      <c r="I733">
        <v>77461</v>
      </c>
      <c r="J733">
        <v>84432</v>
      </c>
      <c r="K733">
        <v>0.09</v>
      </c>
      <c r="L733" t="s">
        <v>59</v>
      </c>
      <c r="M733" t="s">
        <v>76</v>
      </c>
      <c r="N733" s="17"/>
      <c r="O733">
        <v>0</v>
      </c>
    </row>
    <row r="734" spans="1:15" x14ac:dyDescent="0.3">
      <c r="A734" t="s">
        <v>858</v>
      </c>
      <c r="B734" t="s">
        <v>73</v>
      </c>
      <c r="C734" t="s">
        <v>54</v>
      </c>
      <c r="D734" t="s">
        <v>27</v>
      </c>
      <c r="E734" t="s">
        <v>28</v>
      </c>
      <c r="F734">
        <v>40</v>
      </c>
      <c r="G734" t="s">
        <v>135</v>
      </c>
      <c r="H734" s="17">
        <v>42622</v>
      </c>
      <c r="I734">
        <v>109680</v>
      </c>
      <c r="J734">
        <v>109680</v>
      </c>
      <c r="K734">
        <v>0</v>
      </c>
      <c r="L734" t="s">
        <v>34</v>
      </c>
      <c r="M734" t="s">
        <v>68</v>
      </c>
      <c r="N734" s="17"/>
      <c r="O734">
        <v>0</v>
      </c>
    </row>
    <row r="735" spans="1:15" x14ac:dyDescent="0.3">
      <c r="A735" t="s">
        <v>859</v>
      </c>
      <c r="B735" t="s">
        <v>37</v>
      </c>
      <c r="C735" t="s">
        <v>45</v>
      </c>
      <c r="D735" t="s">
        <v>32</v>
      </c>
      <c r="E735" t="s">
        <v>28</v>
      </c>
      <c r="F735">
        <v>61</v>
      </c>
      <c r="G735" t="s">
        <v>122</v>
      </c>
      <c r="H735" s="17">
        <v>35661</v>
      </c>
      <c r="I735">
        <v>159567</v>
      </c>
      <c r="J735">
        <v>204246</v>
      </c>
      <c r="K735">
        <v>0.28000000000000003</v>
      </c>
      <c r="L735" t="s">
        <v>29</v>
      </c>
      <c r="M735" t="s">
        <v>43</v>
      </c>
      <c r="N735" s="17"/>
      <c r="O735">
        <v>0</v>
      </c>
    </row>
    <row r="736" spans="1:15" x14ac:dyDescent="0.3">
      <c r="A736" t="s">
        <v>860</v>
      </c>
      <c r="B736" t="s">
        <v>80</v>
      </c>
      <c r="C736" t="s">
        <v>54</v>
      </c>
      <c r="D736" t="s">
        <v>39</v>
      </c>
      <c r="E736" t="s">
        <v>33</v>
      </c>
      <c r="F736">
        <v>54</v>
      </c>
      <c r="G736" t="s">
        <v>125</v>
      </c>
      <c r="H736" s="17">
        <v>41237</v>
      </c>
      <c r="I736">
        <v>94407</v>
      </c>
      <c r="J736">
        <v>94407</v>
      </c>
      <c r="K736">
        <v>0</v>
      </c>
      <c r="L736" t="s">
        <v>59</v>
      </c>
      <c r="M736" t="s">
        <v>76</v>
      </c>
      <c r="N736" s="17"/>
      <c r="O736">
        <v>0</v>
      </c>
    </row>
    <row r="737" spans="1:15" x14ac:dyDescent="0.3">
      <c r="A737" t="s">
        <v>861</v>
      </c>
      <c r="B737" t="s">
        <v>56</v>
      </c>
      <c r="C737" t="s">
        <v>52</v>
      </c>
      <c r="D737" t="s">
        <v>46</v>
      </c>
      <c r="E737" t="s">
        <v>33</v>
      </c>
      <c r="F737">
        <v>62</v>
      </c>
      <c r="G737" t="s">
        <v>122</v>
      </c>
      <c r="H737" s="17">
        <v>37484</v>
      </c>
      <c r="I737">
        <v>234594</v>
      </c>
      <c r="J737">
        <v>312010</v>
      </c>
      <c r="K737">
        <v>0.33</v>
      </c>
      <c r="L737" t="s">
        <v>29</v>
      </c>
      <c r="M737" t="s">
        <v>30</v>
      </c>
      <c r="N737" s="17"/>
      <c r="O737">
        <v>0</v>
      </c>
    </row>
    <row r="738" spans="1:15" x14ac:dyDescent="0.3">
      <c r="A738" t="s">
        <v>862</v>
      </c>
      <c r="B738" t="s">
        <v>83</v>
      </c>
      <c r="C738" t="s">
        <v>26</v>
      </c>
      <c r="D738" t="s">
        <v>39</v>
      </c>
      <c r="E738" t="s">
        <v>33</v>
      </c>
      <c r="F738">
        <v>48</v>
      </c>
      <c r="G738" t="s">
        <v>125</v>
      </c>
      <c r="H738" s="17">
        <v>37298</v>
      </c>
      <c r="I738">
        <v>43080</v>
      </c>
      <c r="J738">
        <v>43080</v>
      </c>
      <c r="K738">
        <v>0</v>
      </c>
      <c r="L738" t="s">
        <v>29</v>
      </c>
      <c r="M738" t="s">
        <v>51</v>
      </c>
      <c r="N738" s="17"/>
      <c r="O738">
        <v>0</v>
      </c>
    </row>
    <row r="739" spans="1:15" x14ac:dyDescent="0.3">
      <c r="A739" t="s">
        <v>863</v>
      </c>
      <c r="B739" t="s">
        <v>47</v>
      </c>
      <c r="C739" t="s">
        <v>57</v>
      </c>
      <c r="D739" t="s">
        <v>32</v>
      </c>
      <c r="E739" t="s">
        <v>28</v>
      </c>
      <c r="F739">
        <v>29</v>
      </c>
      <c r="G739" t="s">
        <v>127</v>
      </c>
      <c r="H739" s="17">
        <v>44325</v>
      </c>
      <c r="I739">
        <v>129541</v>
      </c>
      <c r="J739">
        <v>139904</v>
      </c>
      <c r="K739">
        <v>0.08</v>
      </c>
      <c r="L739" t="s">
        <v>29</v>
      </c>
      <c r="M739" t="s">
        <v>43</v>
      </c>
      <c r="N739" s="17">
        <v>44340</v>
      </c>
      <c r="O739">
        <v>1</v>
      </c>
    </row>
    <row r="740" spans="1:15" x14ac:dyDescent="0.3">
      <c r="A740" t="s">
        <v>864</v>
      </c>
      <c r="B740" t="s">
        <v>37</v>
      </c>
      <c r="C740" t="s">
        <v>45</v>
      </c>
      <c r="D740" t="s">
        <v>27</v>
      </c>
      <c r="E740" t="s">
        <v>33</v>
      </c>
      <c r="F740">
        <v>39</v>
      </c>
      <c r="G740" t="s">
        <v>135</v>
      </c>
      <c r="H740" s="17">
        <v>41635</v>
      </c>
      <c r="I740">
        <v>165756</v>
      </c>
      <c r="J740">
        <v>212168</v>
      </c>
      <c r="K740">
        <v>0.28000000000000003</v>
      </c>
      <c r="L740" t="s">
        <v>29</v>
      </c>
      <c r="M740" t="s">
        <v>58</v>
      </c>
      <c r="N740" s="17">
        <v>43991</v>
      </c>
      <c r="O740">
        <v>1</v>
      </c>
    </row>
    <row r="741" spans="1:15" x14ac:dyDescent="0.3">
      <c r="A741" t="s">
        <v>865</v>
      </c>
      <c r="B741" t="s">
        <v>25</v>
      </c>
      <c r="C741" t="s">
        <v>38</v>
      </c>
      <c r="D741" t="s">
        <v>39</v>
      </c>
      <c r="E741" t="s">
        <v>33</v>
      </c>
      <c r="F741">
        <v>44</v>
      </c>
      <c r="G741" t="s">
        <v>135</v>
      </c>
      <c r="H741" s="17">
        <v>40274</v>
      </c>
      <c r="I741">
        <v>142878</v>
      </c>
      <c r="J741">
        <v>160023</v>
      </c>
      <c r="K741">
        <v>0.12</v>
      </c>
      <c r="L741" t="s">
        <v>29</v>
      </c>
      <c r="M741" t="s">
        <v>58</v>
      </c>
      <c r="N741" s="17"/>
      <c r="O741">
        <v>0</v>
      </c>
    </row>
    <row r="742" spans="1:15" x14ac:dyDescent="0.3">
      <c r="A742" t="s">
        <v>866</v>
      </c>
      <c r="B742" t="s">
        <v>37</v>
      </c>
      <c r="C742" t="s">
        <v>54</v>
      </c>
      <c r="D742" t="s">
        <v>32</v>
      </c>
      <c r="E742" t="s">
        <v>33</v>
      </c>
      <c r="F742">
        <v>52</v>
      </c>
      <c r="G742" t="s">
        <v>125</v>
      </c>
      <c r="H742" s="17">
        <v>39018</v>
      </c>
      <c r="I742">
        <v>187992</v>
      </c>
      <c r="J742">
        <v>240630</v>
      </c>
      <c r="K742">
        <v>0.28000000000000003</v>
      </c>
      <c r="L742" t="s">
        <v>29</v>
      </c>
      <c r="M742" t="s">
        <v>49</v>
      </c>
      <c r="N742" s="17"/>
      <c r="O742">
        <v>0</v>
      </c>
    </row>
    <row r="743" spans="1:15" x14ac:dyDescent="0.3">
      <c r="A743" t="s">
        <v>867</v>
      </c>
      <c r="B743" t="s">
        <v>56</v>
      </c>
      <c r="C743" t="s">
        <v>52</v>
      </c>
      <c r="D743" t="s">
        <v>39</v>
      </c>
      <c r="E743" t="s">
        <v>28</v>
      </c>
      <c r="F743">
        <v>45</v>
      </c>
      <c r="G743" t="s">
        <v>125</v>
      </c>
      <c r="H743" s="17">
        <v>43521</v>
      </c>
      <c r="I743">
        <v>249801</v>
      </c>
      <c r="J743">
        <v>347223</v>
      </c>
      <c r="K743">
        <v>0.39</v>
      </c>
      <c r="L743" t="s">
        <v>59</v>
      </c>
      <c r="M743" t="s">
        <v>76</v>
      </c>
      <c r="N743" s="17"/>
      <c r="O743">
        <v>0</v>
      </c>
    </row>
    <row r="744" spans="1:15" x14ac:dyDescent="0.3">
      <c r="A744" t="s">
        <v>868</v>
      </c>
      <c r="B744" t="s">
        <v>87</v>
      </c>
      <c r="C744" t="s">
        <v>26</v>
      </c>
      <c r="D744" t="s">
        <v>27</v>
      </c>
      <c r="E744" t="s">
        <v>33</v>
      </c>
      <c r="F744">
        <v>48</v>
      </c>
      <c r="G744" t="s">
        <v>125</v>
      </c>
      <c r="H744" s="17">
        <v>38987</v>
      </c>
      <c r="I744">
        <v>76505</v>
      </c>
      <c r="J744">
        <v>76505</v>
      </c>
      <c r="K744">
        <v>0</v>
      </c>
      <c r="L744" t="s">
        <v>29</v>
      </c>
      <c r="M744" t="s">
        <v>30</v>
      </c>
      <c r="N744" s="17">
        <v>39180</v>
      </c>
      <c r="O744">
        <v>1</v>
      </c>
    </row>
    <row r="745" spans="1:15" x14ac:dyDescent="0.3">
      <c r="A745" t="s">
        <v>869</v>
      </c>
      <c r="B745" t="s">
        <v>86</v>
      </c>
      <c r="C745" t="s">
        <v>26</v>
      </c>
      <c r="D745" t="s">
        <v>46</v>
      </c>
      <c r="E745" t="s">
        <v>33</v>
      </c>
      <c r="F745">
        <v>39</v>
      </c>
      <c r="G745" t="s">
        <v>135</v>
      </c>
      <c r="H745" s="17">
        <v>42664</v>
      </c>
      <c r="I745">
        <v>84297</v>
      </c>
      <c r="J745">
        <v>84297</v>
      </c>
      <c r="K745">
        <v>0</v>
      </c>
      <c r="L745" t="s">
        <v>59</v>
      </c>
      <c r="M745" t="s">
        <v>60</v>
      </c>
      <c r="N745" s="17"/>
      <c r="O745">
        <v>0</v>
      </c>
    </row>
    <row r="746" spans="1:15" x14ac:dyDescent="0.3">
      <c r="A746" t="s">
        <v>870</v>
      </c>
      <c r="B746" t="s">
        <v>42</v>
      </c>
      <c r="C746" t="s">
        <v>45</v>
      </c>
      <c r="D746" t="s">
        <v>39</v>
      </c>
      <c r="E746" t="s">
        <v>28</v>
      </c>
      <c r="F746">
        <v>53</v>
      </c>
      <c r="G746" t="s">
        <v>125</v>
      </c>
      <c r="H746" s="17">
        <v>42744</v>
      </c>
      <c r="I746">
        <v>75769</v>
      </c>
      <c r="J746">
        <v>75769</v>
      </c>
      <c r="K746">
        <v>0</v>
      </c>
      <c r="L746" t="s">
        <v>59</v>
      </c>
      <c r="M746" t="s">
        <v>60</v>
      </c>
      <c r="N746" s="17">
        <v>44029</v>
      </c>
      <c r="O746">
        <v>1</v>
      </c>
    </row>
    <row r="747" spans="1:15" x14ac:dyDescent="0.3">
      <c r="A747" t="s">
        <v>871</v>
      </c>
      <c r="B747" t="s">
        <v>56</v>
      </c>
      <c r="C747" t="s">
        <v>50</v>
      </c>
      <c r="D747" t="s">
        <v>39</v>
      </c>
      <c r="E747" t="s">
        <v>33</v>
      </c>
      <c r="F747">
        <v>41</v>
      </c>
      <c r="G747" t="s">
        <v>135</v>
      </c>
      <c r="H747" s="17">
        <v>41503</v>
      </c>
      <c r="I747">
        <v>235619</v>
      </c>
      <c r="J747">
        <v>306305</v>
      </c>
      <c r="K747">
        <v>0.3</v>
      </c>
      <c r="L747" t="s">
        <v>29</v>
      </c>
      <c r="M747" t="s">
        <v>30</v>
      </c>
      <c r="N747" s="17"/>
      <c r="O747">
        <v>0</v>
      </c>
    </row>
    <row r="748" spans="1:15" x14ac:dyDescent="0.3">
      <c r="A748" t="s">
        <v>872</v>
      </c>
      <c r="B748" t="s">
        <v>37</v>
      </c>
      <c r="C748" t="s">
        <v>54</v>
      </c>
      <c r="D748" t="s">
        <v>39</v>
      </c>
      <c r="E748" t="s">
        <v>33</v>
      </c>
      <c r="F748">
        <v>40</v>
      </c>
      <c r="G748" t="s">
        <v>135</v>
      </c>
      <c r="H748" s="17">
        <v>43868</v>
      </c>
      <c r="I748">
        <v>187187</v>
      </c>
      <c r="J748">
        <v>220881</v>
      </c>
      <c r="K748">
        <v>0.18</v>
      </c>
      <c r="L748" t="s">
        <v>59</v>
      </c>
      <c r="M748" t="s">
        <v>60</v>
      </c>
      <c r="N748" s="17"/>
      <c r="O748">
        <v>0</v>
      </c>
    </row>
    <row r="749" spans="1:15" x14ac:dyDescent="0.3">
      <c r="A749" t="s">
        <v>873</v>
      </c>
      <c r="B749" t="s">
        <v>79</v>
      </c>
      <c r="C749" t="s">
        <v>26</v>
      </c>
      <c r="D749" t="s">
        <v>27</v>
      </c>
      <c r="E749" t="s">
        <v>33</v>
      </c>
      <c r="F749">
        <v>48</v>
      </c>
      <c r="G749" t="s">
        <v>125</v>
      </c>
      <c r="H749" s="17">
        <v>38560</v>
      </c>
      <c r="I749">
        <v>68987</v>
      </c>
      <c r="J749">
        <v>68987</v>
      </c>
      <c r="K749">
        <v>0</v>
      </c>
      <c r="L749" t="s">
        <v>29</v>
      </c>
      <c r="M749" t="s">
        <v>40</v>
      </c>
      <c r="N749" s="17">
        <v>38829</v>
      </c>
      <c r="O749">
        <v>1</v>
      </c>
    </row>
    <row r="750" spans="1:15" x14ac:dyDescent="0.3">
      <c r="A750" t="s">
        <v>874</v>
      </c>
      <c r="B750" t="s">
        <v>37</v>
      </c>
      <c r="C750" t="s">
        <v>54</v>
      </c>
      <c r="D750" t="s">
        <v>39</v>
      </c>
      <c r="E750" t="s">
        <v>33</v>
      </c>
      <c r="F750">
        <v>41</v>
      </c>
      <c r="G750" t="s">
        <v>135</v>
      </c>
      <c r="H750" s="17">
        <v>39156</v>
      </c>
      <c r="I750">
        <v>155926</v>
      </c>
      <c r="J750">
        <v>193348</v>
      </c>
      <c r="K750">
        <v>0.24</v>
      </c>
      <c r="L750" t="s">
        <v>29</v>
      </c>
      <c r="M750" t="s">
        <v>58</v>
      </c>
      <c r="N750" s="17">
        <v>39598</v>
      </c>
      <c r="O750">
        <v>1</v>
      </c>
    </row>
    <row r="751" spans="1:15" x14ac:dyDescent="0.3">
      <c r="A751" t="s">
        <v>875</v>
      </c>
      <c r="B751" t="s">
        <v>42</v>
      </c>
      <c r="C751" t="s">
        <v>50</v>
      </c>
      <c r="D751" t="s">
        <v>39</v>
      </c>
      <c r="E751" t="s">
        <v>33</v>
      </c>
      <c r="F751">
        <v>54</v>
      </c>
      <c r="G751" t="s">
        <v>125</v>
      </c>
      <c r="H751" s="17">
        <v>42494</v>
      </c>
      <c r="I751">
        <v>93668</v>
      </c>
      <c r="J751">
        <v>93668</v>
      </c>
      <c r="K751">
        <v>0</v>
      </c>
      <c r="L751" t="s">
        <v>29</v>
      </c>
      <c r="M751" t="s">
        <v>40</v>
      </c>
      <c r="N751" s="17"/>
      <c r="O751">
        <v>0</v>
      </c>
    </row>
    <row r="752" spans="1:15" x14ac:dyDescent="0.3">
      <c r="A752" t="s">
        <v>876</v>
      </c>
      <c r="B752" t="s">
        <v>70</v>
      </c>
      <c r="C752" t="s">
        <v>52</v>
      </c>
      <c r="D752" t="s">
        <v>27</v>
      </c>
      <c r="E752" t="s">
        <v>33</v>
      </c>
      <c r="F752">
        <v>38</v>
      </c>
      <c r="G752" t="s">
        <v>135</v>
      </c>
      <c r="H752" s="17">
        <v>43798</v>
      </c>
      <c r="I752">
        <v>69647</v>
      </c>
      <c r="J752">
        <v>69647</v>
      </c>
      <c r="K752">
        <v>0</v>
      </c>
      <c r="L752" t="s">
        <v>29</v>
      </c>
      <c r="M752" t="s">
        <v>49</v>
      </c>
      <c r="N752" s="17">
        <v>44671</v>
      </c>
      <c r="O752">
        <v>1</v>
      </c>
    </row>
    <row r="753" spans="1:15" x14ac:dyDescent="0.3">
      <c r="A753" t="s">
        <v>877</v>
      </c>
      <c r="B753" t="s">
        <v>82</v>
      </c>
      <c r="C753" t="s">
        <v>26</v>
      </c>
      <c r="D753" t="s">
        <v>46</v>
      </c>
      <c r="E753" t="s">
        <v>33</v>
      </c>
      <c r="F753">
        <v>57</v>
      </c>
      <c r="G753" t="s">
        <v>122</v>
      </c>
      <c r="H753" s="17">
        <v>37798</v>
      </c>
      <c r="I753">
        <v>63318</v>
      </c>
      <c r="J753">
        <v>63318</v>
      </c>
      <c r="K753">
        <v>0</v>
      </c>
      <c r="L753" t="s">
        <v>29</v>
      </c>
      <c r="M753" t="s">
        <v>58</v>
      </c>
      <c r="N753" s="17"/>
      <c r="O753">
        <v>0</v>
      </c>
    </row>
    <row r="754" spans="1:15" x14ac:dyDescent="0.3">
      <c r="A754" t="s">
        <v>878</v>
      </c>
      <c r="B754" t="s">
        <v>42</v>
      </c>
      <c r="C754" t="s">
        <v>57</v>
      </c>
      <c r="D754" t="s">
        <v>32</v>
      </c>
      <c r="E754" t="s">
        <v>33</v>
      </c>
      <c r="F754">
        <v>63</v>
      </c>
      <c r="G754" t="s">
        <v>122</v>
      </c>
      <c r="H754" s="17">
        <v>42778</v>
      </c>
      <c r="I754">
        <v>77629</v>
      </c>
      <c r="J754">
        <v>77629</v>
      </c>
      <c r="K754">
        <v>0</v>
      </c>
      <c r="L754" t="s">
        <v>34</v>
      </c>
      <c r="M754" t="s">
        <v>64</v>
      </c>
      <c r="N754" s="17"/>
      <c r="O754">
        <v>0</v>
      </c>
    </row>
    <row r="755" spans="1:15" x14ac:dyDescent="0.3">
      <c r="A755" t="s">
        <v>879</v>
      </c>
      <c r="B755" t="s">
        <v>25</v>
      </c>
      <c r="C755" t="s">
        <v>52</v>
      </c>
      <c r="D755" t="s">
        <v>32</v>
      </c>
      <c r="E755" t="s">
        <v>33</v>
      </c>
      <c r="F755">
        <v>62</v>
      </c>
      <c r="G755" t="s">
        <v>122</v>
      </c>
      <c r="H755" s="17">
        <v>43061</v>
      </c>
      <c r="I755">
        <v>138808</v>
      </c>
      <c r="J755">
        <v>159629</v>
      </c>
      <c r="K755">
        <v>0.15</v>
      </c>
      <c r="L755" t="s">
        <v>34</v>
      </c>
      <c r="M755" t="s">
        <v>35</v>
      </c>
      <c r="N755" s="17"/>
      <c r="O755">
        <v>0</v>
      </c>
    </row>
    <row r="756" spans="1:15" x14ac:dyDescent="0.3">
      <c r="A756" t="s">
        <v>880</v>
      </c>
      <c r="B756" t="s">
        <v>67</v>
      </c>
      <c r="C756" t="s">
        <v>26</v>
      </c>
      <c r="D756" t="s">
        <v>27</v>
      </c>
      <c r="E756" t="s">
        <v>28</v>
      </c>
      <c r="F756">
        <v>49</v>
      </c>
      <c r="G756" t="s">
        <v>125</v>
      </c>
      <c r="H756" s="17">
        <v>41703</v>
      </c>
      <c r="I756">
        <v>88777</v>
      </c>
      <c r="J756">
        <v>88777</v>
      </c>
      <c r="K756">
        <v>0</v>
      </c>
      <c r="L756" t="s">
        <v>29</v>
      </c>
      <c r="M756" t="s">
        <v>40</v>
      </c>
      <c r="N756" s="17"/>
      <c r="O756">
        <v>0</v>
      </c>
    </row>
    <row r="757" spans="1:15" x14ac:dyDescent="0.3">
      <c r="A757" t="s">
        <v>881</v>
      </c>
      <c r="B757" t="s">
        <v>37</v>
      </c>
      <c r="C757" t="s">
        <v>50</v>
      </c>
      <c r="D757" t="s">
        <v>46</v>
      </c>
      <c r="E757" t="s">
        <v>28</v>
      </c>
      <c r="F757">
        <v>60</v>
      </c>
      <c r="G757" t="s">
        <v>122</v>
      </c>
      <c r="H757" s="17">
        <v>38121</v>
      </c>
      <c r="I757">
        <v>186378</v>
      </c>
      <c r="J757">
        <v>234836</v>
      </c>
      <c r="K757">
        <v>0.26</v>
      </c>
      <c r="L757" t="s">
        <v>34</v>
      </c>
      <c r="M757" t="s">
        <v>35</v>
      </c>
      <c r="N757" s="17"/>
      <c r="O757">
        <v>0</v>
      </c>
    </row>
    <row r="758" spans="1:15" x14ac:dyDescent="0.3">
      <c r="A758" t="s">
        <v>882</v>
      </c>
      <c r="B758" t="s">
        <v>62</v>
      </c>
      <c r="C758" t="s">
        <v>54</v>
      </c>
      <c r="D758" t="s">
        <v>27</v>
      </c>
      <c r="E758" t="s">
        <v>28</v>
      </c>
      <c r="F758">
        <v>45</v>
      </c>
      <c r="G758" t="s">
        <v>125</v>
      </c>
      <c r="H758" s="17">
        <v>42117</v>
      </c>
      <c r="I758">
        <v>60017</v>
      </c>
      <c r="J758">
        <v>60017</v>
      </c>
      <c r="K758">
        <v>0</v>
      </c>
      <c r="L758" t="s">
        <v>29</v>
      </c>
      <c r="M758" t="s">
        <v>40</v>
      </c>
      <c r="N758" s="17"/>
      <c r="O758">
        <v>0</v>
      </c>
    </row>
    <row r="759" spans="1:15" x14ac:dyDescent="0.3">
      <c r="A759" t="s">
        <v>883</v>
      </c>
      <c r="B759" t="s">
        <v>25</v>
      </c>
      <c r="C759" t="s">
        <v>45</v>
      </c>
      <c r="D759" t="s">
        <v>39</v>
      </c>
      <c r="E759" t="s">
        <v>28</v>
      </c>
      <c r="F759">
        <v>45</v>
      </c>
      <c r="G759" t="s">
        <v>125</v>
      </c>
      <c r="H759" s="17">
        <v>43305</v>
      </c>
      <c r="I759">
        <v>148991</v>
      </c>
      <c r="J759">
        <v>166870</v>
      </c>
      <c r="K759">
        <v>0.12</v>
      </c>
      <c r="L759" t="s">
        <v>59</v>
      </c>
      <c r="M759" t="s">
        <v>76</v>
      </c>
      <c r="N759" s="17"/>
      <c r="O759">
        <v>0</v>
      </c>
    </row>
    <row r="760" spans="1:15" x14ac:dyDescent="0.3">
      <c r="A760" t="s">
        <v>884</v>
      </c>
      <c r="B760" t="s">
        <v>71</v>
      </c>
      <c r="C760" t="s">
        <v>54</v>
      </c>
      <c r="D760" t="s">
        <v>39</v>
      </c>
      <c r="E760" t="s">
        <v>28</v>
      </c>
      <c r="F760">
        <v>52</v>
      </c>
      <c r="G760" t="s">
        <v>125</v>
      </c>
      <c r="H760" s="17">
        <v>39532</v>
      </c>
      <c r="I760">
        <v>97398</v>
      </c>
      <c r="J760">
        <v>97398</v>
      </c>
      <c r="K760">
        <v>0</v>
      </c>
      <c r="L760" t="s">
        <v>59</v>
      </c>
      <c r="M760" t="s">
        <v>60</v>
      </c>
      <c r="N760" s="17"/>
      <c r="O760">
        <v>0</v>
      </c>
    </row>
    <row r="761" spans="1:15" x14ac:dyDescent="0.3">
      <c r="A761" t="s">
        <v>885</v>
      </c>
      <c r="B761" t="s">
        <v>69</v>
      </c>
      <c r="C761" t="s">
        <v>52</v>
      </c>
      <c r="D761" t="s">
        <v>32</v>
      </c>
      <c r="E761" t="s">
        <v>28</v>
      </c>
      <c r="F761">
        <v>63</v>
      </c>
      <c r="G761" t="s">
        <v>122</v>
      </c>
      <c r="H761" s="17">
        <v>39204</v>
      </c>
      <c r="I761">
        <v>72805</v>
      </c>
      <c r="J761">
        <v>72805</v>
      </c>
      <c r="K761">
        <v>0</v>
      </c>
      <c r="L761" t="s">
        <v>34</v>
      </c>
      <c r="M761" t="s">
        <v>55</v>
      </c>
      <c r="N761" s="17"/>
      <c r="O761">
        <v>0</v>
      </c>
    </row>
    <row r="762" spans="1:15" x14ac:dyDescent="0.3">
      <c r="A762" t="s">
        <v>886</v>
      </c>
      <c r="B762" t="s">
        <v>81</v>
      </c>
      <c r="C762" t="s">
        <v>45</v>
      </c>
      <c r="D762" t="s">
        <v>27</v>
      </c>
      <c r="E762" t="s">
        <v>28</v>
      </c>
      <c r="F762">
        <v>46</v>
      </c>
      <c r="G762" t="s">
        <v>125</v>
      </c>
      <c r="H762" s="17">
        <v>44213</v>
      </c>
      <c r="I762">
        <v>72131</v>
      </c>
      <c r="J762">
        <v>72131</v>
      </c>
      <c r="K762">
        <v>0</v>
      </c>
      <c r="L762" t="s">
        <v>34</v>
      </c>
      <c r="M762" t="s">
        <v>55</v>
      </c>
      <c r="N762" s="17"/>
      <c r="O762">
        <v>0</v>
      </c>
    </row>
    <row r="763" spans="1:15" x14ac:dyDescent="0.3">
      <c r="A763" t="s">
        <v>887</v>
      </c>
      <c r="B763" t="s">
        <v>47</v>
      </c>
      <c r="C763" t="s">
        <v>52</v>
      </c>
      <c r="D763" t="s">
        <v>32</v>
      </c>
      <c r="E763" t="s">
        <v>33</v>
      </c>
      <c r="F763">
        <v>64</v>
      </c>
      <c r="G763" t="s">
        <v>122</v>
      </c>
      <c r="H763" s="17">
        <v>33964</v>
      </c>
      <c r="I763">
        <v>104668</v>
      </c>
      <c r="J763">
        <v>113041</v>
      </c>
      <c r="K763">
        <v>0.08</v>
      </c>
      <c r="L763" t="s">
        <v>29</v>
      </c>
      <c r="M763" t="s">
        <v>58</v>
      </c>
      <c r="N763" s="17"/>
      <c r="O763">
        <v>0</v>
      </c>
    </row>
    <row r="764" spans="1:15" x14ac:dyDescent="0.3">
      <c r="A764" t="s">
        <v>888</v>
      </c>
      <c r="B764" t="s">
        <v>42</v>
      </c>
      <c r="C764" t="s">
        <v>45</v>
      </c>
      <c r="D764" t="s">
        <v>32</v>
      </c>
      <c r="E764" t="s">
        <v>28</v>
      </c>
      <c r="F764">
        <v>53</v>
      </c>
      <c r="G764" t="s">
        <v>125</v>
      </c>
      <c r="H764" s="17">
        <v>42952</v>
      </c>
      <c r="I764">
        <v>89769</v>
      </c>
      <c r="J764">
        <v>89769</v>
      </c>
      <c r="K764">
        <v>0</v>
      </c>
      <c r="L764" t="s">
        <v>29</v>
      </c>
      <c r="M764" t="s">
        <v>30</v>
      </c>
      <c r="N764" s="17"/>
      <c r="O764">
        <v>0</v>
      </c>
    </row>
    <row r="765" spans="1:15" x14ac:dyDescent="0.3">
      <c r="A765" t="s">
        <v>889</v>
      </c>
      <c r="B765" t="s">
        <v>47</v>
      </c>
      <c r="C765" t="s">
        <v>45</v>
      </c>
      <c r="D765" t="s">
        <v>46</v>
      </c>
      <c r="E765" t="s">
        <v>28</v>
      </c>
      <c r="F765">
        <v>27</v>
      </c>
      <c r="G765" t="s">
        <v>127</v>
      </c>
      <c r="H765" s="17">
        <v>43358</v>
      </c>
      <c r="I765">
        <v>127616</v>
      </c>
      <c r="J765">
        <v>136549</v>
      </c>
      <c r="K765">
        <v>7.0000000000000007E-2</v>
      </c>
      <c r="L765" t="s">
        <v>29</v>
      </c>
      <c r="M765" t="s">
        <v>58</v>
      </c>
      <c r="N765" s="17"/>
      <c r="O765">
        <v>0</v>
      </c>
    </row>
    <row r="766" spans="1:15" x14ac:dyDescent="0.3">
      <c r="A766" t="s">
        <v>890</v>
      </c>
      <c r="B766" t="s">
        <v>47</v>
      </c>
      <c r="C766" t="s">
        <v>52</v>
      </c>
      <c r="D766" t="s">
        <v>46</v>
      </c>
      <c r="E766" t="s">
        <v>33</v>
      </c>
      <c r="F766">
        <v>45</v>
      </c>
      <c r="G766" t="s">
        <v>125</v>
      </c>
      <c r="H766" s="17">
        <v>41099</v>
      </c>
      <c r="I766">
        <v>109883</v>
      </c>
      <c r="J766">
        <v>117575</v>
      </c>
      <c r="K766">
        <v>7.0000000000000007E-2</v>
      </c>
      <c r="L766" t="s">
        <v>29</v>
      </c>
      <c r="M766" t="s">
        <v>58</v>
      </c>
      <c r="N766" s="17"/>
      <c r="O766">
        <v>0</v>
      </c>
    </row>
    <row r="767" spans="1:15" x14ac:dyDescent="0.3">
      <c r="A767" t="s">
        <v>891</v>
      </c>
      <c r="B767" t="s">
        <v>74</v>
      </c>
      <c r="C767" t="s">
        <v>52</v>
      </c>
      <c r="D767" t="s">
        <v>32</v>
      </c>
      <c r="E767" t="s">
        <v>28</v>
      </c>
      <c r="F767">
        <v>25</v>
      </c>
      <c r="G767" t="s">
        <v>127</v>
      </c>
      <c r="H767" s="17">
        <v>44270</v>
      </c>
      <c r="I767">
        <v>47974</v>
      </c>
      <c r="J767">
        <v>47974</v>
      </c>
      <c r="K767">
        <v>0</v>
      </c>
      <c r="L767" t="s">
        <v>34</v>
      </c>
      <c r="M767" t="s">
        <v>35</v>
      </c>
      <c r="N767" s="17"/>
      <c r="O767">
        <v>0</v>
      </c>
    </row>
    <row r="768" spans="1:15" x14ac:dyDescent="0.3">
      <c r="A768" t="s">
        <v>892</v>
      </c>
      <c r="B768" t="s">
        <v>25</v>
      </c>
      <c r="C768" t="s">
        <v>26</v>
      </c>
      <c r="D768" t="s">
        <v>39</v>
      </c>
      <c r="E768" t="s">
        <v>28</v>
      </c>
      <c r="F768">
        <v>43</v>
      </c>
      <c r="G768" t="s">
        <v>135</v>
      </c>
      <c r="H768" s="17">
        <v>42090</v>
      </c>
      <c r="I768">
        <v>120321</v>
      </c>
      <c r="J768">
        <v>134760</v>
      </c>
      <c r="K768">
        <v>0.12</v>
      </c>
      <c r="L768" t="s">
        <v>29</v>
      </c>
      <c r="M768" t="s">
        <v>51</v>
      </c>
      <c r="N768" s="17"/>
      <c r="O768">
        <v>0</v>
      </c>
    </row>
    <row r="769" spans="1:15" x14ac:dyDescent="0.3">
      <c r="A769" t="s">
        <v>893</v>
      </c>
      <c r="B769" t="s">
        <v>65</v>
      </c>
      <c r="C769" t="s">
        <v>26</v>
      </c>
      <c r="D769" t="s">
        <v>32</v>
      </c>
      <c r="E769" t="s">
        <v>28</v>
      </c>
      <c r="F769">
        <v>61</v>
      </c>
      <c r="G769" t="s">
        <v>122</v>
      </c>
      <c r="H769" s="17">
        <v>41861</v>
      </c>
      <c r="I769">
        <v>57446</v>
      </c>
      <c r="J769">
        <v>57446</v>
      </c>
      <c r="K769">
        <v>0</v>
      </c>
      <c r="L769" t="s">
        <v>29</v>
      </c>
      <c r="M769" t="s">
        <v>43</v>
      </c>
      <c r="N769" s="17"/>
      <c r="O769">
        <v>0</v>
      </c>
    </row>
    <row r="770" spans="1:15" x14ac:dyDescent="0.3">
      <c r="A770" t="s">
        <v>894</v>
      </c>
      <c r="B770" t="s">
        <v>37</v>
      </c>
      <c r="C770" t="s">
        <v>50</v>
      </c>
      <c r="D770" t="s">
        <v>27</v>
      </c>
      <c r="E770" t="s">
        <v>28</v>
      </c>
      <c r="F770">
        <v>42</v>
      </c>
      <c r="G770" t="s">
        <v>135</v>
      </c>
      <c r="H770" s="17">
        <v>39968</v>
      </c>
      <c r="I770">
        <v>174099</v>
      </c>
      <c r="J770">
        <v>219365</v>
      </c>
      <c r="K770">
        <v>0.26</v>
      </c>
      <c r="L770" t="s">
        <v>29</v>
      </c>
      <c r="M770" t="s">
        <v>51</v>
      </c>
      <c r="N770" s="17"/>
      <c r="O770">
        <v>0</v>
      </c>
    </row>
    <row r="771" spans="1:15" x14ac:dyDescent="0.3">
      <c r="A771" t="s">
        <v>895</v>
      </c>
      <c r="B771" t="s">
        <v>25</v>
      </c>
      <c r="C771" t="s">
        <v>38</v>
      </c>
      <c r="D771" t="s">
        <v>32</v>
      </c>
      <c r="E771" t="s">
        <v>33</v>
      </c>
      <c r="F771">
        <v>63</v>
      </c>
      <c r="G771" t="s">
        <v>122</v>
      </c>
      <c r="H771" s="17">
        <v>37295</v>
      </c>
      <c r="I771">
        <v>128703</v>
      </c>
      <c r="J771">
        <v>145434</v>
      </c>
      <c r="K771">
        <v>0.13</v>
      </c>
      <c r="L771" t="s">
        <v>29</v>
      </c>
      <c r="M771" t="s">
        <v>51</v>
      </c>
      <c r="N771" s="17"/>
      <c r="O771">
        <v>0</v>
      </c>
    </row>
    <row r="772" spans="1:15" x14ac:dyDescent="0.3">
      <c r="A772" t="s">
        <v>896</v>
      </c>
      <c r="B772" t="s">
        <v>71</v>
      </c>
      <c r="C772" t="s">
        <v>54</v>
      </c>
      <c r="D772" t="s">
        <v>46</v>
      </c>
      <c r="E772" t="s">
        <v>28</v>
      </c>
      <c r="F772">
        <v>32</v>
      </c>
      <c r="G772" t="s">
        <v>127</v>
      </c>
      <c r="H772" s="17">
        <v>42317</v>
      </c>
      <c r="I772">
        <v>65247</v>
      </c>
      <c r="J772">
        <v>65247</v>
      </c>
      <c r="K772">
        <v>0</v>
      </c>
      <c r="L772" t="s">
        <v>29</v>
      </c>
      <c r="M772" t="s">
        <v>43</v>
      </c>
      <c r="N772" s="17"/>
      <c r="O772">
        <v>0</v>
      </c>
    </row>
    <row r="773" spans="1:15" x14ac:dyDescent="0.3">
      <c r="A773" t="s">
        <v>897</v>
      </c>
      <c r="B773" t="s">
        <v>62</v>
      </c>
      <c r="C773" t="s">
        <v>54</v>
      </c>
      <c r="D773" t="s">
        <v>27</v>
      </c>
      <c r="E773" t="s">
        <v>33</v>
      </c>
      <c r="F773">
        <v>27</v>
      </c>
      <c r="G773" t="s">
        <v>127</v>
      </c>
      <c r="H773" s="17">
        <v>43371</v>
      </c>
      <c r="I773">
        <v>64247</v>
      </c>
      <c r="J773">
        <v>64247</v>
      </c>
      <c r="K773">
        <v>0</v>
      </c>
      <c r="L773" t="s">
        <v>59</v>
      </c>
      <c r="M773" t="s">
        <v>61</v>
      </c>
      <c r="N773" s="17"/>
      <c r="O773">
        <v>0</v>
      </c>
    </row>
    <row r="774" spans="1:15" x14ac:dyDescent="0.3">
      <c r="A774" t="s">
        <v>898</v>
      </c>
      <c r="B774" t="s">
        <v>47</v>
      </c>
      <c r="C774" t="s">
        <v>52</v>
      </c>
      <c r="D774" t="s">
        <v>27</v>
      </c>
      <c r="E774" t="s">
        <v>28</v>
      </c>
      <c r="F774">
        <v>33</v>
      </c>
      <c r="G774" t="s">
        <v>127</v>
      </c>
      <c r="H774" s="17">
        <v>41071</v>
      </c>
      <c r="I774">
        <v>118253</v>
      </c>
      <c r="J774">
        <v>127713</v>
      </c>
      <c r="K774">
        <v>0.08</v>
      </c>
      <c r="L774" t="s">
        <v>29</v>
      </c>
      <c r="M774" t="s">
        <v>51</v>
      </c>
      <c r="N774" s="17"/>
      <c r="O774">
        <v>0</v>
      </c>
    </row>
    <row r="775" spans="1:15" x14ac:dyDescent="0.3">
      <c r="A775" t="s">
        <v>899</v>
      </c>
      <c r="B775" t="s">
        <v>73</v>
      </c>
      <c r="C775" t="s">
        <v>54</v>
      </c>
      <c r="D775" t="s">
        <v>32</v>
      </c>
      <c r="E775" t="s">
        <v>28</v>
      </c>
      <c r="F775">
        <v>45</v>
      </c>
      <c r="G775" t="s">
        <v>125</v>
      </c>
      <c r="H775" s="17">
        <v>38057</v>
      </c>
      <c r="I775">
        <v>109422</v>
      </c>
      <c r="J775">
        <v>109422</v>
      </c>
      <c r="K775">
        <v>0</v>
      </c>
      <c r="L775" t="s">
        <v>34</v>
      </c>
      <c r="M775" t="s">
        <v>35</v>
      </c>
      <c r="N775" s="17"/>
      <c r="O775">
        <v>0</v>
      </c>
    </row>
    <row r="776" spans="1:15" x14ac:dyDescent="0.3">
      <c r="A776" t="s">
        <v>900</v>
      </c>
      <c r="B776" t="s">
        <v>47</v>
      </c>
      <c r="C776" t="s">
        <v>52</v>
      </c>
      <c r="D776" t="s">
        <v>46</v>
      </c>
      <c r="E776" t="s">
        <v>33</v>
      </c>
      <c r="F776">
        <v>41</v>
      </c>
      <c r="G776" t="s">
        <v>135</v>
      </c>
      <c r="H776" s="17">
        <v>43502</v>
      </c>
      <c r="I776">
        <v>126950</v>
      </c>
      <c r="J776">
        <v>139645</v>
      </c>
      <c r="K776">
        <v>0.1</v>
      </c>
      <c r="L776" t="s">
        <v>29</v>
      </c>
      <c r="M776" t="s">
        <v>40</v>
      </c>
      <c r="N776" s="17"/>
      <c r="O776">
        <v>0</v>
      </c>
    </row>
    <row r="777" spans="1:15" x14ac:dyDescent="0.3">
      <c r="A777" t="s">
        <v>901</v>
      </c>
      <c r="B777" t="s">
        <v>67</v>
      </c>
      <c r="C777" t="s">
        <v>26</v>
      </c>
      <c r="D777" t="s">
        <v>32</v>
      </c>
      <c r="E777" t="s">
        <v>28</v>
      </c>
      <c r="F777">
        <v>36</v>
      </c>
      <c r="G777" t="s">
        <v>135</v>
      </c>
      <c r="H777" s="17">
        <v>41964</v>
      </c>
      <c r="I777">
        <v>97500</v>
      </c>
      <c r="J777">
        <v>97500</v>
      </c>
      <c r="K777">
        <v>0</v>
      </c>
      <c r="L777" t="s">
        <v>29</v>
      </c>
      <c r="M777" t="s">
        <v>49</v>
      </c>
      <c r="N777" s="17"/>
      <c r="O777">
        <v>0</v>
      </c>
    </row>
    <row r="778" spans="1:15" x14ac:dyDescent="0.3">
      <c r="A778" t="s">
        <v>902</v>
      </c>
      <c r="B778" t="s">
        <v>65</v>
      </c>
      <c r="C778" t="s">
        <v>26</v>
      </c>
      <c r="D778" t="s">
        <v>32</v>
      </c>
      <c r="E778" t="s">
        <v>33</v>
      </c>
      <c r="F778">
        <v>25</v>
      </c>
      <c r="G778" t="s">
        <v>127</v>
      </c>
      <c r="H778" s="17">
        <v>44213</v>
      </c>
      <c r="I778">
        <v>41844</v>
      </c>
      <c r="J778">
        <v>41844</v>
      </c>
      <c r="K778">
        <v>0</v>
      </c>
      <c r="L778" t="s">
        <v>34</v>
      </c>
      <c r="M778" t="s">
        <v>35</v>
      </c>
      <c r="N778" s="17"/>
      <c r="O778">
        <v>0</v>
      </c>
    </row>
    <row r="779" spans="1:15" x14ac:dyDescent="0.3">
      <c r="A779" t="s">
        <v>903</v>
      </c>
      <c r="B779" t="s">
        <v>66</v>
      </c>
      <c r="C779" t="s">
        <v>50</v>
      </c>
      <c r="D779" t="s">
        <v>27</v>
      </c>
      <c r="E779" t="s">
        <v>33</v>
      </c>
      <c r="F779">
        <v>43</v>
      </c>
      <c r="G779" t="s">
        <v>135</v>
      </c>
      <c r="H779" s="17">
        <v>41680</v>
      </c>
      <c r="I779">
        <v>58875</v>
      </c>
      <c r="J779">
        <v>58875</v>
      </c>
      <c r="K779">
        <v>0</v>
      </c>
      <c r="L779" t="s">
        <v>34</v>
      </c>
      <c r="M779" t="s">
        <v>68</v>
      </c>
      <c r="N779" s="17"/>
      <c r="O779">
        <v>0</v>
      </c>
    </row>
    <row r="780" spans="1:15" x14ac:dyDescent="0.3">
      <c r="A780" t="s">
        <v>904</v>
      </c>
      <c r="B780" t="s">
        <v>44</v>
      </c>
      <c r="C780" t="s">
        <v>45</v>
      </c>
      <c r="D780" t="s">
        <v>32</v>
      </c>
      <c r="E780" t="s">
        <v>28</v>
      </c>
      <c r="F780">
        <v>37</v>
      </c>
      <c r="G780" t="s">
        <v>135</v>
      </c>
      <c r="H780" s="17">
        <v>42318</v>
      </c>
      <c r="I780">
        <v>64204</v>
      </c>
      <c r="J780">
        <v>64204</v>
      </c>
      <c r="K780">
        <v>0</v>
      </c>
      <c r="L780" t="s">
        <v>29</v>
      </c>
      <c r="M780" t="s">
        <v>58</v>
      </c>
      <c r="N780" s="17">
        <v>44306</v>
      </c>
      <c r="O780">
        <v>1</v>
      </c>
    </row>
    <row r="781" spans="1:15" x14ac:dyDescent="0.3">
      <c r="A781" t="s">
        <v>905</v>
      </c>
      <c r="B781" t="s">
        <v>66</v>
      </c>
      <c r="C781" t="s">
        <v>45</v>
      </c>
      <c r="D781" t="s">
        <v>46</v>
      </c>
      <c r="E781" t="s">
        <v>28</v>
      </c>
      <c r="F781">
        <v>42</v>
      </c>
      <c r="G781" t="s">
        <v>135</v>
      </c>
      <c r="H781" s="17">
        <v>40307</v>
      </c>
      <c r="I781">
        <v>67743</v>
      </c>
      <c r="J781">
        <v>67743</v>
      </c>
      <c r="K781">
        <v>0</v>
      </c>
      <c r="L781" t="s">
        <v>34</v>
      </c>
      <c r="M781" t="s">
        <v>64</v>
      </c>
      <c r="N781" s="17">
        <v>41998</v>
      </c>
      <c r="O781">
        <v>1</v>
      </c>
    </row>
    <row r="782" spans="1:15" x14ac:dyDescent="0.3">
      <c r="A782" t="s">
        <v>906</v>
      </c>
      <c r="B782" t="s">
        <v>81</v>
      </c>
      <c r="C782" t="s">
        <v>45</v>
      </c>
      <c r="D782" t="s">
        <v>39</v>
      </c>
      <c r="E782" t="s">
        <v>28</v>
      </c>
      <c r="F782">
        <v>60</v>
      </c>
      <c r="G782" t="s">
        <v>122</v>
      </c>
      <c r="H782" s="17">
        <v>35641</v>
      </c>
      <c r="I782">
        <v>71677</v>
      </c>
      <c r="J782">
        <v>71677</v>
      </c>
      <c r="K782">
        <v>0</v>
      </c>
      <c r="L782" t="s">
        <v>29</v>
      </c>
      <c r="M782" t="s">
        <v>58</v>
      </c>
      <c r="N782" s="17"/>
      <c r="O782">
        <v>0</v>
      </c>
    </row>
    <row r="783" spans="1:15" x14ac:dyDescent="0.3">
      <c r="A783" t="s">
        <v>907</v>
      </c>
      <c r="B783" t="s">
        <v>65</v>
      </c>
      <c r="C783" t="s">
        <v>26</v>
      </c>
      <c r="D783" t="s">
        <v>39</v>
      </c>
      <c r="E783" t="s">
        <v>33</v>
      </c>
      <c r="F783">
        <v>61</v>
      </c>
      <c r="G783" t="s">
        <v>122</v>
      </c>
      <c r="H783" s="17">
        <v>36793</v>
      </c>
      <c r="I783">
        <v>40063</v>
      </c>
      <c r="J783">
        <v>40063</v>
      </c>
      <c r="K783">
        <v>0</v>
      </c>
      <c r="L783" t="s">
        <v>29</v>
      </c>
      <c r="M783" t="s">
        <v>49</v>
      </c>
      <c r="N783" s="17"/>
      <c r="O783">
        <v>0</v>
      </c>
    </row>
    <row r="784" spans="1:15" x14ac:dyDescent="0.3">
      <c r="A784" t="s">
        <v>908</v>
      </c>
      <c r="B784" t="s">
        <v>65</v>
      </c>
      <c r="C784" t="s">
        <v>26</v>
      </c>
      <c r="D784" t="s">
        <v>32</v>
      </c>
      <c r="E784" t="s">
        <v>28</v>
      </c>
      <c r="F784">
        <v>55</v>
      </c>
      <c r="G784" t="s">
        <v>122</v>
      </c>
      <c r="H784" s="17">
        <v>38107</v>
      </c>
      <c r="I784">
        <v>40124</v>
      </c>
      <c r="J784">
        <v>40124</v>
      </c>
      <c r="K784">
        <v>0</v>
      </c>
      <c r="L784" t="s">
        <v>29</v>
      </c>
      <c r="M784" t="s">
        <v>51</v>
      </c>
      <c r="N784" s="17"/>
      <c r="O784">
        <v>0</v>
      </c>
    </row>
    <row r="785" spans="1:15" x14ac:dyDescent="0.3">
      <c r="A785" t="s">
        <v>909</v>
      </c>
      <c r="B785" t="s">
        <v>72</v>
      </c>
      <c r="C785" t="s">
        <v>54</v>
      </c>
      <c r="D785" t="s">
        <v>32</v>
      </c>
      <c r="E785" t="s">
        <v>33</v>
      </c>
      <c r="F785">
        <v>57</v>
      </c>
      <c r="G785" t="s">
        <v>122</v>
      </c>
      <c r="H785" s="17">
        <v>43157</v>
      </c>
      <c r="I785">
        <v>103183</v>
      </c>
      <c r="J785">
        <v>103183</v>
      </c>
      <c r="K785">
        <v>0</v>
      </c>
      <c r="L785" t="s">
        <v>29</v>
      </c>
      <c r="M785" t="s">
        <v>51</v>
      </c>
      <c r="N785" s="17">
        <v>44386</v>
      </c>
      <c r="O785">
        <v>1</v>
      </c>
    </row>
    <row r="786" spans="1:15" x14ac:dyDescent="0.3">
      <c r="A786" t="s">
        <v>910</v>
      </c>
      <c r="B786" t="s">
        <v>82</v>
      </c>
      <c r="C786" t="s">
        <v>26</v>
      </c>
      <c r="D786" t="s">
        <v>46</v>
      </c>
      <c r="E786" t="s">
        <v>33</v>
      </c>
      <c r="F786">
        <v>54</v>
      </c>
      <c r="G786" t="s">
        <v>125</v>
      </c>
      <c r="H786" s="17">
        <v>35961</v>
      </c>
      <c r="I786">
        <v>95239</v>
      </c>
      <c r="J786">
        <v>95239</v>
      </c>
      <c r="K786">
        <v>0</v>
      </c>
      <c r="L786" t="s">
        <v>29</v>
      </c>
      <c r="M786" t="s">
        <v>43</v>
      </c>
      <c r="N786" s="17"/>
      <c r="O786">
        <v>0</v>
      </c>
    </row>
    <row r="787" spans="1:15" x14ac:dyDescent="0.3">
      <c r="A787" t="s">
        <v>911</v>
      </c>
      <c r="B787" t="s">
        <v>80</v>
      </c>
      <c r="C787" t="s">
        <v>54</v>
      </c>
      <c r="D787" t="s">
        <v>32</v>
      </c>
      <c r="E787" t="s">
        <v>28</v>
      </c>
      <c r="F787">
        <v>29</v>
      </c>
      <c r="G787" t="s">
        <v>127</v>
      </c>
      <c r="H787" s="17">
        <v>43778</v>
      </c>
      <c r="I787">
        <v>75012</v>
      </c>
      <c r="J787">
        <v>75012</v>
      </c>
      <c r="K787">
        <v>0</v>
      </c>
      <c r="L787" t="s">
        <v>29</v>
      </c>
      <c r="M787" t="s">
        <v>40</v>
      </c>
      <c r="N787" s="17"/>
      <c r="O787">
        <v>0</v>
      </c>
    </row>
    <row r="788" spans="1:15" x14ac:dyDescent="0.3">
      <c r="A788" t="s">
        <v>912</v>
      </c>
      <c r="B788" t="s">
        <v>78</v>
      </c>
      <c r="C788" t="s">
        <v>26</v>
      </c>
      <c r="D788" t="s">
        <v>32</v>
      </c>
      <c r="E788" t="s">
        <v>28</v>
      </c>
      <c r="F788">
        <v>33</v>
      </c>
      <c r="G788" t="s">
        <v>127</v>
      </c>
      <c r="H788" s="17">
        <v>41819</v>
      </c>
      <c r="I788">
        <v>96366</v>
      </c>
      <c r="J788">
        <v>96366</v>
      </c>
      <c r="K788">
        <v>0</v>
      </c>
      <c r="L788" t="s">
        <v>34</v>
      </c>
      <c r="M788" t="s">
        <v>68</v>
      </c>
      <c r="N788" s="17"/>
      <c r="O788">
        <v>0</v>
      </c>
    </row>
    <row r="789" spans="1:15" x14ac:dyDescent="0.3">
      <c r="A789" t="s">
        <v>913</v>
      </c>
      <c r="B789" t="s">
        <v>48</v>
      </c>
      <c r="C789" t="s">
        <v>57</v>
      </c>
      <c r="D789" t="s">
        <v>46</v>
      </c>
      <c r="E789" t="s">
        <v>28</v>
      </c>
      <c r="F789">
        <v>39</v>
      </c>
      <c r="G789" t="s">
        <v>135</v>
      </c>
      <c r="H789" s="17">
        <v>41849</v>
      </c>
      <c r="I789">
        <v>40897</v>
      </c>
      <c r="J789">
        <v>40897</v>
      </c>
      <c r="K789">
        <v>0</v>
      </c>
      <c r="L789" t="s">
        <v>29</v>
      </c>
      <c r="M789" t="s">
        <v>30</v>
      </c>
      <c r="N789" s="17"/>
      <c r="O789">
        <v>0</v>
      </c>
    </row>
    <row r="790" spans="1:15" x14ac:dyDescent="0.3">
      <c r="A790" t="s">
        <v>914</v>
      </c>
      <c r="B790" t="s">
        <v>47</v>
      </c>
      <c r="C790" t="s">
        <v>38</v>
      </c>
      <c r="D790" t="s">
        <v>27</v>
      </c>
      <c r="E790" t="s">
        <v>28</v>
      </c>
      <c r="F790">
        <v>37</v>
      </c>
      <c r="G790" t="s">
        <v>135</v>
      </c>
      <c r="H790" s="17">
        <v>42605</v>
      </c>
      <c r="I790">
        <v>124928</v>
      </c>
      <c r="J790">
        <v>132424</v>
      </c>
      <c r="K790">
        <v>0.06</v>
      </c>
      <c r="L790" t="s">
        <v>34</v>
      </c>
      <c r="M790" t="s">
        <v>35</v>
      </c>
      <c r="N790" s="17"/>
      <c r="O790">
        <v>0</v>
      </c>
    </row>
    <row r="791" spans="1:15" x14ac:dyDescent="0.3">
      <c r="A791" t="s">
        <v>915</v>
      </c>
      <c r="B791" t="s">
        <v>47</v>
      </c>
      <c r="C791" t="s">
        <v>38</v>
      </c>
      <c r="D791" t="s">
        <v>39</v>
      </c>
      <c r="E791" t="s">
        <v>28</v>
      </c>
      <c r="F791">
        <v>51</v>
      </c>
      <c r="G791" t="s">
        <v>125</v>
      </c>
      <c r="H791" s="17">
        <v>41439</v>
      </c>
      <c r="I791">
        <v>108221</v>
      </c>
      <c r="J791">
        <v>113632</v>
      </c>
      <c r="K791">
        <v>0.05</v>
      </c>
      <c r="L791" t="s">
        <v>59</v>
      </c>
      <c r="M791" t="s">
        <v>60</v>
      </c>
      <c r="N791" s="17"/>
      <c r="O791">
        <v>0</v>
      </c>
    </row>
    <row r="792" spans="1:15" x14ac:dyDescent="0.3">
      <c r="A792" t="s">
        <v>916</v>
      </c>
      <c r="B792" t="s">
        <v>69</v>
      </c>
      <c r="C792" t="s">
        <v>52</v>
      </c>
      <c r="D792" t="s">
        <v>46</v>
      </c>
      <c r="E792" t="s">
        <v>33</v>
      </c>
      <c r="F792">
        <v>46</v>
      </c>
      <c r="G792" t="s">
        <v>125</v>
      </c>
      <c r="H792" s="17">
        <v>39133</v>
      </c>
      <c r="I792">
        <v>75579</v>
      </c>
      <c r="J792">
        <v>75579</v>
      </c>
      <c r="K792">
        <v>0</v>
      </c>
      <c r="L792" t="s">
        <v>29</v>
      </c>
      <c r="M792" t="s">
        <v>30</v>
      </c>
      <c r="N792" s="17"/>
      <c r="O792">
        <v>0</v>
      </c>
    </row>
    <row r="793" spans="1:15" x14ac:dyDescent="0.3">
      <c r="A793" t="s">
        <v>917</v>
      </c>
      <c r="B793" t="s">
        <v>25</v>
      </c>
      <c r="C793" t="s">
        <v>52</v>
      </c>
      <c r="D793" t="s">
        <v>32</v>
      </c>
      <c r="E793" t="s">
        <v>33</v>
      </c>
      <c r="F793">
        <v>41</v>
      </c>
      <c r="G793" t="s">
        <v>135</v>
      </c>
      <c r="H793" s="17">
        <v>42365</v>
      </c>
      <c r="I793">
        <v>129903</v>
      </c>
      <c r="J793">
        <v>146790</v>
      </c>
      <c r="K793">
        <v>0.13</v>
      </c>
      <c r="L793" t="s">
        <v>59</v>
      </c>
      <c r="M793" t="s">
        <v>76</v>
      </c>
      <c r="N793" s="17"/>
      <c r="O793">
        <v>0</v>
      </c>
    </row>
    <row r="794" spans="1:15" x14ac:dyDescent="0.3">
      <c r="A794" t="s">
        <v>918</v>
      </c>
      <c r="B794" t="s">
        <v>37</v>
      </c>
      <c r="C794" t="s">
        <v>38</v>
      </c>
      <c r="D794" t="s">
        <v>27</v>
      </c>
      <c r="E794" t="s">
        <v>28</v>
      </c>
      <c r="F794">
        <v>25</v>
      </c>
      <c r="G794" t="s">
        <v>127</v>
      </c>
      <c r="H794" s="17">
        <v>44303</v>
      </c>
      <c r="I794">
        <v>186870</v>
      </c>
      <c r="J794">
        <v>224244</v>
      </c>
      <c r="K794">
        <v>0.2</v>
      </c>
      <c r="L794" t="s">
        <v>34</v>
      </c>
      <c r="M794" t="s">
        <v>55</v>
      </c>
      <c r="N794" s="17"/>
      <c r="O794">
        <v>0</v>
      </c>
    </row>
    <row r="795" spans="1:15" x14ac:dyDescent="0.3">
      <c r="A795" t="s">
        <v>919</v>
      </c>
      <c r="B795" t="s">
        <v>66</v>
      </c>
      <c r="C795" t="s">
        <v>45</v>
      </c>
      <c r="D795" t="s">
        <v>27</v>
      </c>
      <c r="E795" t="s">
        <v>33</v>
      </c>
      <c r="F795">
        <v>37</v>
      </c>
      <c r="G795" t="s">
        <v>135</v>
      </c>
      <c r="H795" s="17">
        <v>40291</v>
      </c>
      <c r="I795">
        <v>57531</v>
      </c>
      <c r="J795">
        <v>57531</v>
      </c>
      <c r="K795">
        <v>0</v>
      </c>
      <c r="L795" t="s">
        <v>29</v>
      </c>
      <c r="M795" t="s">
        <v>40</v>
      </c>
      <c r="N795" s="17"/>
      <c r="O795">
        <v>0</v>
      </c>
    </row>
    <row r="796" spans="1:15" x14ac:dyDescent="0.3">
      <c r="A796" t="s">
        <v>920</v>
      </c>
      <c r="B796" t="s">
        <v>48</v>
      </c>
      <c r="C796" t="s">
        <v>38</v>
      </c>
      <c r="D796" t="s">
        <v>27</v>
      </c>
      <c r="E796" t="s">
        <v>33</v>
      </c>
      <c r="F796">
        <v>46</v>
      </c>
      <c r="G796" t="s">
        <v>125</v>
      </c>
      <c r="H796" s="17">
        <v>40657</v>
      </c>
      <c r="I796">
        <v>55894</v>
      </c>
      <c r="J796">
        <v>55894</v>
      </c>
      <c r="K796">
        <v>0</v>
      </c>
      <c r="L796" t="s">
        <v>29</v>
      </c>
      <c r="M796" t="s">
        <v>30</v>
      </c>
      <c r="N796" s="17"/>
      <c r="O796">
        <v>0</v>
      </c>
    </row>
    <row r="797" spans="1:15" x14ac:dyDescent="0.3">
      <c r="A797" t="s">
        <v>921</v>
      </c>
      <c r="B797" t="s">
        <v>71</v>
      </c>
      <c r="C797" t="s">
        <v>54</v>
      </c>
      <c r="D797" t="s">
        <v>32</v>
      </c>
      <c r="E797" t="s">
        <v>28</v>
      </c>
      <c r="F797">
        <v>42</v>
      </c>
      <c r="G797" t="s">
        <v>135</v>
      </c>
      <c r="H797" s="17">
        <v>41026</v>
      </c>
      <c r="I797">
        <v>72903</v>
      </c>
      <c r="J797">
        <v>72903</v>
      </c>
      <c r="K797">
        <v>0</v>
      </c>
      <c r="L797" t="s">
        <v>29</v>
      </c>
      <c r="M797" t="s">
        <v>43</v>
      </c>
      <c r="N797" s="17"/>
      <c r="O797">
        <v>0</v>
      </c>
    </row>
    <row r="798" spans="1:15" x14ac:dyDescent="0.3">
      <c r="A798" t="s">
        <v>922</v>
      </c>
      <c r="B798" t="s">
        <v>48</v>
      </c>
      <c r="C798" t="s">
        <v>38</v>
      </c>
      <c r="D798" t="s">
        <v>46</v>
      </c>
      <c r="E798" t="s">
        <v>33</v>
      </c>
      <c r="F798">
        <v>37</v>
      </c>
      <c r="G798" t="s">
        <v>135</v>
      </c>
      <c r="H798" s="17">
        <v>42317</v>
      </c>
      <c r="I798">
        <v>45369</v>
      </c>
      <c r="J798">
        <v>45369</v>
      </c>
      <c r="K798">
        <v>0</v>
      </c>
      <c r="L798" t="s">
        <v>34</v>
      </c>
      <c r="M798" t="s">
        <v>64</v>
      </c>
      <c r="N798" s="17"/>
      <c r="O798">
        <v>0</v>
      </c>
    </row>
    <row r="799" spans="1:15" x14ac:dyDescent="0.3">
      <c r="A799" t="s">
        <v>923</v>
      </c>
      <c r="B799" t="s">
        <v>47</v>
      </c>
      <c r="C799" t="s">
        <v>38</v>
      </c>
      <c r="D799" t="s">
        <v>39</v>
      </c>
      <c r="E799" t="s">
        <v>33</v>
      </c>
      <c r="F799">
        <v>60</v>
      </c>
      <c r="G799" t="s">
        <v>122</v>
      </c>
      <c r="H799" s="17">
        <v>40344</v>
      </c>
      <c r="I799">
        <v>106578</v>
      </c>
      <c r="J799">
        <v>116170</v>
      </c>
      <c r="K799">
        <v>0.09</v>
      </c>
      <c r="L799" t="s">
        <v>29</v>
      </c>
      <c r="M799" t="s">
        <v>49</v>
      </c>
      <c r="N799" s="17"/>
      <c r="O799">
        <v>0</v>
      </c>
    </row>
    <row r="800" spans="1:15" x14ac:dyDescent="0.3">
      <c r="A800" t="s">
        <v>924</v>
      </c>
      <c r="B800" t="s">
        <v>69</v>
      </c>
      <c r="C800" t="s">
        <v>52</v>
      </c>
      <c r="D800" t="s">
        <v>27</v>
      </c>
      <c r="E800" t="s">
        <v>28</v>
      </c>
      <c r="F800">
        <v>52</v>
      </c>
      <c r="G800" t="s">
        <v>125</v>
      </c>
      <c r="H800" s="17">
        <v>36416</v>
      </c>
      <c r="I800">
        <v>92994</v>
      </c>
      <c r="J800">
        <v>92994</v>
      </c>
      <c r="K800">
        <v>0</v>
      </c>
      <c r="L800" t="s">
        <v>29</v>
      </c>
      <c r="M800" t="s">
        <v>40</v>
      </c>
      <c r="N800" s="17"/>
      <c r="O800">
        <v>0</v>
      </c>
    </row>
    <row r="801" spans="1:15" x14ac:dyDescent="0.3">
      <c r="A801" t="s">
        <v>925</v>
      </c>
      <c r="B801" t="s">
        <v>42</v>
      </c>
      <c r="C801" t="s">
        <v>45</v>
      </c>
      <c r="D801" t="s">
        <v>39</v>
      </c>
      <c r="E801" t="s">
        <v>33</v>
      </c>
      <c r="F801">
        <v>59</v>
      </c>
      <c r="G801" t="s">
        <v>122</v>
      </c>
      <c r="H801" s="17">
        <v>35502</v>
      </c>
      <c r="I801">
        <v>83685</v>
      </c>
      <c r="J801">
        <v>83685</v>
      </c>
      <c r="K801">
        <v>0</v>
      </c>
      <c r="L801" t="s">
        <v>34</v>
      </c>
      <c r="M801" t="s">
        <v>64</v>
      </c>
      <c r="N801" s="17"/>
      <c r="O801">
        <v>0</v>
      </c>
    </row>
    <row r="802" spans="1:15" x14ac:dyDescent="0.3">
      <c r="A802" t="s">
        <v>926</v>
      </c>
      <c r="B802" t="s">
        <v>75</v>
      </c>
      <c r="C802" t="s">
        <v>26</v>
      </c>
      <c r="D802" t="s">
        <v>27</v>
      </c>
      <c r="E802" t="s">
        <v>33</v>
      </c>
      <c r="F802">
        <v>48</v>
      </c>
      <c r="G802" t="s">
        <v>125</v>
      </c>
      <c r="H802" s="17">
        <v>40435</v>
      </c>
      <c r="I802">
        <v>99335</v>
      </c>
      <c r="J802">
        <v>99335</v>
      </c>
      <c r="K802">
        <v>0</v>
      </c>
      <c r="L802" t="s">
        <v>29</v>
      </c>
      <c r="M802" t="s">
        <v>43</v>
      </c>
      <c r="N802" s="17"/>
      <c r="O802">
        <v>0</v>
      </c>
    </row>
    <row r="803" spans="1:15" x14ac:dyDescent="0.3">
      <c r="A803" t="s">
        <v>927</v>
      </c>
      <c r="B803" t="s">
        <v>25</v>
      </c>
      <c r="C803" t="s">
        <v>52</v>
      </c>
      <c r="D803" t="s">
        <v>32</v>
      </c>
      <c r="E803" t="s">
        <v>33</v>
      </c>
      <c r="F803">
        <v>42</v>
      </c>
      <c r="G803" t="s">
        <v>135</v>
      </c>
      <c r="H803" s="17">
        <v>41382</v>
      </c>
      <c r="I803">
        <v>131179</v>
      </c>
      <c r="J803">
        <v>150856</v>
      </c>
      <c r="K803">
        <v>0.15</v>
      </c>
      <c r="L803" t="s">
        <v>29</v>
      </c>
      <c r="M803" t="s">
        <v>58</v>
      </c>
      <c r="N803" s="17"/>
      <c r="O803">
        <v>0</v>
      </c>
    </row>
    <row r="804" spans="1:15" x14ac:dyDescent="0.3">
      <c r="A804" t="s">
        <v>928</v>
      </c>
      <c r="B804" t="s">
        <v>41</v>
      </c>
      <c r="C804" t="s">
        <v>26</v>
      </c>
      <c r="D804" t="s">
        <v>39</v>
      </c>
      <c r="E804" t="s">
        <v>33</v>
      </c>
      <c r="F804">
        <v>35</v>
      </c>
      <c r="G804" t="s">
        <v>135</v>
      </c>
      <c r="H804" s="17">
        <v>42493</v>
      </c>
      <c r="I804">
        <v>73899</v>
      </c>
      <c r="J804">
        <v>77594</v>
      </c>
      <c r="K804">
        <v>0.05</v>
      </c>
      <c r="L804" t="s">
        <v>34</v>
      </c>
      <c r="M804" t="s">
        <v>68</v>
      </c>
      <c r="N804" s="17"/>
      <c r="O804">
        <v>0</v>
      </c>
    </row>
    <row r="805" spans="1:15" x14ac:dyDescent="0.3">
      <c r="A805" t="s">
        <v>929</v>
      </c>
      <c r="B805" t="s">
        <v>56</v>
      </c>
      <c r="C805" t="s">
        <v>50</v>
      </c>
      <c r="D805" t="s">
        <v>32</v>
      </c>
      <c r="E805" t="s">
        <v>33</v>
      </c>
      <c r="F805">
        <v>64</v>
      </c>
      <c r="G805" t="s">
        <v>122</v>
      </c>
      <c r="H805" s="17">
        <v>41362</v>
      </c>
      <c r="I805">
        <v>252325</v>
      </c>
      <c r="J805">
        <v>353255</v>
      </c>
      <c r="K805">
        <v>0.4</v>
      </c>
      <c r="L805" t="s">
        <v>29</v>
      </c>
      <c r="M805" t="s">
        <v>58</v>
      </c>
      <c r="N805" s="17"/>
      <c r="O805">
        <v>0</v>
      </c>
    </row>
    <row r="806" spans="1:15" x14ac:dyDescent="0.3">
      <c r="A806" t="s">
        <v>930</v>
      </c>
      <c r="B806" t="s">
        <v>66</v>
      </c>
      <c r="C806" t="s">
        <v>38</v>
      </c>
      <c r="D806" t="s">
        <v>27</v>
      </c>
      <c r="E806" t="s">
        <v>28</v>
      </c>
      <c r="F806">
        <v>30</v>
      </c>
      <c r="G806" t="s">
        <v>127</v>
      </c>
      <c r="H806" s="17">
        <v>42068</v>
      </c>
      <c r="I806">
        <v>52697</v>
      </c>
      <c r="J806">
        <v>52697</v>
      </c>
      <c r="K806">
        <v>0</v>
      </c>
      <c r="L806" t="s">
        <v>29</v>
      </c>
      <c r="M806" t="s">
        <v>30</v>
      </c>
      <c r="N806" s="17"/>
      <c r="O806">
        <v>0</v>
      </c>
    </row>
    <row r="807" spans="1:15" x14ac:dyDescent="0.3">
      <c r="A807" t="s">
        <v>931</v>
      </c>
      <c r="B807" t="s">
        <v>73</v>
      </c>
      <c r="C807" t="s">
        <v>54</v>
      </c>
      <c r="D807" t="s">
        <v>39</v>
      </c>
      <c r="E807" t="s">
        <v>28</v>
      </c>
      <c r="F807">
        <v>29</v>
      </c>
      <c r="G807" t="s">
        <v>127</v>
      </c>
      <c r="H807" s="17">
        <v>44099</v>
      </c>
      <c r="I807">
        <v>123588</v>
      </c>
      <c r="J807">
        <v>123588</v>
      </c>
      <c r="K807">
        <v>0</v>
      </c>
      <c r="L807" t="s">
        <v>59</v>
      </c>
      <c r="M807" t="s">
        <v>76</v>
      </c>
      <c r="N807" s="17"/>
      <c r="O807">
        <v>0</v>
      </c>
    </row>
    <row r="808" spans="1:15" x14ac:dyDescent="0.3">
      <c r="A808" t="s">
        <v>932</v>
      </c>
      <c r="B808" t="s">
        <v>56</v>
      </c>
      <c r="C808" t="s">
        <v>50</v>
      </c>
      <c r="D808" t="s">
        <v>46</v>
      </c>
      <c r="E808" t="s">
        <v>28</v>
      </c>
      <c r="F808">
        <v>47</v>
      </c>
      <c r="G808" t="s">
        <v>125</v>
      </c>
      <c r="H808" s="17">
        <v>44556</v>
      </c>
      <c r="I808">
        <v>243568</v>
      </c>
      <c r="J808">
        <v>323945</v>
      </c>
      <c r="K808">
        <v>0.33</v>
      </c>
      <c r="L808" t="s">
        <v>29</v>
      </c>
      <c r="M808" t="s">
        <v>51</v>
      </c>
      <c r="N808" s="17"/>
      <c r="O808">
        <v>0</v>
      </c>
    </row>
    <row r="809" spans="1:15" x14ac:dyDescent="0.3">
      <c r="A809" t="s">
        <v>933</v>
      </c>
      <c r="B809" t="s">
        <v>37</v>
      </c>
      <c r="C809" t="s">
        <v>45</v>
      </c>
      <c r="D809" t="s">
        <v>27</v>
      </c>
      <c r="E809" t="s">
        <v>33</v>
      </c>
      <c r="F809">
        <v>49</v>
      </c>
      <c r="G809" t="s">
        <v>125</v>
      </c>
      <c r="H809" s="17">
        <v>37092</v>
      </c>
      <c r="I809">
        <v>199176</v>
      </c>
      <c r="J809">
        <v>246978</v>
      </c>
      <c r="K809">
        <v>0.24</v>
      </c>
      <c r="L809" t="s">
        <v>29</v>
      </c>
      <c r="M809" t="s">
        <v>43</v>
      </c>
      <c r="N809" s="17"/>
      <c r="O809">
        <v>0</v>
      </c>
    </row>
    <row r="810" spans="1:15" x14ac:dyDescent="0.3">
      <c r="A810" t="s">
        <v>934</v>
      </c>
      <c r="B810" t="s">
        <v>31</v>
      </c>
      <c r="C810" t="s">
        <v>26</v>
      </c>
      <c r="D810" t="s">
        <v>39</v>
      </c>
      <c r="E810" t="s">
        <v>28</v>
      </c>
      <c r="F810">
        <v>56</v>
      </c>
      <c r="G810" t="s">
        <v>122</v>
      </c>
      <c r="H810" s="17">
        <v>35238</v>
      </c>
      <c r="I810">
        <v>82806</v>
      </c>
      <c r="J810">
        <v>82806</v>
      </c>
      <c r="K810">
        <v>0</v>
      </c>
      <c r="L810" t="s">
        <v>29</v>
      </c>
      <c r="M810" t="s">
        <v>30</v>
      </c>
      <c r="N810" s="17"/>
      <c r="O810">
        <v>0</v>
      </c>
    </row>
    <row r="811" spans="1:15" x14ac:dyDescent="0.3">
      <c r="A811" t="s">
        <v>935</v>
      </c>
      <c r="B811" t="s">
        <v>37</v>
      </c>
      <c r="C811" t="s">
        <v>57</v>
      </c>
      <c r="D811" t="s">
        <v>39</v>
      </c>
      <c r="E811" t="s">
        <v>28</v>
      </c>
      <c r="F811">
        <v>53</v>
      </c>
      <c r="G811" t="s">
        <v>125</v>
      </c>
      <c r="H811" s="17">
        <v>35601</v>
      </c>
      <c r="I811">
        <v>164399</v>
      </c>
      <c r="J811">
        <v>205499</v>
      </c>
      <c r="K811">
        <v>0.25</v>
      </c>
      <c r="L811" t="s">
        <v>29</v>
      </c>
      <c r="M811" t="s">
        <v>30</v>
      </c>
      <c r="N811" s="17"/>
      <c r="O811">
        <v>0</v>
      </c>
    </row>
    <row r="812" spans="1:15" x14ac:dyDescent="0.3">
      <c r="A812" t="s">
        <v>936</v>
      </c>
      <c r="B812" t="s">
        <v>25</v>
      </c>
      <c r="C812" t="s">
        <v>52</v>
      </c>
      <c r="D812" t="s">
        <v>32</v>
      </c>
      <c r="E812" t="s">
        <v>28</v>
      </c>
      <c r="F812">
        <v>32</v>
      </c>
      <c r="G812" t="s">
        <v>127</v>
      </c>
      <c r="H812" s="17">
        <v>42839</v>
      </c>
      <c r="I812">
        <v>154956</v>
      </c>
      <c r="J812">
        <v>175100</v>
      </c>
      <c r="K812">
        <v>0.13</v>
      </c>
      <c r="L812" t="s">
        <v>29</v>
      </c>
      <c r="M812" t="s">
        <v>43</v>
      </c>
      <c r="N812" s="17"/>
      <c r="O812">
        <v>0</v>
      </c>
    </row>
    <row r="813" spans="1:15" x14ac:dyDescent="0.3">
      <c r="A813" t="s">
        <v>937</v>
      </c>
      <c r="B813" t="s">
        <v>25</v>
      </c>
      <c r="C813" t="s">
        <v>57</v>
      </c>
      <c r="D813" t="s">
        <v>32</v>
      </c>
      <c r="E813" t="s">
        <v>33</v>
      </c>
      <c r="F813">
        <v>32</v>
      </c>
      <c r="G813" t="s">
        <v>127</v>
      </c>
      <c r="H813" s="17">
        <v>42764</v>
      </c>
      <c r="I813">
        <v>143970</v>
      </c>
      <c r="J813">
        <v>161246</v>
      </c>
      <c r="K813">
        <v>0.12</v>
      </c>
      <c r="L813" t="s">
        <v>29</v>
      </c>
      <c r="M813" t="s">
        <v>30</v>
      </c>
      <c r="N813" s="17">
        <v>43078</v>
      </c>
      <c r="O813">
        <v>1</v>
      </c>
    </row>
    <row r="814" spans="1:15" x14ac:dyDescent="0.3">
      <c r="A814" t="s">
        <v>938</v>
      </c>
      <c r="B814" t="s">
        <v>37</v>
      </c>
      <c r="C814" t="s">
        <v>45</v>
      </c>
      <c r="D814" t="s">
        <v>46</v>
      </c>
      <c r="E814" t="s">
        <v>33</v>
      </c>
      <c r="F814">
        <v>52</v>
      </c>
      <c r="G814" t="s">
        <v>125</v>
      </c>
      <c r="H814" s="17">
        <v>44099</v>
      </c>
      <c r="I814">
        <v>163143</v>
      </c>
      <c r="J814">
        <v>208823</v>
      </c>
      <c r="K814">
        <v>0.28000000000000003</v>
      </c>
      <c r="L814" t="s">
        <v>59</v>
      </c>
      <c r="M814" t="s">
        <v>76</v>
      </c>
      <c r="N814" s="17"/>
      <c r="O814">
        <v>0</v>
      </c>
    </row>
    <row r="815" spans="1:15" x14ac:dyDescent="0.3">
      <c r="A815" t="s">
        <v>939</v>
      </c>
      <c r="B815" t="s">
        <v>42</v>
      </c>
      <c r="C815" t="s">
        <v>50</v>
      </c>
      <c r="D815" t="s">
        <v>39</v>
      </c>
      <c r="E815" t="s">
        <v>28</v>
      </c>
      <c r="F815">
        <v>38</v>
      </c>
      <c r="G815" t="s">
        <v>135</v>
      </c>
      <c r="H815" s="17">
        <v>44036</v>
      </c>
      <c r="I815">
        <v>89390</v>
      </c>
      <c r="J815">
        <v>89390</v>
      </c>
      <c r="K815">
        <v>0</v>
      </c>
      <c r="L815" t="s">
        <v>29</v>
      </c>
      <c r="M815" t="s">
        <v>30</v>
      </c>
      <c r="N815" s="17"/>
      <c r="O815">
        <v>0</v>
      </c>
    </row>
    <row r="816" spans="1:15" x14ac:dyDescent="0.3">
      <c r="A816" t="s">
        <v>940</v>
      </c>
      <c r="B816" t="s">
        <v>78</v>
      </c>
      <c r="C816" t="s">
        <v>26</v>
      </c>
      <c r="D816" t="s">
        <v>32</v>
      </c>
      <c r="E816" t="s">
        <v>33</v>
      </c>
      <c r="F816">
        <v>41</v>
      </c>
      <c r="G816" t="s">
        <v>135</v>
      </c>
      <c r="H816" s="17">
        <v>43013</v>
      </c>
      <c r="I816">
        <v>67468</v>
      </c>
      <c r="J816">
        <v>67468</v>
      </c>
      <c r="K816">
        <v>0</v>
      </c>
      <c r="L816" t="s">
        <v>29</v>
      </c>
      <c r="M816" t="s">
        <v>49</v>
      </c>
      <c r="N816" s="17"/>
      <c r="O816">
        <v>0</v>
      </c>
    </row>
    <row r="817" spans="1:15" x14ac:dyDescent="0.3">
      <c r="A817" t="s">
        <v>941</v>
      </c>
      <c r="B817" t="s">
        <v>63</v>
      </c>
      <c r="C817" t="s">
        <v>54</v>
      </c>
      <c r="D817" t="s">
        <v>32</v>
      </c>
      <c r="E817" t="s">
        <v>28</v>
      </c>
      <c r="F817">
        <v>49</v>
      </c>
      <c r="G817" t="s">
        <v>125</v>
      </c>
      <c r="H817" s="17">
        <v>42441</v>
      </c>
      <c r="I817">
        <v>100810</v>
      </c>
      <c r="J817">
        <v>112907</v>
      </c>
      <c r="K817">
        <v>0.12</v>
      </c>
      <c r="L817" t="s">
        <v>59</v>
      </c>
      <c r="M817" t="s">
        <v>61</v>
      </c>
      <c r="N817" s="17"/>
      <c r="O817">
        <v>0</v>
      </c>
    </row>
    <row r="818" spans="1:15" x14ac:dyDescent="0.3">
      <c r="A818" t="s">
        <v>942</v>
      </c>
      <c r="B818" t="s">
        <v>42</v>
      </c>
      <c r="C818" t="s">
        <v>38</v>
      </c>
      <c r="D818" t="s">
        <v>32</v>
      </c>
      <c r="E818" t="s">
        <v>28</v>
      </c>
      <c r="F818">
        <v>35</v>
      </c>
      <c r="G818" t="s">
        <v>135</v>
      </c>
      <c r="H818" s="17">
        <v>43542</v>
      </c>
      <c r="I818">
        <v>74779</v>
      </c>
      <c r="J818">
        <v>74779</v>
      </c>
      <c r="K818">
        <v>0</v>
      </c>
      <c r="L818" t="s">
        <v>29</v>
      </c>
      <c r="M818" t="s">
        <v>43</v>
      </c>
      <c r="N818" s="17"/>
      <c r="O818">
        <v>0</v>
      </c>
    </row>
    <row r="819" spans="1:15" x14ac:dyDescent="0.3">
      <c r="A819" t="s">
        <v>943</v>
      </c>
      <c r="B819" t="s">
        <v>79</v>
      </c>
      <c r="C819" t="s">
        <v>26</v>
      </c>
      <c r="D819" t="s">
        <v>46</v>
      </c>
      <c r="E819" t="s">
        <v>28</v>
      </c>
      <c r="F819">
        <v>29</v>
      </c>
      <c r="G819" t="s">
        <v>127</v>
      </c>
      <c r="H819" s="17">
        <v>43048</v>
      </c>
      <c r="I819">
        <v>63985</v>
      </c>
      <c r="J819">
        <v>63985</v>
      </c>
      <c r="K819">
        <v>0</v>
      </c>
      <c r="L819" t="s">
        <v>29</v>
      </c>
      <c r="M819" t="s">
        <v>49</v>
      </c>
      <c r="N819" s="17"/>
      <c r="O819">
        <v>0</v>
      </c>
    </row>
    <row r="820" spans="1:15" x14ac:dyDescent="0.3">
      <c r="A820" t="s">
        <v>944</v>
      </c>
      <c r="B820" t="s">
        <v>84</v>
      </c>
      <c r="C820" t="s">
        <v>26</v>
      </c>
      <c r="D820" t="s">
        <v>32</v>
      </c>
      <c r="E820" t="s">
        <v>28</v>
      </c>
      <c r="F820">
        <v>64</v>
      </c>
      <c r="G820" t="s">
        <v>122</v>
      </c>
      <c r="H820" s="17">
        <v>38176</v>
      </c>
      <c r="I820">
        <v>77903</v>
      </c>
      <c r="J820">
        <v>77903</v>
      </c>
      <c r="K820">
        <v>0</v>
      </c>
      <c r="L820" t="s">
        <v>29</v>
      </c>
      <c r="M820" t="s">
        <v>30</v>
      </c>
      <c r="N820" s="17"/>
      <c r="O820">
        <v>0</v>
      </c>
    </row>
    <row r="821" spans="1:15" x14ac:dyDescent="0.3">
      <c r="A821" t="s">
        <v>945</v>
      </c>
      <c r="B821" t="s">
        <v>37</v>
      </c>
      <c r="C821" t="s">
        <v>57</v>
      </c>
      <c r="D821" t="s">
        <v>46</v>
      </c>
      <c r="E821" t="s">
        <v>33</v>
      </c>
      <c r="F821">
        <v>33</v>
      </c>
      <c r="G821" t="s">
        <v>127</v>
      </c>
      <c r="H821" s="17">
        <v>42898</v>
      </c>
      <c r="I821">
        <v>164396</v>
      </c>
      <c r="J821">
        <v>212071</v>
      </c>
      <c r="K821">
        <v>0.28999999999999998</v>
      </c>
      <c r="L821" t="s">
        <v>29</v>
      </c>
      <c r="M821" t="s">
        <v>58</v>
      </c>
      <c r="N821" s="17"/>
      <c r="O821">
        <v>0</v>
      </c>
    </row>
    <row r="822" spans="1:15" x14ac:dyDescent="0.3">
      <c r="A822" t="s">
        <v>946</v>
      </c>
      <c r="B822" t="s">
        <v>85</v>
      </c>
      <c r="C822" t="s">
        <v>26</v>
      </c>
      <c r="D822" t="s">
        <v>46</v>
      </c>
      <c r="E822" t="s">
        <v>33</v>
      </c>
      <c r="F822">
        <v>29</v>
      </c>
      <c r="G822" t="s">
        <v>127</v>
      </c>
      <c r="H822" s="17">
        <v>44375</v>
      </c>
      <c r="I822">
        <v>71234</v>
      </c>
      <c r="J822">
        <v>71234</v>
      </c>
      <c r="K822">
        <v>0</v>
      </c>
      <c r="L822" t="s">
        <v>29</v>
      </c>
      <c r="M822" t="s">
        <v>30</v>
      </c>
      <c r="N822" s="17"/>
      <c r="O822">
        <v>0</v>
      </c>
    </row>
    <row r="823" spans="1:15" x14ac:dyDescent="0.3">
      <c r="A823" t="s">
        <v>947</v>
      </c>
      <c r="B823" t="s">
        <v>47</v>
      </c>
      <c r="C823" t="s">
        <v>38</v>
      </c>
      <c r="D823" t="s">
        <v>46</v>
      </c>
      <c r="E823" t="s">
        <v>33</v>
      </c>
      <c r="F823">
        <v>63</v>
      </c>
      <c r="G823" t="s">
        <v>122</v>
      </c>
      <c r="H823" s="17">
        <v>38096</v>
      </c>
      <c r="I823">
        <v>122487</v>
      </c>
      <c r="J823">
        <v>132286</v>
      </c>
      <c r="K823">
        <v>0.08</v>
      </c>
      <c r="L823" t="s">
        <v>34</v>
      </c>
      <c r="M823" t="s">
        <v>55</v>
      </c>
      <c r="N823" s="17"/>
      <c r="O823">
        <v>0</v>
      </c>
    </row>
    <row r="824" spans="1:15" x14ac:dyDescent="0.3">
      <c r="A824" t="s">
        <v>948</v>
      </c>
      <c r="B824" t="s">
        <v>47</v>
      </c>
      <c r="C824" t="s">
        <v>52</v>
      </c>
      <c r="D824" t="s">
        <v>39</v>
      </c>
      <c r="E824" t="s">
        <v>28</v>
      </c>
      <c r="F824">
        <v>32</v>
      </c>
      <c r="G824" t="s">
        <v>127</v>
      </c>
      <c r="H824" s="17">
        <v>42738</v>
      </c>
      <c r="I824">
        <v>101870</v>
      </c>
      <c r="J824">
        <v>112057</v>
      </c>
      <c r="K824">
        <v>0.1</v>
      </c>
      <c r="L824" t="s">
        <v>29</v>
      </c>
      <c r="M824" t="s">
        <v>43</v>
      </c>
      <c r="N824" s="17"/>
      <c r="O824">
        <v>0</v>
      </c>
    </row>
    <row r="825" spans="1:15" x14ac:dyDescent="0.3">
      <c r="A825" t="s">
        <v>949</v>
      </c>
      <c r="B825" t="s">
        <v>83</v>
      </c>
      <c r="C825" t="s">
        <v>26</v>
      </c>
      <c r="D825" t="s">
        <v>27</v>
      </c>
      <c r="E825" t="s">
        <v>33</v>
      </c>
      <c r="F825">
        <v>64</v>
      </c>
      <c r="G825" t="s">
        <v>122</v>
      </c>
      <c r="H825" s="17">
        <v>44009</v>
      </c>
      <c r="I825">
        <v>40316</v>
      </c>
      <c r="J825">
        <v>40316</v>
      </c>
      <c r="K825">
        <v>0</v>
      </c>
      <c r="L825" t="s">
        <v>59</v>
      </c>
      <c r="M825" t="s">
        <v>60</v>
      </c>
      <c r="N825" s="17"/>
      <c r="O825">
        <v>0</v>
      </c>
    </row>
    <row r="826" spans="1:15" x14ac:dyDescent="0.3">
      <c r="A826" t="s">
        <v>950</v>
      </c>
      <c r="B826" t="s">
        <v>47</v>
      </c>
      <c r="C826" t="s">
        <v>26</v>
      </c>
      <c r="D826" t="s">
        <v>27</v>
      </c>
      <c r="E826" t="s">
        <v>28</v>
      </c>
      <c r="F826">
        <v>55</v>
      </c>
      <c r="G826" t="s">
        <v>122</v>
      </c>
      <c r="H826" s="17">
        <v>38391</v>
      </c>
      <c r="I826">
        <v>115145</v>
      </c>
      <c r="J826">
        <v>120902</v>
      </c>
      <c r="K826">
        <v>0.05</v>
      </c>
      <c r="L826" t="s">
        <v>34</v>
      </c>
      <c r="M826" t="s">
        <v>35</v>
      </c>
      <c r="N826" s="17"/>
      <c r="O826">
        <v>0</v>
      </c>
    </row>
    <row r="827" spans="1:15" x14ac:dyDescent="0.3">
      <c r="A827" t="s">
        <v>951</v>
      </c>
      <c r="B827" t="s">
        <v>75</v>
      </c>
      <c r="C827" t="s">
        <v>26</v>
      </c>
      <c r="D827" t="s">
        <v>32</v>
      </c>
      <c r="E827" t="s">
        <v>28</v>
      </c>
      <c r="F827">
        <v>43</v>
      </c>
      <c r="G827" t="s">
        <v>135</v>
      </c>
      <c r="H827" s="17">
        <v>39885</v>
      </c>
      <c r="I827">
        <v>62335</v>
      </c>
      <c r="J827">
        <v>62335</v>
      </c>
      <c r="K827">
        <v>0</v>
      </c>
      <c r="L827" t="s">
        <v>59</v>
      </c>
      <c r="M827" t="s">
        <v>60</v>
      </c>
      <c r="N827" s="17"/>
      <c r="O827">
        <v>0</v>
      </c>
    </row>
    <row r="828" spans="1:15" x14ac:dyDescent="0.3">
      <c r="A828" t="s">
        <v>952</v>
      </c>
      <c r="B828" t="s">
        <v>48</v>
      </c>
      <c r="C828" t="s">
        <v>38</v>
      </c>
      <c r="D828" t="s">
        <v>32</v>
      </c>
      <c r="E828" t="s">
        <v>33</v>
      </c>
      <c r="F828">
        <v>56</v>
      </c>
      <c r="G828" t="s">
        <v>122</v>
      </c>
      <c r="H828" s="17">
        <v>38847</v>
      </c>
      <c r="I828">
        <v>41561</v>
      </c>
      <c r="J828">
        <v>41561</v>
      </c>
      <c r="K828">
        <v>0</v>
      </c>
      <c r="L828" t="s">
        <v>29</v>
      </c>
      <c r="M828" t="s">
        <v>51</v>
      </c>
      <c r="N828" s="17"/>
      <c r="O828">
        <v>0</v>
      </c>
    </row>
    <row r="829" spans="1:15" x14ac:dyDescent="0.3">
      <c r="A829" t="s">
        <v>953</v>
      </c>
      <c r="B829" t="s">
        <v>25</v>
      </c>
      <c r="C829" t="s">
        <v>38</v>
      </c>
      <c r="D829" t="s">
        <v>39</v>
      </c>
      <c r="E829" t="s">
        <v>28</v>
      </c>
      <c r="F829">
        <v>37</v>
      </c>
      <c r="G829" t="s">
        <v>135</v>
      </c>
      <c r="H829" s="17">
        <v>40657</v>
      </c>
      <c r="I829">
        <v>131183</v>
      </c>
      <c r="J829">
        <v>149549</v>
      </c>
      <c r="K829">
        <v>0.14000000000000001</v>
      </c>
      <c r="L829" t="s">
        <v>34</v>
      </c>
      <c r="M829" t="s">
        <v>55</v>
      </c>
      <c r="N829" s="17">
        <v>42445</v>
      </c>
      <c r="O829">
        <v>1</v>
      </c>
    </row>
    <row r="830" spans="1:15" x14ac:dyDescent="0.3">
      <c r="A830" t="s">
        <v>954</v>
      </c>
      <c r="B830" t="s">
        <v>31</v>
      </c>
      <c r="C830" t="s">
        <v>26</v>
      </c>
      <c r="D830" t="s">
        <v>32</v>
      </c>
      <c r="E830" t="s">
        <v>28</v>
      </c>
      <c r="F830">
        <v>45</v>
      </c>
      <c r="G830" t="s">
        <v>125</v>
      </c>
      <c r="H830" s="17">
        <v>37445</v>
      </c>
      <c r="I830">
        <v>92655</v>
      </c>
      <c r="J830">
        <v>92655</v>
      </c>
      <c r="K830">
        <v>0</v>
      </c>
      <c r="L830" t="s">
        <v>34</v>
      </c>
      <c r="M830" t="s">
        <v>68</v>
      </c>
      <c r="N830" s="17"/>
      <c r="O830">
        <v>0</v>
      </c>
    </row>
    <row r="831" spans="1:15" x14ac:dyDescent="0.3">
      <c r="A831" t="s">
        <v>955</v>
      </c>
      <c r="B831" t="s">
        <v>25</v>
      </c>
      <c r="C831" t="s">
        <v>45</v>
      </c>
      <c r="D831" t="s">
        <v>32</v>
      </c>
      <c r="E831" t="s">
        <v>28</v>
      </c>
      <c r="F831">
        <v>49</v>
      </c>
      <c r="G831" t="s">
        <v>125</v>
      </c>
      <c r="H831" s="17">
        <v>35157</v>
      </c>
      <c r="I831">
        <v>157057</v>
      </c>
      <c r="J831">
        <v>175904</v>
      </c>
      <c r="K831">
        <v>0.12</v>
      </c>
      <c r="L831" t="s">
        <v>29</v>
      </c>
      <c r="M831" t="s">
        <v>49</v>
      </c>
      <c r="N831" s="17"/>
      <c r="O831">
        <v>0</v>
      </c>
    </row>
    <row r="832" spans="1:15" x14ac:dyDescent="0.3">
      <c r="A832" t="s">
        <v>956</v>
      </c>
      <c r="B832" t="s">
        <v>67</v>
      </c>
      <c r="C832" t="s">
        <v>26</v>
      </c>
      <c r="D832" t="s">
        <v>39</v>
      </c>
      <c r="E832" t="s">
        <v>28</v>
      </c>
      <c r="F832">
        <v>61</v>
      </c>
      <c r="G832" t="s">
        <v>122</v>
      </c>
      <c r="H832" s="17">
        <v>38392</v>
      </c>
      <c r="I832">
        <v>64462</v>
      </c>
      <c r="J832">
        <v>64462</v>
      </c>
      <c r="K832">
        <v>0</v>
      </c>
      <c r="L832" t="s">
        <v>29</v>
      </c>
      <c r="M832" t="s">
        <v>40</v>
      </c>
      <c r="N832" s="17"/>
      <c r="O832">
        <v>0</v>
      </c>
    </row>
    <row r="833" spans="1:15" x14ac:dyDescent="0.3">
      <c r="A833" t="s">
        <v>957</v>
      </c>
      <c r="B833" t="s">
        <v>62</v>
      </c>
      <c r="C833" t="s">
        <v>54</v>
      </c>
      <c r="D833" t="s">
        <v>46</v>
      </c>
      <c r="E833" t="s">
        <v>28</v>
      </c>
      <c r="F833">
        <v>41</v>
      </c>
      <c r="G833" t="s">
        <v>135</v>
      </c>
      <c r="H833" s="17">
        <v>38632</v>
      </c>
      <c r="I833">
        <v>79352</v>
      </c>
      <c r="J833">
        <v>79352</v>
      </c>
      <c r="K833">
        <v>0</v>
      </c>
      <c r="L833" t="s">
        <v>29</v>
      </c>
      <c r="M833" t="s">
        <v>30</v>
      </c>
      <c r="N833" s="17"/>
      <c r="O833">
        <v>0</v>
      </c>
    </row>
    <row r="834" spans="1:15" x14ac:dyDescent="0.3">
      <c r="A834" t="s">
        <v>958</v>
      </c>
      <c r="B834" t="s">
        <v>25</v>
      </c>
      <c r="C834" t="s">
        <v>57</v>
      </c>
      <c r="D834" t="s">
        <v>39</v>
      </c>
      <c r="E834" t="s">
        <v>28</v>
      </c>
      <c r="F834">
        <v>55</v>
      </c>
      <c r="G834" t="s">
        <v>122</v>
      </c>
      <c r="H834" s="17">
        <v>36977</v>
      </c>
      <c r="I834">
        <v>157812</v>
      </c>
      <c r="J834">
        <v>175171</v>
      </c>
      <c r="K834">
        <v>0.11</v>
      </c>
      <c r="L834" t="s">
        <v>29</v>
      </c>
      <c r="M834" t="s">
        <v>49</v>
      </c>
      <c r="N834" s="17"/>
      <c r="O834">
        <v>0</v>
      </c>
    </row>
    <row r="835" spans="1:15" x14ac:dyDescent="0.3">
      <c r="A835" t="s">
        <v>959</v>
      </c>
      <c r="B835" t="s">
        <v>62</v>
      </c>
      <c r="C835" t="s">
        <v>54</v>
      </c>
      <c r="D835" t="s">
        <v>46</v>
      </c>
      <c r="E835" t="s">
        <v>33</v>
      </c>
      <c r="F835">
        <v>27</v>
      </c>
      <c r="G835" t="s">
        <v>127</v>
      </c>
      <c r="H835" s="17">
        <v>43354</v>
      </c>
      <c r="I835">
        <v>80745</v>
      </c>
      <c r="J835">
        <v>80745</v>
      </c>
      <c r="K835">
        <v>0</v>
      </c>
      <c r="L835" t="s">
        <v>29</v>
      </c>
      <c r="M835" t="s">
        <v>40</v>
      </c>
      <c r="N835" s="17"/>
      <c r="O835">
        <v>0</v>
      </c>
    </row>
    <row r="836" spans="1:15" x14ac:dyDescent="0.3">
      <c r="A836" t="s">
        <v>960</v>
      </c>
      <c r="B836" t="s">
        <v>82</v>
      </c>
      <c r="C836" t="s">
        <v>26</v>
      </c>
      <c r="D836" t="s">
        <v>32</v>
      </c>
      <c r="E836" t="s">
        <v>28</v>
      </c>
      <c r="F836">
        <v>57</v>
      </c>
      <c r="G836" t="s">
        <v>122</v>
      </c>
      <c r="H836" s="17">
        <v>35113</v>
      </c>
      <c r="I836">
        <v>75354</v>
      </c>
      <c r="J836">
        <v>75354</v>
      </c>
      <c r="K836">
        <v>0</v>
      </c>
      <c r="L836" t="s">
        <v>29</v>
      </c>
      <c r="M836" t="s">
        <v>51</v>
      </c>
      <c r="N836" s="17">
        <v>35413</v>
      </c>
      <c r="O836">
        <v>1</v>
      </c>
    </row>
    <row r="837" spans="1:15" x14ac:dyDescent="0.3">
      <c r="A837" t="s">
        <v>961</v>
      </c>
      <c r="B837" t="s">
        <v>63</v>
      </c>
      <c r="C837" t="s">
        <v>54</v>
      </c>
      <c r="D837" t="s">
        <v>27</v>
      </c>
      <c r="E837" t="s">
        <v>33</v>
      </c>
      <c r="F837">
        <v>56</v>
      </c>
      <c r="G837" t="s">
        <v>122</v>
      </c>
      <c r="H837" s="17">
        <v>43363</v>
      </c>
      <c r="I837">
        <v>78938</v>
      </c>
      <c r="J837">
        <v>89989</v>
      </c>
      <c r="K837">
        <v>0.14000000000000001</v>
      </c>
      <c r="L837" t="s">
        <v>29</v>
      </c>
      <c r="M837" t="s">
        <v>43</v>
      </c>
      <c r="N837" s="17"/>
      <c r="O837">
        <v>0</v>
      </c>
    </row>
    <row r="838" spans="1:15" x14ac:dyDescent="0.3">
      <c r="A838" t="s">
        <v>962</v>
      </c>
      <c r="B838" t="s">
        <v>73</v>
      </c>
      <c r="C838" t="s">
        <v>54</v>
      </c>
      <c r="D838" t="s">
        <v>46</v>
      </c>
      <c r="E838" t="s">
        <v>33</v>
      </c>
      <c r="F838">
        <v>59</v>
      </c>
      <c r="G838" t="s">
        <v>122</v>
      </c>
      <c r="H838" s="17">
        <v>39701</v>
      </c>
      <c r="I838">
        <v>96313</v>
      </c>
      <c r="J838">
        <v>96313</v>
      </c>
      <c r="K838">
        <v>0</v>
      </c>
      <c r="L838" t="s">
        <v>29</v>
      </c>
      <c r="M838" t="s">
        <v>51</v>
      </c>
      <c r="N838" s="17"/>
      <c r="O838">
        <v>0</v>
      </c>
    </row>
    <row r="839" spans="1:15" x14ac:dyDescent="0.3">
      <c r="A839" t="s">
        <v>963</v>
      </c>
      <c r="B839" t="s">
        <v>37</v>
      </c>
      <c r="C839" t="s">
        <v>54</v>
      </c>
      <c r="D839" t="s">
        <v>39</v>
      </c>
      <c r="E839" t="s">
        <v>33</v>
      </c>
      <c r="F839">
        <v>45</v>
      </c>
      <c r="G839" t="s">
        <v>125</v>
      </c>
      <c r="H839" s="17">
        <v>40511</v>
      </c>
      <c r="I839">
        <v>153767</v>
      </c>
      <c r="J839">
        <v>195284</v>
      </c>
      <c r="K839">
        <v>0.27</v>
      </c>
      <c r="L839" t="s">
        <v>29</v>
      </c>
      <c r="M839" t="s">
        <v>43</v>
      </c>
      <c r="N839" s="17"/>
      <c r="O839">
        <v>0</v>
      </c>
    </row>
    <row r="840" spans="1:15" x14ac:dyDescent="0.3">
      <c r="A840" t="s">
        <v>964</v>
      </c>
      <c r="B840" t="s">
        <v>47</v>
      </c>
      <c r="C840" t="s">
        <v>57</v>
      </c>
      <c r="D840" t="s">
        <v>27</v>
      </c>
      <c r="E840" t="s">
        <v>28</v>
      </c>
      <c r="F840">
        <v>42</v>
      </c>
      <c r="G840" t="s">
        <v>135</v>
      </c>
      <c r="H840" s="17">
        <v>42266</v>
      </c>
      <c r="I840">
        <v>103423</v>
      </c>
      <c r="J840">
        <v>109628</v>
      </c>
      <c r="K840">
        <v>0.06</v>
      </c>
      <c r="L840" t="s">
        <v>29</v>
      </c>
      <c r="M840" t="s">
        <v>58</v>
      </c>
      <c r="N840" s="17"/>
      <c r="O840">
        <v>0</v>
      </c>
    </row>
    <row r="841" spans="1:15" x14ac:dyDescent="0.3">
      <c r="A841" t="s">
        <v>965</v>
      </c>
      <c r="B841" t="s">
        <v>53</v>
      </c>
      <c r="C841" t="s">
        <v>54</v>
      </c>
      <c r="D841" t="s">
        <v>46</v>
      </c>
      <c r="E841" t="s">
        <v>28</v>
      </c>
      <c r="F841">
        <v>25</v>
      </c>
      <c r="G841" t="s">
        <v>127</v>
      </c>
      <c r="H841" s="17">
        <v>44370</v>
      </c>
      <c r="I841">
        <v>86464</v>
      </c>
      <c r="J841">
        <v>86464</v>
      </c>
      <c r="K841">
        <v>0</v>
      </c>
      <c r="L841" t="s">
        <v>34</v>
      </c>
      <c r="M841" t="s">
        <v>55</v>
      </c>
      <c r="N841" s="17"/>
      <c r="O841">
        <v>0</v>
      </c>
    </row>
    <row r="842" spans="1:15" x14ac:dyDescent="0.3">
      <c r="A842" t="s">
        <v>966</v>
      </c>
      <c r="B842" t="s">
        <v>53</v>
      </c>
      <c r="C842" t="s">
        <v>54</v>
      </c>
      <c r="D842" t="s">
        <v>46</v>
      </c>
      <c r="E842" t="s">
        <v>28</v>
      </c>
      <c r="F842">
        <v>29</v>
      </c>
      <c r="G842" t="s">
        <v>127</v>
      </c>
      <c r="H842" s="17">
        <v>43114</v>
      </c>
      <c r="I842">
        <v>80516</v>
      </c>
      <c r="J842">
        <v>80516</v>
      </c>
      <c r="K842">
        <v>0</v>
      </c>
      <c r="L842" t="s">
        <v>59</v>
      </c>
      <c r="M842" t="s">
        <v>76</v>
      </c>
      <c r="N842" s="17"/>
      <c r="O842">
        <v>0</v>
      </c>
    </row>
    <row r="843" spans="1:15" x14ac:dyDescent="0.3">
      <c r="A843" t="s">
        <v>967</v>
      </c>
      <c r="B843" t="s">
        <v>47</v>
      </c>
      <c r="C843" t="s">
        <v>52</v>
      </c>
      <c r="D843" t="s">
        <v>39</v>
      </c>
      <c r="E843" t="s">
        <v>28</v>
      </c>
      <c r="F843">
        <v>33</v>
      </c>
      <c r="G843" t="s">
        <v>127</v>
      </c>
      <c r="H843" s="17">
        <v>41507</v>
      </c>
      <c r="I843">
        <v>105390</v>
      </c>
      <c r="J843">
        <v>111713</v>
      </c>
      <c r="K843">
        <v>0.06</v>
      </c>
      <c r="L843" t="s">
        <v>29</v>
      </c>
      <c r="M843" t="s">
        <v>58</v>
      </c>
      <c r="N843" s="17"/>
      <c r="O843">
        <v>0</v>
      </c>
    </row>
    <row r="844" spans="1:15" x14ac:dyDescent="0.3">
      <c r="A844" t="s">
        <v>968</v>
      </c>
      <c r="B844" t="s">
        <v>75</v>
      </c>
      <c r="C844" t="s">
        <v>26</v>
      </c>
      <c r="D844" t="s">
        <v>32</v>
      </c>
      <c r="E844" t="s">
        <v>28</v>
      </c>
      <c r="F844">
        <v>50</v>
      </c>
      <c r="G844" t="s">
        <v>125</v>
      </c>
      <c r="H844" s="17">
        <v>44445</v>
      </c>
      <c r="I844">
        <v>83418</v>
      </c>
      <c r="J844">
        <v>83418</v>
      </c>
      <c r="K844">
        <v>0</v>
      </c>
      <c r="L844" t="s">
        <v>34</v>
      </c>
      <c r="M844" t="s">
        <v>55</v>
      </c>
      <c r="N844" s="17"/>
      <c r="O844">
        <v>0</v>
      </c>
    </row>
    <row r="845" spans="1:15" x14ac:dyDescent="0.3">
      <c r="A845" t="s">
        <v>969</v>
      </c>
      <c r="B845" t="s">
        <v>84</v>
      </c>
      <c r="C845" t="s">
        <v>26</v>
      </c>
      <c r="D845" t="s">
        <v>39</v>
      </c>
      <c r="E845" t="s">
        <v>28</v>
      </c>
      <c r="F845">
        <v>45</v>
      </c>
      <c r="G845" t="s">
        <v>125</v>
      </c>
      <c r="H845" s="17">
        <v>43042</v>
      </c>
      <c r="I845">
        <v>66660</v>
      </c>
      <c r="J845">
        <v>66660</v>
      </c>
      <c r="K845">
        <v>0</v>
      </c>
      <c r="L845" t="s">
        <v>29</v>
      </c>
      <c r="M845" t="s">
        <v>51</v>
      </c>
      <c r="N845" s="17"/>
      <c r="O845">
        <v>0</v>
      </c>
    </row>
    <row r="846" spans="1:15" x14ac:dyDescent="0.3">
      <c r="A846" t="s">
        <v>970</v>
      </c>
      <c r="B846" t="s">
        <v>47</v>
      </c>
      <c r="C846" t="s">
        <v>52</v>
      </c>
      <c r="D846" t="s">
        <v>39</v>
      </c>
      <c r="E846" t="s">
        <v>33</v>
      </c>
      <c r="F846">
        <v>59</v>
      </c>
      <c r="G846" t="s">
        <v>122</v>
      </c>
      <c r="H846" s="17">
        <v>42165</v>
      </c>
      <c r="I846">
        <v>101985</v>
      </c>
      <c r="J846">
        <v>109124</v>
      </c>
      <c r="K846">
        <v>7.0000000000000007E-2</v>
      </c>
      <c r="L846" t="s">
        <v>29</v>
      </c>
      <c r="M846" t="s">
        <v>49</v>
      </c>
      <c r="N846" s="17"/>
      <c r="O846">
        <v>0</v>
      </c>
    </row>
    <row r="847" spans="1:15" x14ac:dyDescent="0.3">
      <c r="A847" t="s">
        <v>971</v>
      </c>
      <c r="B847" t="s">
        <v>56</v>
      </c>
      <c r="C847" t="s">
        <v>38</v>
      </c>
      <c r="D847" t="s">
        <v>46</v>
      </c>
      <c r="E847" t="s">
        <v>33</v>
      </c>
      <c r="F847">
        <v>29</v>
      </c>
      <c r="G847" t="s">
        <v>127</v>
      </c>
      <c r="H847" s="17">
        <v>43439</v>
      </c>
      <c r="I847">
        <v>199504</v>
      </c>
      <c r="J847">
        <v>259355</v>
      </c>
      <c r="K847">
        <v>0.3</v>
      </c>
      <c r="L847" t="s">
        <v>29</v>
      </c>
      <c r="M847" t="s">
        <v>51</v>
      </c>
      <c r="N847" s="17"/>
      <c r="O847">
        <v>0</v>
      </c>
    </row>
    <row r="848" spans="1:15" x14ac:dyDescent="0.3">
      <c r="A848" t="s">
        <v>972</v>
      </c>
      <c r="B848" t="s">
        <v>25</v>
      </c>
      <c r="C848" t="s">
        <v>45</v>
      </c>
      <c r="D848" t="s">
        <v>46</v>
      </c>
      <c r="E848" t="s">
        <v>28</v>
      </c>
      <c r="F848">
        <v>52</v>
      </c>
      <c r="G848" t="s">
        <v>125</v>
      </c>
      <c r="H848" s="17">
        <v>38995</v>
      </c>
      <c r="I848">
        <v>147966</v>
      </c>
      <c r="J848">
        <v>164242</v>
      </c>
      <c r="K848">
        <v>0.11</v>
      </c>
      <c r="L848" t="s">
        <v>59</v>
      </c>
      <c r="M848" t="s">
        <v>61</v>
      </c>
      <c r="N848" s="17">
        <v>43608</v>
      </c>
      <c r="O848">
        <v>1</v>
      </c>
    </row>
    <row r="849" spans="1:15" x14ac:dyDescent="0.3">
      <c r="A849" t="s">
        <v>973</v>
      </c>
      <c r="B849" t="s">
        <v>74</v>
      </c>
      <c r="C849" t="s">
        <v>52</v>
      </c>
      <c r="D849" t="s">
        <v>39</v>
      </c>
      <c r="E849" t="s">
        <v>33</v>
      </c>
      <c r="F849">
        <v>58</v>
      </c>
      <c r="G849" t="s">
        <v>122</v>
      </c>
      <c r="H849" s="17">
        <v>41810</v>
      </c>
      <c r="I849">
        <v>41728</v>
      </c>
      <c r="J849">
        <v>41728</v>
      </c>
      <c r="K849">
        <v>0</v>
      </c>
      <c r="L849" t="s">
        <v>34</v>
      </c>
      <c r="M849" t="s">
        <v>35</v>
      </c>
      <c r="N849" s="17"/>
      <c r="O849">
        <v>0</v>
      </c>
    </row>
    <row r="850" spans="1:15" x14ac:dyDescent="0.3">
      <c r="A850" t="s">
        <v>974</v>
      </c>
      <c r="B850" t="s">
        <v>42</v>
      </c>
      <c r="C850" t="s">
        <v>50</v>
      </c>
      <c r="D850" t="s">
        <v>39</v>
      </c>
      <c r="E850" t="s">
        <v>33</v>
      </c>
      <c r="F850">
        <v>62</v>
      </c>
      <c r="G850" t="s">
        <v>122</v>
      </c>
      <c r="H850" s="17">
        <v>40591</v>
      </c>
      <c r="I850">
        <v>94422</v>
      </c>
      <c r="J850">
        <v>94422</v>
      </c>
      <c r="K850">
        <v>0</v>
      </c>
      <c r="L850" t="s">
        <v>29</v>
      </c>
      <c r="M850" t="s">
        <v>43</v>
      </c>
      <c r="N850" s="17"/>
      <c r="O850">
        <v>0</v>
      </c>
    </row>
    <row r="851" spans="1:15" x14ac:dyDescent="0.3">
      <c r="A851" t="s">
        <v>975</v>
      </c>
      <c r="B851" t="s">
        <v>37</v>
      </c>
      <c r="C851" t="s">
        <v>45</v>
      </c>
      <c r="D851" t="s">
        <v>46</v>
      </c>
      <c r="E851" t="s">
        <v>33</v>
      </c>
      <c r="F851">
        <v>31</v>
      </c>
      <c r="G851" t="s">
        <v>127</v>
      </c>
      <c r="H851" s="17">
        <v>42184</v>
      </c>
      <c r="I851">
        <v>191026</v>
      </c>
      <c r="J851">
        <v>221590</v>
      </c>
      <c r="K851">
        <v>0.16</v>
      </c>
      <c r="L851" t="s">
        <v>29</v>
      </c>
      <c r="M851" t="s">
        <v>58</v>
      </c>
      <c r="N851" s="17"/>
      <c r="O851">
        <v>0</v>
      </c>
    </row>
    <row r="852" spans="1:15" x14ac:dyDescent="0.3">
      <c r="A852" t="s">
        <v>976</v>
      </c>
      <c r="B852" t="s">
        <v>56</v>
      </c>
      <c r="C852" t="s">
        <v>26</v>
      </c>
      <c r="D852" t="s">
        <v>27</v>
      </c>
      <c r="E852" t="s">
        <v>33</v>
      </c>
      <c r="F852">
        <v>42</v>
      </c>
      <c r="G852" t="s">
        <v>135</v>
      </c>
      <c r="H852" s="17">
        <v>40511</v>
      </c>
      <c r="I852">
        <v>186725</v>
      </c>
      <c r="J852">
        <v>246477</v>
      </c>
      <c r="K852">
        <v>0.32</v>
      </c>
      <c r="L852" t="s">
        <v>59</v>
      </c>
      <c r="M852" t="s">
        <v>60</v>
      </c>
      <c r="N852" s="17"/>
      <c r="O852">
        <v>0</v>
      </c>
    </row>
    <row r="853" spans="1:15" x14ac:dyDescent="0.3">
      <c r="A853" t="s">
        <v>977</v>
      </c>
      <c r="B853" t="s">
        <v>74</v>
      </c>
      <c r="C853" t="s">
        <v>52</v>
      </c>
      <c r="D853" t="s">
        <v>27</v>
      </c>
      <c r="E853" t="s">
        <v>28</v>
      </c>
      <c r="F853">
        <v>56</v>
      </c>
      <c r="G853" t="s">
        <v>122</v>
      </c>
      <c r="H853" s="17">
        <v>40045</v>
      </c>
      <c r="I853">
        <v>52800</v>
      </c>
      <c r="J853">
        <v>52800</v>
      </c>
      <c r="K853">
        <v>0</v>
      </c>
      <c r="L853" t="s">
        <v>29</v>
      </c>
      <c r="M853" t="s">
        <v>43</v>
      </c>
      <c r="N853" s="17"/>
      <c r="O853">
        <v>0</v>
      </c>
    </row>
    <row r="854" spans="1:15" x14ac:dyDescent="0.3">
      <c r="A854" t="s">
        <v>978</v>
      </c>
      <c r="B854" t="s">
        <v>73</v>
      </c>
      <c r="C854" t="s">
        <v>54</v>
      </c>
      <c r="D854" t="s">
        <v>39</v>
      </c>
      <c r="E854" t="s">
        <v>33</v>
      </c>
      <c r="F854">
        <v>54</v>
      </c>
      <c r="G854" t="s">
        <v>125</v>
      </c>
      <c r="H854" s="17">
        <v>40517</v>
      </c>
      <c r="I854">
        <v>113982</v>
      </c>
      <c r="J854">
        <v>113982</v>
      </c>
      <c r="K854">
        <v>0</v>
      </c>
      <c r="L854" t="s">
        <v>29</v>
      </c>
      <c r="M854" t="s">
        <v>30</v>
      </c>
      <c r="N854" s="17"/>
      <c r="O854">
        <v>0</v>
      </c>
    </row>
    <row r="855" spans="1:15" x14ac:dyDescent="0.3">
      <c r="A855" t="s">
        <v>979</v>
      </c>
      <c r="B855" t="s">
        <v>44</v>
      </c>
      <c r="C855" t="s">
        <v>45</v>
      </c>
      <c r="D855" t="s">
        <v>27</v>
      </c>
      <c r="E855" t="s">
        <v>28</v>
      </c>
      <c r="F855">
        <v>54</v>
      </c>
      <c r="G855" t="s">
        <v>125</v>
      </c>
      <c r="H855" s="17">
        <v>44271</v>
      </c>
      <c r="I855">
        <v>56239</v>
      </c>
      <c r="J855">
        <v>56239</v>
      </c>
      <c r="K855">
        <v>0</v>
      </c>
      <c r="L855" t="s">
        <v>34</v>
      </c>
      <c r="M855" t="s">
        <v>35</v>
      </c>
      <c r="N855" s="17"/>
      <c r="O855">
        <v>0</v>
      </c>
    </row>
    <row r="856" spans="1:15" x14ac:dyDescent="0.3">
      <c r="A856" t="s">
        <v>980</v>
      </c>
      <c r="B856" t="s">
        <v>48</v>
      </c>
      <c r="C856" t="s">
        <v>45</v>
      </c>
      <c r="D856" t="s">
        <v>32</v>
      </c>
      <c r="E856" t="s">
        <v>33</v>
      </c>
      <c r="F856">
        <v>26</v>
      </c>
      <c r="G856" t="s">
        <v>127</v>
      </c>
      <c r="H856" s="17">
        <v>44257</v>
      </c>
      <c r="I856">
        <v>44732</v>
      </c>
      <c r="J856">
        <v>44732</v>
      </c>
      <c r="K856">
        <v>0</v>
      </c>
      <c r="L856" t="s">
        <v>59</v>
      </c>
      <c r="M856" t="s">
        <v>61</v>
      </c>
      <c r="N856" s="17"/>
      <c r="O856">
        <v>0</v>
      </c>
    </row>
    <row r="857" spans="1:15" x14ac:dyDescent="0.3">
      <c r="A857" t="s">
        <v>981</v>
      </c>
      <c r="B857" t="s">
        <v>37</v>
      </c>
      <c r="C857" t="s">
        <v>57</v>
      </c>
      <c r="D857" t="s">
        <v>46</v>
      </c>
      <c r="E857" t="s">
        <v>33</v>
      </c>
      <c r="F857">
        <v>49</v>
      </c>
      <c r="G857" t="s">
        <v>125</v>
      </c>
      <c r="H857" s="17">
        <v>41816</v>
      </c>
      <c r="I857">
        <v>153961</v>
      </c>
      <c r="J857">
        <v>192451</v>
      </c>
      <c r="K857">
        <v>0.25</v>
      </c>
      <c r="L857" t="s">
        <v>34</v>
      </c>
      <c r="M857" t="s">
        <v>55</v>
      </c>
      <c r="N857" s="17"/>
      <c r="O857">
        <v>0</v>
      </c>
    </row>
    <row r="858" spans="1:15" x14ac:dyDescent="0.3">
      <c r="A858" t="s">
        <v>982</v>
      </c>
      <c r="B858" t="s">
        <v>78</v>
      </c>
      <c r="C858" t="s">
        <v>26</v>
      </c>
      <c r="D858" t="s">
        <v>39</v>
      </c>
      <c r="E858" t="s">
        <v>28</v>
      </c>
      <c r="F858">
        <v>45</v>
      </c>
      <c r="G858" t="s">
        <v>125</v>
      </c>
      <c r="H858" s="17">
        <v>39069</v>
      </c>
      <c r="I858">
        <v>68337</v>
      </c>
      <c r="J858">
        <v>68337</v>
      </c>
      <c r="K858">
        <v>0</v>
      </c>
      <c r="L858" t="s">
        <v>34</v>
      </c>
      <c r="M858" t="s">
        <v>35</v>
      </c>
      <c r="N858" s="17"/>
      <c r="O858">
        <v>0</v>
      </c>
    </row>
    <row r="859" spans="1:15" x14ac:dyDescent="0.3">
      <c r="A859" t="s">
        <v>983</v>
      </c>
      <c r="B859" t="s">
        <v>25</v>
      </c>
      <c r="C859" t="s">
        <v>52</v>
      </c>
      <c r="D859" t="s">
        <v>46</v>
      </c>
      <c r="E859" t="s">
        <v>33</v>
      </c>
      <c r="F859">
        <v>45</v>
      </c>
      <c r="G859" t="s">
        <v>125</v>
      </c>
      <c r="H859" s="17">
        <v>40305</v>
      </c>
      <c r="I859">
        <v>145093</v>
      </c>
      <c r="J859">
        <v>162504</v>
      </c>
      <c r="K859">
        <v>0.12</v>
      </c>
      <c r="L859" t="s">
        <v>29</v>
      </c>
      <c r="M859" t="s">
        <v>40</v>
      </c>
      <c r="N859" s="17"/>
      <c r="O859">
        <v>0</v>
      </c>
    </row>
    <row r="860" spans="1:15" x14ac:dyDescent="0.3">
      <c r="A860" t="s">
        <v>984</v>
      </c>
      <c r="B860" t="s">
        <v>85</v>
      </c>
      <c r="C860" t="s">
        <v>26</v>
      </c>
      <c r="D860" t="s">
        <v>39</v>
      </c>
      <c r="E860" t="s">
        <v>28</v>
      </c>
      <c r="F860">
        <v>26</v>
      </c>
      <c r="G860" t="s">
        <v>127</v>
      </c>
      <c r="H860" s="17">
        <v>44266</v>
      </c>
      <c r="I860">
        <v>74170</v>
      </c>
      <c r="J860">
        <v>74170</v>
      </c>
      <c r="K860">
        <v>0</v>
      </c>
      <c r="L860" t="s">
        <v>29</v>
      </c>
      <c r="M860" t="s">
        <v>51</v>
      </c>
      <c r="N860" s="17"/>
      <c r="O860">
        <v>0</v>
      </c>
    </row>
    <row r="861" spans="1:15" x14ac:dyDescent="0.3">
      <c r="A861" t="s">
        <v>985</v>
      </c>
      <c r="B861" t="s">
        <v>71</v>
      </c>
      <c r="C861" t="s">
        <v>54</v>
      </c>
      <c r="D861" t="s">
        <v>27</v>
      </c>
      <c r="E861" t="s">
        <v>33</v>
      </c>
      <c r="F861">
        <v>59</v>
      </c>
      <c r="G861" t="s">
        <v>122</v>
      </c>
      <c r="H861" s="17">
        <v>35153</v>
      </c>
      <c r="I861">
        <v>62605</v>
      </c>
      <c r="J861">
        <v>62605</v>
      </c>
      <c r="K861">
        <v>0</v>
      </c>
      <c r="L861" t="s">
        <v>29</v>
      </c>
      <c r="M861" t="s">
        <v>51</v>
      </c>
      <c r="N861" s="17"/>
      <c r="O861">
        <v>0</v>
      </c>
    </row>
    <row r="862" spans="1:15" x14ac:dyDescent="0.3">
      <c r="A862" t="s">
        <v>986</v>
      </c>
      <c r="B862" t="s">
        <v>47</v>
      </c>
      <c r="C862" t="s">
        <v>26</v>
      </c>
      <c r="D862" t="s">
        <v>39</v>
      </c>
      <c r="E862" t="s">
        <v>28</v>
      </c>
      <c r="F862">
        <v>51</v>
      </c>
      <c r="G862" t="s">
        <v>125</v>
      </c>
      <c r="H862" s="17">
        <v>43903</v>
      </c>
      <c r="I862">
        <v>107195</v>
      </c>
      <c r="J862">
        <v>116843</v>
      </c>
      <c r="K862">
        <v>0.09</v>
      </c>
      <c r="L862" t="s">
        <v>29</v>
      </c>
      <c r="M862" t="s">
        <v>51</v>
      </c>
      <c r="N862" s="17"/>
      <c r="O862">
        <v>0</v>
      </c>
    </row>
    <row r="863" spans="1:15" x14ac:dyDescent="0.3">
      <c r="A863" t="s">
        <v>987</v>
      </c>
      <c r="B863" t="s">
        <v>25</v>
      </c>
      <c r="C863" t="s">
        <v>57</v>
      </c>
      <c r="D863" t="s">
        <v>39</v>
      </c>
      <c r="E863" t="s">
        <v>33</v>
      </c>
      <c r="F863">
        <v>45</v>
      </c>
      <c r="G863" t="s">
        <v>125</v>
      </c>
      <c r="H863" s="17">
        <v>43111</v>
      </c>
      <c r="I863">
        <v>127422</v>
      </c>
      <c r="J863">
        <v>146535</v>
      </c>
      <c r="K863">
        <v>0.15</v>
      </c>
      <c r="L863" t="s">
        <v>29</v>
      </c>
      <c r="M863" t="s">
        <v>58</v>
      </c>
      <c r="N863" s="17"/>
      <c r="O863">
        <v>0</v>
      </c>
    </row>
    <row r="864" spans="1:15" x14ac:dyDescent="0.3">
      <c r="A864" t="s">
        <v>988</v>
      </c>
      <c r="B864" t="s">
        <v>37</v>
      </c>
      <c r="C864" t="s">
        <v>50</v>
      </c>
      <c r="D864" t="s">
        <v>27</v>
      </c>
      <c r="E864" t="s">
        <v>28</v>
      </c>
      <c r="F864">
        <v>35</v>
      </c>
      <c r="G864" t="s">
        <v>135</v>
      </c>
      <c r="H864" s="17">
        <v>42912</v>
      </c>
      <c r="I864">
        <v>161269</v>
      </c>
      <c r="J864">
        <v>204812</v>
      </c>
      <c r="K864">
        <v>0.27</v>
      </c>
      <c r="L864" t="s">
        <v>29</v>
      </c>
      <c r="M864" t="s">
        <v>49</v>
      </c>
      <c r="N864" s="17"/>
      <c r="O864">
        <v>0</v>
      </c>
    </row>
    <row r="865" spans="1:15" x14ac:dyDescent="0.3">
      <c r="A865" t="s">
        <v>989</v>
      </c>
      <c r="B865" t="s">
        <v>56</v>
      </c>
      <c r="C865" t="s">
        <v>57</v>
      </c>
      <c r="D865" t="s">
        <v>46</v>
      </c>
      <c r="E865" t="s">
        <v>28</v>
      </c>
      <c r="F865">
        <v>32</v>
      </c>
      <c r="G865" t="s">
        <v>127</v>
      </c>
      <c r="H865" s="17">
        <v>41675</v>
      </c>
      <c r="I865">
        <v>203445</v>
      </c>
      <c r="J865">
        <v>272616</v>
      </c>
      <c r="K865">
        <v>0.34</v>
      </c>
      <c r="L865" t="s">
        <v>59</v>
      </c>
      <c r="M865" t="s">
        <v>60</v>
      </c>
      <c r="N865" s="17"/>
      <c r="O865">
        <v>0</v>
      </c>
    </row>
    <row r="866" spans="1:15" x14ac:dyDescent="0.3">
      <c r="A866" t="s">
        <v>990</v>
      </c>
      <c r="B866" t="s">
        <v>25</v>
      </c>
      <c r="C866" t="s">
        <v>52</v>
      </c>
      <c r="D866" t="s">
        <v>27</v>
      </c>
      <c r="E866" t="s">
        <v>28</v>
      </c>
      <c r="F866">
        <v>37</v>
      </c>
      <c r="G866" t="s">
        <v>135</v>
      </c>
      <c r="H866" s="17">
        <v>40560</v>
      </c>
      <c r="I866">
        <v>131353</v>
      </c>
      <c r="J866">
        <v>145802</v>
      </c>
      <c r="K866">
        <v>0.11</v>
      </c>
      <c r="L866" t="s">
        <v>34</v>
      </c>
      <c r="M866" t="s">
        <v>55</v>
      </c>
      <c r="N866" s="17"/>
      <c r="O866">
        <v>0</v>
      </c>
    </row>
    <row r="867" spans="1:15" x14ac:dyDescent="0.3">
      <c r="A867" t="s">
        <v>991</v>
      </c>
      <c r="B867" t="s">
        <v>86</v>
      </c>
      <c r="C867" t="s">
        <v>26</v>
      </c>
      <c r="D867" t="s">
        <v>32</v>
      </c>
      <c r="E867" t="s">
        <v>33</v>
      </c>
      <c r="F867">
        <v>45</v>
      </c>
      <c r="G867" t="s">
        <v>125</v>
      </c>
      <c r="H867" s="17">
        <v>40253</v>
      </c>
      <c r="I867">
        <v>88182</v>
      </c>
      <c r="J867">
        <v>88182</v>
      </c>
      <c r="K867">
        <v>0</v>
      </c>
      <c r="L867" t="s">
        <v>34</v>
      </c>
      <c r="M867" t="s">
        <v>68</v>
      </c>
      <c r="N867" s="17"/>
      <c r="O867">
        <v>0</v>
      </c>
    </row>
    <row r="868" spans="1:15" x14ac:dyDescent="0.3">
      <c r="A868" t="s">
        <v>992</v>
      </c>
      <c r="B868" t="s">
        <v>67</v>
      </c>
      <c r="C868" t="s">
        <v>26</v>
      </c>
      <c r="D868" t="s">
        <v>39</v>
      </c>
      <c r="E868" t="s">
        <v>33</v>
      </c>
      <c r="F868">
        <v>61</v>
      </c>
      <c r="G868" t="s">
        <v>122</v>
      </c>
      <c r="H868" s="17">
        <v>43703</v>
      </c>
      <c r="I868">
        <v>75780</v>
      </c>
      <c r="J868">
        <v>75780</v>
      </c>
      <c r="K868">
        <v>0</v>
      </c>
      <c r="L868" t="s">
        <v>29</v>
      </c>
      <c r="M868" t="s">
        <v>30</v>
      </c>
      <c r="N868" s="17"/>
      <c r="O868">
        <v>0</v>
      </c>
    </row>
    <row r="869" spans="1:15" x14ac:dyDescent="0.3">
      <c r="A869" t="s">
        <v>993</v>
      </c>
      <c r="B869" t="s">
        <v>66</v>
      </c>
      <c r="C869" t="s">
        <v>45</v>
      </c>
      <c r="D869" t="s">
        <v>27</v>
      </c>
      <c r="E869" t="s">
        <v>28</v>
      </c>
      <c r="F869">
        <v>45</v>
      </c>
      <c r="G869" t="s">
        <v>125</v>
      </c>
      <c r="H869" s="17">
        <v>43557</v>
      </c>
      <c r="I869">
        <v>52621</v>
      </c>
      <c r="J869">
        <v>52621</v>
      </c>
      <c r="K869">
        <v>0</v>
      </c>
      <c r="L869" t="s">
        <v>34</v>
      </c>
      <c r="M869" t="s">
        <v>64</v>
      </c>
      <c r="N869" s="17"/>
      <c r="O869">
        <v>0</v>
      </c>
    </row>
    <row r="870" spans="1:15" x14ac:dyDescent="0.3">
      <c r="A870" t="s">
        <v>994</v>
      </c>
      <c r="B870" t="s">
        <v>63</v>
      </c>
      <c r="C870" t="s">
        <v>54</v>
      </c>
      <c r="D870" t="s">
        <v>27</v>
      </c>
      <c r="E870" t="s">
        <v>33</v>
      </c>
      <c r="F870">
        <v>60</v>
      </c>
      <c r="G870" t="s">
        <v>122</v>
      </c>
      <c r="H870" s="17">
        <v>43146</v>
      </c>
      <c r="I870">
        <v>106079</v>
      </c>
      <c r="J870">
        <v>120930</v>
      </c>
      <c r="K870">
        <v>0.14000000000000001</v>
      </c>
      <c r="L870" t="s">
        <v>29</v>
      </c>
      <c r="M870" t="s">
        <v>51</v>
      </c>
      <c r="N870" s="17">
        <v>44295</v>
      </c>
      <c r="O870">
        <v>1</v>
      </c>
    </row>
    <row r="871" spans="1:15" x14ac:dyDescent="0.3">
      <c r="A871" t="s">
        <v>995</v>
      </c>
      <c r="B871" t="s">
        <v>75</v>
      </c>
      <c r="C871" t="s">
        <v>26</v>
      </c>
      <c r="D871" t="s">
        <v>46</v>
      </c>
      <c r="E871" t="s">
        <v>33</v>
      </c>
      <c r="F871">
        <v>30</v>
      </c>
      <c r="G871" t="s">
        <v>127</v>
      </c>
      <c r="H871" s="17">
        <v>42777</v>
      </c>
      <c r="I871">
        <v>92058</v>
      </c>
      <c r="J871">
        <v>92058</v>
      </c>
      <c r="K871">
        <v>0</v>
      </c>
      <c r="L871" t="s">
        <v>29</v>
      </c>
      <c r="M871" t="s">
        <v>51</v>
      </c>
      <c r="N871" s="17"/>
      <c r="O871">
        <v>0</v>
      </c>
    </row>
    <row r="872" spans="1:15" x14ac:dyDescent="0.3">
      <c r="A872" t="s">
        <v>996</v>
      </c>
      <c r="B872" t="s">
        <v>71</v>
      </c>
      <c r="C872" t="s">
        <v>54</v>
      </c>
      <c r="D872" t="s">
        <v>32</v>
      </c>
      <c r="E872" t="s">
        <v>33</v>
      </c>
      <c r="F872">
        <v>64</v>
      </c>
      <c r="G872" t="s">
        <v>122</v>
      </c>
      <c r="H872" s="17">
        <v>43527</v>
      </c>
      <c r="I872">
        <v>67114</v>
      </c>
      <c r="J872">
        <v>67114</v>
      </c>
      <c r="K872">
        <v>0</v>
      </c>
      <c r="L872" t="s">
        <v>29</v>
      </c>
      <c r="M872" t="s">
        <v>43</v>
      </c>
      <c r="N872" s="17"/>
      <c r="O872">
        <v>0</v>
      </c>
    </row>
    <row r="873" spans="1:15" x14ac:dyDescent="0.3">
      <c r="A873" t="s">
        <v>997</v>
      </c>
      <c r="B873" t="s">
        <v>66</v>
      </c>
      <c r="C873" t="s">
        <v>38</v>
      </c>
      <c r="D873" t="s">
        <v>27</v>
      </c>
      <c r="E873" t="s">
        <v>28</v>
      </c>
      <c r="F873">
        <v>25</v>
      </c>
      <c r="G873" t="s">
        <v>127</v>
      </c>
      <c r="H873" s="17">
        <v>44024</v>
      </c>
      <c r="I873">
        <v>56565</v>
      </c>
      <c r="J873">
        <v>56565</v>
      </c>
      <c r="K873">
        <v>0</v>
      </c>
      <c r="L873" t="s">
        <v>59</v>
      </c>
      <c r="M873" t="s">
        <v>76</v>
      </c>
      <c r="N873" s="17"/>
      <c r="O873">
        <v>0</v>
      </c>
    </row>
    <row r="874" spans="1:15" x14ac:dyDescent="0.3">
      <c r="A874" t="s">
        <v>998</v>
      </c>
      <c r="B874" t="s">
        <v>70</v>
      </c>
      <c r="C874" t="s">
        <v>52</v>
      </c>
      <c r="D874" t="s">
        <v>32</v>
      </c>
      <c r="E874" t="s">
        <v>28</v>
      </c>
      <c r="F874">
        <v>61</v>
      </c>
      <c r="G874" t="s">
        <v>122</v>
      </c>
      <c r="H874" s="17">
        <v>40683</v>
      </c>
      <c r="I874">
        <v>64937</v>
      </c>
      <c r="J874">
        <v>64937</v>
      </c>
      <c r="K874">
        <v>0</v>
      </c>
      <c r="L874" t="s">
        <v>29</v>
      </c>
      <c r="M874" t="s">
        <v>43</v>
      </c>
      <c r="N874" s="17"/>
      <c r="O874">
        <v>0</v>
      </c>
    </row>
    <row r="875" spans="1:15" x14ac:dyDescent="0.3">
      <c r="A875" t="s">
        <v>999</v>
      </c>
      <c r="B875" t="s">
        <v>47</v>
      </c>
      <c r="C875" t="s">
        <v>57</v>
      </c>
      <c r="D875" t="s">
        <v>32</v>
      </c>
      <c r="E875" t="s">
        <v>28</v>
      </c>
      <c r="F875">
        <v>65</v>
      </c>
      <c r="G875" t="s">
        <v>142</v>
      </c>
      <c r="H875" s="17">
        <v>38967</v>
      </c>
      <c r="I875">
        <v>127626</v>
      </c>
      <c r="J875">
        <v>140389</v>
      </c>
      <c r="K875">
        <v>0.1</v>
      </c>
      <c r="L875" t="s">
        <v>29</v>
      </c>
      <c r="M875" t="s">
        <v>49</v>
      </c>
      <c r="N875" s="17"/>
      <c r="O875">
        <v>0</v>
      </c>
    </row>
    <row r="876" spans="1:15" x14ac:dyDescent="0.3">
      <c r="A876" t="s">
        <v>1000</v>
      </c>
      <c r="B876" t="s">
        <v>78</v>
      </c>
      <c r="C876" t="s">
        <v>26</v>
      </c>
      <c r="D876" t="s">
        <v>46</v>
      </c>
      <c r="E876" t="s">
        <v>33</v>
      </c>
      <c r="F876">
        <v>61</v>
      </c>
      <c r="G876" t="s">
        <v>122</v>
      </c>
      <c r="H876" s="17">
        <v>38013</v>
      </c>
      <c r="I876">
        <v>88478</v>
      </c>
      <c r="J876">
        <v>88478</v>
      </c>
      <c r="K876">
        <v>0</v>
      </c>
      <c r="L876" t="s">
        <v>29</v>
      </c>
      <c r="M876" t="s">
        <v>51</v>
      </c>
      <c r="N876" s="17"/>
      <c r="O876">
        <v>0</v>
      </c>
    </row>
    <row r="877" spans="1:15" x14ac:dyDescent="0.3">
      <c r="A877" t="s">
        <v>1001</v>
      </c>
      <c r="B877" t="s">
        <v>41</v>
      </c>
      <c r="C877" t="s">
        <v>26</v>
      </c>
      <c r="D877" t="s">
        <v>39</v>
      </c>
      <c r="E877" t="s">
        <v>28</v>
      </c>
      <c r="F877">
        <v>48</v>
      </c>
      <c r="G877" t="s">
        <v>125</v>
      </c>
      <c r="H877" s="17">
        <v>41749</v>
      </c>
      <c r="I877">
        <v>91679</v>
      </c>
      <c r="J877">
        <v>98097</v>
      </c>
      <c r="K877">
        <v>7.0000000000000007E-2</v>
      </c>
      <c r="L877" t="s">
        <v>34</v>
      </c>
      <c r="M877" t="s">
        <v>35</v>
      </c>
      <c r="N877" s="17"/>
      <c r="O877">
        <v>0</v>
      </c>
    </row>
    <row r="878" spans="1:15" x14ac:dyDescent="0.3">
      <c r="A878" t="s">
        <v>1002</v>
      </c>
      <c r="B878" t="s">
        <v>37</v>
      </c>
      <c r="C878" t="s">
        <v>45</v>
      </c>
      <c r="D878" t="s">
        <v>46</v>
      </c>
      <c r="E878" t="s">
        <v>33</v>
      </c>
      <c r="F878">
        <v>58</v>
      </c>
      <c r="G878" t="s">
        <v>122</v>
      </c>
      <c r="H878" s="17">
        <v>33682</v>
      </c>
      <c r="I878">
        <v>199848</v>
      </c>
      <c r="J878">
        <v>231824</v>
      </c>
      <c r="K878">
        <v>0.16</v>
      </c>
      <c r="L878" t="s">
        <v>34</v>
      </c>
      <c r="M878" t="s">
        <v>35</v>
      </c>
      <c r="N878" s="17"/>
      <c r="O878">
        <v>0</v>
      </c>
    </row>
    <row r="879" spans="1:15" x14ac:dyDescent="0.3">
      <c r="A879" t="s">
        <v>1003</v>
      </c>
      <c r="B879" t="s">
        <v>79</v>
      </c>
      <c r="C879" t="s">
        <v>26</v>
      </c>
      <c r="D879" t="s">
        <v>32</v>
      </c>
      <c r="E879" t="s">
        <v>33</v>
      </c>
      <c r="F879">
        <v>34</v>
      </c>
      <c r="G879" t="s">
        <v>127</v>
      </c>
      <c r="H879" s="17">
        <v>43414</v>
      </c>
      <c r="I879">
        <v>61944</v>
      </c>
      <c r="J879">
        <v>61944</v>
      </c>
      <c r="K879">
        <v>0</v>
      </c>
      <c r="L879" t="s">
        <v>34</v>
      </c>
      <c r="M879" t="s">
        <v>55</v>
      </c>
      <c r="N879" s="17"/>
      <c r="O879">
        <v>0</v>
      </c>
    </row>
    <row r="880" spans="1:15" x14ac:dyDescent="0.3">
      <c r="A880" t="s">
        <v>1004</v>
      </c>
      <c r="B880" t="s">
        <v>25</v>
      </c>
      <c r="C880" t="s">
        <v>45</v>
      </c>
      <c r="D880" t="s">
        <v>39</v>
      </c>
      <c r="E880" t="s">
        <v>28</v>
      </c>
      <c r="F880">
        <v>30</v>
      </c>
      <c r="G880" t="s">
        <v>127</v>
      </c>
      <c r="H880" s="17">
        <v>42960</v>
      </c>
      <c r="I880">
        <v>154624</v>
      </c>
      <c r="J880">
        <v>177818</v>
      </c>
      <c r="K880">
        <v>0.15</v>
      </c>
      <c r="L880" t="s">
        <v>29</v>
      </c>
      <c r="M880" t="s">
        <v>51</v>
      </c>
      <c r="N880" s="17"/>
      <c r="O880">
        <v>0</v>
      </c>
    </row>
    <row r="881" spans="1:15" x14ac:dyDescent="0.3">
      <c r="A881" t="s">
        <v>1005</v>
      </c>
      <c r="B881" t="s">
        <v>42</v>
      </c>
      <c r="C881" t="s">
        <v>50</v>
      </c>
      <c r="D881" t="s">
        <v>27</v>
      </c>
      <c r="E881" t="s">
        <v>33</v>
      </c>
      <c r="F881">
        <v>50</v>
      </c>
      <c r="G881" t="s">
        <v>125</v>
      </c>
      <c r="H881" s="17">
        <v>40109</v>
      </c>
      <c r="I881">
        <v>79447</v>
      </c>
      <c r="J881">
        <v>79447</v>
      </c>
      <c r="K881">
        <v>0</v>
      </c>
      <c r="L881" t="s">
        <v>34</v>
      </c>
      <c r="M881" t="s">
        <v>55</v>
      </c>
      <c r="N881" s="17"/>
      <c r="O881">
        <v>0</v>
      </c>
    </row>
    <row r="882" spans="1:15" x14ac:dyDescent="0.3">
      <c r="A882" t="s">
        <v>1006</v>
      </c>
      <c r="B882" t="s">
        <v>42</v>
      </c>
      <c r="C882" t="s">
        <v>45</v>
      </c>
      <c r="D882" t="s">
        <v>32</v>
      </c>
      <c r="E882" t="s">
        <v>33</v>
      </c>
      <c r="F882">
        <v>51</v>
      </c>
      <c r="G882" t="s">
        <v>125</v>
      </c>
      <c r="H882" s="17">
        <v>35852</v>
      </c>
      <c r="I882">
        <v>71111</v>
      </c>
      <c r="J882">
        <v>71111</v>
      </c>
      <c r="K882">
        <v>0</v>
      </c>
      <c r="L882" t="s">
        <v>59</v>
      </c>
      <c r="M882" t="s">
        <v>61</v>
      </c>
      <c r="N882" s="17"/>
      <c r="O882">
        <v>0</v>
      </c>
    </row>
    <row r="883" spans="1:15" x14ac:dyDescent="0.3">
      <c r="A883" t="s">
        <v>1007</v>
      </c>
      <c r="B883" t="s">
        <v>25</v>
      </c>
      <c r="C883" t="s">
        <v>45</v>
      </c>
      <c r="D883" t="s">
        <v>27</v>
      </c>
      <c r="E883" t="s">
        <v>33</v>
      </c>
      <c r="F883">
        <v>53</v>
      </c>
      <c r="G883" t="s">
        <v>125</v>
      </c>
      <c r="H883" s="17">
        <v>41931</v>
      </c>
      <c r="I883">
        <v>159538</v>
      </c>
      <c r="J883">
        <v>177087</v>
      </c>
      <c r="K883">
        <v>0.11</v>
      </c>
      <c r="L883" t="s">
        <v>29</v>
      </c>
      <c r="M883" t="s">
        <v>49</v>
      </c>
      <c r="N883" s="17"/>
      <c r="O883">
        <v>0</v>
      </c>
    </row>
    <row r="884" spans="1:15" x14ac:dyDescent="0.3">
      <c r="A884" t="s">
        <v>1008</v>
      </c>
      <c r="B884" t="s">
        <v>53</v>
      </c>
      <c r="C884" t="s">
        <v>54</v>
      </c>
      <c r="D884" t="s">
        <v>46</v>
      </c>
      <c r="E884" t="s">
        <v>28</v>
      </c>
      <c r="F884">
        <v>47</v>
      </c>
      <c r="G884" t="s">
        <v>125</v>
      </c>
      <c r="H884" s="17">
        <v>43375</v>
      </c>
      <c r="I884">
        <v>111404</v>
      </c>
      <c r="J884">
        <v>111404</v>
      </c>
      <c r="K884">
        <v>0</v>
      </c>
      <c r="L884" t="s">
        <v>59</v>
      </c>
      <c r="M884" t="s">
        <v>61</v>
      </c>
      <c r="N884" s="17"/>
      <c r="O884">
        <v>0</v>
      </c>
    </row>
    <row r="885" spans="1:15" x14ac:dyDescent="0.3">
      <c r="A885" t="s">
        <v>1009</v>
      </c>
      <c r="B885" t="s">
        <v>37</v>
      </c>
      <c r="C885" t="s">
        <v>57</v>
      </c>
      <c r="D885" t="s">
        <v>39</v>
      </c>
      <c r="E885" t="s">
        <v>33</v>
      </c>
      <c r="F885">
        <v>25</v>
      </c>
      <c r="G885" t="s">
        <v>127</v>
      </c>
      <c r="H885" s="17">
        <v>44058</v>
      </c>
      <c r="I885">
        <v>172007</v>
      </c>
      <c r="J885">
        <v>216729</v>
      </c>
      <c r="K885">
        <v>0.26</v>
      </c>
      <c r="L885" t="s">
        <v>29</v>
      </c>
      <c r="M885" t="s">
        <v>49</v>
      </c>
      <c r="N885" s="17"/>
      <c r="O885">
        <v>0</v>
      </c>
    </row>
    <row r="886" spans="1:15" x14ac:dyDescent="0.3">
      <c r="A886" t="s">
        <v>1010</v>
      </c>
      <c r="B886" t="s">
        <v>56</v>
      </c>
      <c r="C886" t="s">
        <v>57</v>
      </c>
      <c r="D886" t="s">
        <v>32</v>
      </c>
      <c r="E886" t="s">
        <v>28</v>
      </c>
      <c r="F886">
        <v>37</v>
      </c>
      <c r="G886" t="s">
        <v>135</v>
      </c>
      <c r="H886" s="17">
        <v>40745</v>
      </c>
      <c r="I886">
        <v>219474</v>
      </c>
      <c r="J886">
        <v>298485</v>
      </c>
      <c r="K886">
        <v>0.36</v>
      </c>
      <c r="L886" t="s">
        <v>59</v>
      </c>
      <c r="M886" t="s">
        <v>60</v>
      </c>
      <c r="N886" s="17"/>
      <c r="O886">
        <v>0</v>
      </c>
    </row>
    <row r="887" spans="1:15" x14ac:dyDescent="0.3">
      <c r="A887" t="s">
        <v>1011</v>
      </c>
      <c r="B887" t="s">
        <v>37</v>
      </c>
      <c r="C887" t="s">
        <v>38</v>
      </c>
      <c r="D887" t="s">
        <v>46</v>
      </c>
      <c r="E887" t="s">
        <v>33</v>
      </c>
      <c r="F887">
        <v>41</v>
      </c>
      <c r="G887" t="s">
        <v>135</v>
      </c>
      <c r="H887" s="17">
        <v>43600</v>
      </c>
      <c r="I887">
        <v>174415</v>
      </c>
      <c r="J887">
        <v>214530</v>
      </c>
      <c r="K887">
        <v>0.23</v>
      </c>
      <c r="L887" t="s">
        <v>29</v>
      </c>
      <c r="M887" t="s">
        <v>49</v>
      </c>
      <c r="N887" s="17"/>
      <c r="O887">
        <v>0</v>
      </c>
    </row>
    <row r="888" spans="1:15" x14ac:dyDescent="0.3">
      <c r="A888" t="s">
        <v>1012</v>
      </c>
      <c r="B888" t="s">
        <v>78</v>
      </c>
      <c r="C888" t="s">
        <v>26</v>
      </c>
      <c r="D888" t="s">
        <v>39</v>
      </c>
      <c r="E888" t="s">
        <v>28</v>
      </c>
      <c r="F888">
        <v>36</v>
      </c>
      <c r="G888" t="s">
        <v>135</v>
      </c>
      <c r="H888" s="17">
        <v>44217</v>
      </c>
      <c r="I888">
        <v>90333</v>
      </c>
      <c r="J888">
        <v>90333</v>
      </c>
      <c r="K888">
        <v>0</v>
      </c>
      <c r="L888" t="s">
        <v>59</v>
      </c>
      <c r="M888" t="s">
        <v>61</v>
      </c>
      <c r="N888" s="17"/>
      <c r="O888">
        <v>0</v>
      </c>
    </row>
    <row r="889" spans="1:15" x14ac:dyDescent="0.3">
      <c r="A889" t="s">
        <v>1013</v>
      </c>
      <c r="B889" t="s">
        <v>70</v>
      </c>
      <c r="C889" t="s">
        <v>52</v>
      </c>
      <c r="D889" t="s">
        <v>39</v>
      </c>
      <c r="E889" t="s">
        <v>33</v>
      </c>
      <c r="F889">
        <v>25</v>
      </c>
      <c r="G889" t="s">
        <v>127</v>
      </c>
      <c r="H889" s="17">
        <v>44217</v>
      </c>
      <c r="I889">
        <v>67299</v>
      </c>
      <c r="J889">
        <v>67299</v>
      </c>
      <c r="K889">
        <v>0</v>
      </c>
      <c r="L889" t="s">
        <v>29</v>
      </c>
      <c r="M889" t="s">
        <v>43</v>
      </c>
      <c r="N889" s="17"/>
      <c r="O889">
        <v>0</v>
      </c>
    </row>
    <row r="890" spans="1:15" x14ac:dyDescent="0.3">
      <c r="A890" t="s">
        <v>1014</v>
      </c>
      <c r="B890" t="s">
        <v>83</v>
      </c>
      <c r="C890" t="s">
        <v>26</v>
      </c>
      <c r="D890" t="s">
        <v>27</v>
      </c>
      <c r="E890" t="s">
        <v>28</v>
      </c>
      <c r="F890">
        <v>52</v>
      </c>
      <c r="G890" t="s">
        <v>125</v>
      </c>
      <c r="H890" s="17">
        <v>38406</v>
      </c>
      <c r="I890">
        <v>45286</v>
      </c>
      <c r="J890">
        <v>45286</v>
      </c>
      <c r="K890">
        <v>0</v>
      </c>
      <c r="L890" t="s">
        <v>29</v>
      </c>
      <c r="M890" t="s">
        <v>40</v>
      </c>
      <c r="N890" s="17"/>
      <c r="O890">
        <v>0</v>
      </c>
    </row>
    <row r="891" spans="1:15" x14ac:dyDescent="0.3">
      <c r="A891" t="s">
        <v>1015</v>
      </c>
      <c r="B891" t="s">
        <v>37</v>
      </c>
      <c r="C891" t="s">
        <v>57</v>
      </c>
      <c r="D891" t="s">
        <v>27</v>
      </c>
      <c r="E891" t="s">
        <v>33</v>
      </c>
      <c r="F891">
        <v>48</v>
      </c>
      <c r="G891" t="s">
        <v>125</v>
      </c>
      <c r="H891" s="17">
        <v>39302</v>
      </c>
      <c r="I891">
        <v>194723</v>
      </c>
      <c r="J891">
        <v>243404</v>
      </c>
      <c r="K891">
        <v>0.25</v>
      </c>
      <c r="L891" t="s">
        <v>29</v>
      </c>
      <c r="M891" t="s">
        <v>43</v>
      </c>
      <c r="N891" s="17"/>
      <c r="O891">
        <v>0</v>
      </c>
    </row>
    <row r="892" spans="1:15" x14ac:dyDescent="0.3">
      <c r="A892" t="s">
        <v>1016</v>
      </c>
      <c r="B892" t="s">
        <v>47</v>
      </c>
      <c r="C892" t="s">
        <v>45</v>
      </c>
      <c r="D892" t="s">
        <v>27</v>
      </c>
      <c r="E892" t="s">
        <v>33</v>
      </c>
      <c r="F892">
        <v>49</v>
      </c>
      <c r="G892" t="s">
        <v>125</v>
      </c>
      <c r="H892" s="17">
        <v>41131</v>
      </c>
      <c r="I892">
        <v>109850</v>
      </c>
      <c r="J892">
        <v>117540</v>
      </c>
      <c r="K892">
        <v>7.0000000000000007E-2</v>
      </c>
      <c r="L892" t="s">
        <v>34</v>
      </c>
      <c r="M892" t="s">
        <v>64</v>
      </c>
      <c r="N892" s="17">
        <v>43865</v>
      </c>
      <c r="O892">
        <v>1</v>
      </c>
    </row>
    <row r="893" spans="1:15" x14ac:dyDescent="0.3">
      <c r="A893" t="s">
        <v>1017</v>
      </c>
      <c r="B893" t="s">
        <v>74</v>
      </c>
      <c r="C893" t="s">
        <v>52</v>
      </c>
      <c r="D893" t="s">
        <v>27</v>
      </c>
      <c r="E893" t="s">
        <v>28</v>
      </c>
      <c r="F893">
        <v>62</v>
      </c>
      <c r="G893" t="s">
        <v>122</v>
      </c>
      <c r="H893" s="17">
        <v>41748</v>
      </c>
      <c r="I893">
        <v>45295</v>
      </c>
      <c r="J893">
        <v>45295</v>
      </c>
      <c r="K893">
        <v>0</v>
      </c>
      <c r="L893" t="s">
        <v>59</v>
      </c>
      <c r="M893" t="s">
        <v>76</v>
      </c>
      <c r="N893" s="17"/>
      <c r="O893">
        <v>0</v>
      </c>
    </row>
    <row r="894" spans="1:15" x14ac:dyDescent="0.3">
      <c r="A894" t="s">
        <v>1018</v>
      </c>
      <c r="B894" t="s">
        <v>87</v>
      </c>
      <c r="C894" t="s">
        <v>26</v>
      </c>
      <c r="D894" t="s">
        <v>32</v>
      </c>
      <c r="E894" t="s">
        <v>28</v>
      </c>
      <c r="F894">
        <v>36</v>
      </c>
      <c r="G894" t="s">
        <v>135</v>
      </c>
      <c r="H894" s="17">
        <v>40413</v>
      </c>
      <c r="I894">
        <v>61310</v>
      </c>
      <c r="J894">
        <v>61310</v>
      </c>
      <c r="K894">
        <v>0</v>
      </c>
      <c r="L894" t="s">
        <v>29</v>
      </c>
      <c r="M894" t="s">
        <v>43</v>
      </c>
      <c r="N894" s="17"/>
      <c r="O894">
        <v>0</v>
      </c>
    </row>
    <row r="895" spans="1:15" x14ac:dyDescent="0.3">
      <c r="A895" t="s">
        <v>1019</v>
      </c>
      <c r="B895" t="s">
        <v>82</v>
      </c>
      <c r="C895" t="s">
        <v>26</v>
      </c>
      <c r="D895" t="s">
        <v>27</v>
      </c>
      <c r="E895" t="s">
        <v>33</v>
      </c>
      <c r="F895">
        <v>55</v>
      </c>
      <c r="G895" t="s">
        <v>122</v>
      </c>
      <c r="H895" s="17">
        <v>42683</v>
      </c>
      <c r="I895">
        <v>87851</v>
      </c>
      <c r="J895">
        <v>87851</v>
      </c>
      <c r="K895">
        <v>0</v>
      </c>
      <c r="L895" t="s">
        <v>34</v>
      </c>
      <c r="M895" t="s">
        <v>35</v>
      </c>
      <c r="N895" s="17"/>
      <c r="O895">
        <v>0</v>
      </c>
    </row>
    <row r="896" spans="1:15" x14ac:dyDescent="0.3">
      <c r="A896" t="s">
        <v>1020</v>
      </c>
      <c r="B896" t="s">
        <v>74</v>
      </c>
      <c r="C896" t="s">
        <v>52</v>
      </c>
      <c r="D896" t="s">
        <v>39</v>
      </c>
      <c r="E896" t="s">
        <v>28</v>
      </c>
      <c r="F896">
        <v>31</v>
      </c>
      <c r="G896" t="s">
        <v>127</v>
      </c>
      <c r="H896" s="17">
        <v>43171</v>
      </c>
      <c r="I896">
        <v>47913</v>
      </c>
      <c r="J896">
        <v>47913</v>
      </c>
      <c r="K896">
        <v>0</v>
      </c>
      <c r="L896" t="s">
        <v>29</v>
      </c>
      <c r="M896" t="s">
        <v>30</v>
      </c>
      <c r="N896" s="17"/>
      <c r="O896">
        <v>0</v>
      </c>
    </row>
    <row r="897" spans="1:15" x14ac:dyDescent="0.3">
      <c r="A897" t="s">
        <v>1021</v>
      </c>
      <c r="B897" t="s">
        <v>74</v>
      </c>
      <c r="C897" t="s">
        <v>52</v>
      </c>
      <c r="D897" t="s">
        <v>39</v>
      </c>
      <c r="E897" t="s">
        <v>28</v>
      </c>
      <c r="F897">
        <v>53</v>
      </c>
      <c r="G897" t="s">
        <v>125</v>
      </c>
      <c r="H897" s="17">
        <v>42985</v>
      </c>
      <c r="I897">
        <v>46727</v>
      </c>
      <c r="J897">
        <v>46727</v>
      </c>
      <c r="K897">
        <v>0</v>
      </c>
      <c r="L897" t="s">
        <v>29</v>
      </c>
      <c r="M897" t="s">
        <v>58</v>
      </c>
      <c r="N897" s="17">
        <v>43251</v>
      </c>
      <c r="O897">
        <v>1</v>
      </c>
    </row>
    <row r="898" spans="1:15" x14ac:dyDescent="0.3">
      <c r="A898" t="s">
        <v>1022</v>
      </c>
      <c r="B898" t="s">
        <v>25</v>
      </c>
      <c r="C898" t="s">
        <v>52</v>
      </c>
      <c r="D898" t="s">
        <v>39</v>
      </c>
      <c r="E898" t="s">
        <v>33</v>
      </c>
      <c r="F898">
        <v>27</v>
      </c>
      <c r="G898" t="s">
        <v>127</v>
      </c>
      <c r="H898" s="17">
        <v>44302</v>
      </c>
      <c r="I898">
        <v>133400</v>
      </c>
      <c r="J898">
        <v>148074</v>
      </c>
      <c r="K898">
        <v>0.11</v>
      </c>
      <c r="L898" t="s">
        <v>29</v>
      </c>
      <c r="M898" t="s">
        <v>43</v>
      </c>
      <c r="N898" s="17"/>
      <c r="O898">
        <v>0</v>
      </c>
    </row>
    <row r="899" spans="1:15" x14ac:dyDescent="0.3">
      <c r="A899" t="s">
        <v>1023</v>
      </c>
      <c r="B899" t="s">
        <v>84</v>
      </c>
      <c r="C899" t="s">
        <v>26</v>
      </c>
      <c r="D899" t="s">
        <v>39</v>
      </c>
      <c r="E899" t="s">
        <v>28</v>
      </c>
      <c r="F899">
        <v>39</v>
      </c>
      <c r="G899" t="s">
        <v>135</v>
      </c>
      <c r="H899" s="17">
        <v>43943</v>
      </c>
      <c r="I899">
        <v>90535</v>
      </c>
      <c r="J899">
        <v>90535</v>
      </c>
      <c r="K899">
        <v>0</v>
      </c>
      <c r="L899" t="s">
        <v>29</v>
      </c>
      <c r="M899" t="s">
        <v>49</v>
      </c>
      <c r="N899" s="17"/>
      <c r="O899">
        <v>0</v>
      </c>
    </row>
    <row r="900" spans="1:15" x14ac:dyDescent="0.3">
      <c r="A900" t="s">
        <v>1024</v>
      </c>
      <c r="B900" t="s">
        <v>42</v>
      </c>
      <c r="C900" t="s">
        <v>57</v>
      </c>
      <c r="D900" t="s">
        <v>39</v>
      </c>
      <c r="E900" t="s">
        <v>33</v>
      </c>
      <c r="F900">
        <v>55</v>
      </c>
      <c r="G900" t="s">
        <v>122</v>
      </c>
      <c r="H900" s="17">
        <v>38909</v>
      </c>
      <c r="I900">
        <v>93343</v>
      </c>
      <c r="J900">
        <v>93343</v>
      </c>
      <c r="K900">
        <v>0</v>
      </c>
      <c r="L900" t="s">
        <v>34</v>
      </c>
      <c r="M900" t="s">
        <v>35</v>
      </c>
      <c r="N900" s="17"/>
      <c r="O900">
        <v>0</v>
      </c>
    </row>
    <row r="901" spans="1:15" x14ac:dyDescent="0.3">
      <c r="A901" t="s">
        <v>1025</v>
      </c>
      <c r="B901" t="s">
        <v>70</v>
      </c>
      <c r="C901" t="s">
        <v>52</v>
      </c>
      <c r="D901" t="s">
        <v>46</v>
      </c>
      <c r="E901" t="s">
        <v>28</v>
      </c>
      <c r="F901">
        <v>44</v>
      </c>
      <c r="G901" t="s">
        <v>135</v>
      </c>
      <c r="H901" s="17">
        <v>38771</v>
      </c>
      <c r="I901">
        <v>63705</v>
      </c>
      <c r="J901">
        <v>63705</v>
      </c>
      <c r="K901">
        <v>0</v>
      </c>
      <c r="L901" t="s">
        <v>29</v>
      </c>
      <c r="M901" t="s">
        <v>49</v>
      </c>
      <c r="N901" s="17"/>
      <c r="O901">
        <v>0</v>
      </c>
    </row>
    <row r="902" spans="1:15" x14ac:dyDescent="0.3">
      <c r="A902" t="s">
        <v>1026</v>
      </c>
      <c r="B902" t="s">
        <v>56</v>
      </c>
      <c r="C902" t="s">
        <v>45</v>
      </c>
      <c r="D902" t="s">
        <v>46</v>
      </c>
      <c r="E902" t="s">
        <v>33</v>
      </c>
      <c r="F902">
        <v>48</v>
      </c>
      <c r="G902" t="s">
        <v>125</v>
      </c>
      <c r="H902" s="17">
        <v>36584</v>
      </c>
      <c r="I902">
        <v>258081</v>
      </c>
      <c r="J902">
        <v>335505</v>
      </c>
      <c r="K902">
        <v>0.3</v>
      </c>
      <c r="L902" t="s">
        <v>29</v>
      </c>
      <c r="M902" t="s">
        <v>40</v>
      </c>
      <c r="N902" s="17"/>
      <c r="O902">
        <v>0</v>
      </c>
    </row>
    <row r="903" spans="1:15" x14ac:dyDescent="0.3">
      <c r="A903" t="s">
        <v>1027</v>
      </c>
      <c r="B903" t="s">
        <v>74</v>
      </c>
      <c r="C903" t="s">
        <v>52</v>
      </c>
      <c r="D903" t="s">
        <v>27</v>
      </c>
      <c r="E903" t="s">
        <v>33</v>
      </c>
      <c r="F903">
        <v>48</v>
      </c>
      <c r="G903" t="s">
        <v>125</v>
      </c>
      <c r="H903" s="17">
        <v>44095</v>
      </c>
      <c r="I903">
        <v>54654</v>
      </c>
      <c r="J903">
        <v>54654</v>
      </c>
      <c r="K903">
        <v>0</v>
      </c>
      <c r="L903" t="s">
        <v>29</v>
      </c>
      <c r="M903" t="s">
        <v>43</v>
      </c>
      <c r="N903" s="17"/>
      <c r="O903">
        <v>0</v>
      </c>
    </row>
    <row r="904" spans="1:15" x14ac:dyDescent="0.3">
      <c r="A904" t="s">
        <v>1028</v>
      </c>
      <c r="B904" t="s">
        <v>48</v>
      </c>
      <c r="C904" t="s">
        <v>45</v>
      </c>
      <c r="D904" t="s">
        <v>32</v>
      </c>
      <c r="E904" t="s">
        <v>33</v>
      </c>
      <c r="F904">
        <v>54</v>
      </c>
      <c r="G904" t="s">
        <v>125</v>
      </c>
      <c r="H904" s="17">
        <v>36062</v>
      </c>
      <c r="I904">
        <v>58006</v>
      </c>
      <c r="J904">
        <v>58006</v>
      </c>
      <c r="K904">
        <v>0</v>
      </c>
      <c r="L904" t="s">
        <v>29</v>
      </c>
      <c r="M904" t="s">
        <v>30</v>
      </c>
      <c r="N904" s="17"/>
      <c r="O904">
        <v>0</v>
      </c>
    </row>
    <row r="905" spans="1:15" x14ac:dyDescent="0.3">
      <c r="A905" t="s">
        <v>1029</v>
      </c>
      <c r="B905" t="s">
        <v>25</v>
      </c>
      <c r="C905" t="s">
        <v>38</v>
      </c>
      <c r="D905" t="s">
        <v>32</v>
      </c>
      <c r="E905" t="s">
        <v>28</v>
      </c>
      <c r="F905">
        <v>42</v>
      </c>
      <c r="G905" t="s">
        <v>135</v>
      </c>
      <c r="H905" s="17">
        <v>40620</v>
      </c>
      <c r="I905">
        <v>150034</v>
      </c>
      <c r="J905">
        <v>168038</v>
      </c>
      <c r="K905">
        <v>0.12</v>
      </c>
      <c r="L905" t="s">
        <v>34</v>
      </c>
      <c r="M905" t="s">
        <v>64</v>
      </c>
      <c r="N905" s="17"/>
      <c r="O905">
        <v>0</v>
      </c>
    </row>
    <row r="906" spans="1:15" x14ac:dyDescent="0.3">
      <c r="A906" t="s">
        <v>1030</v>
      </c>
      <c r="B906" t="s">
        <v>37</v>
      </c>
      <c r="C906" t="s">
        <v>52</v>
      </c>
      <c r="D906" t="s">
        <v>39</v>
      </c>
      <c r="E906" t="s">
        <v>28</v>
      </c>
      <c r="F906">
        <v>38</v>
      </c>
      <c r="G906" t="s">
        <v>135</v>
      </c>
      <c r="H906" s="17">
        <v>39232</v>
      </c>
      <c r="I906">
        <v>198562</v>
      </c>
      <c r="J906">
        <v>242246</v>
      </c>
      <c r="K906">
        <v>0.22</v>
      </c>
      <c r="L906" t="s">
        <v>29</v>
      </c>
      <c r="M906" t="s">
        <v>30</v>
      </c>
      <c r="N906" s="17"/>
      <c r="O906">
        <v>0</v>
      </c>
    </row>
    <row r="907" spans="1:15" x14ac:dyDescent="0.3">
      <c r="A907" t="s">
        <v>1031</v>
      </c>
      <c r="B907" t="s">
        <v>44</v>
      </c>
      <c r="C907" t="s">
        <v>45</v>
      </c>
      <c r="D907" t="s">
        <v>27</v>
      </c>
      <c r="E907" t="s">
        <v>28</v>
      </c>
      <c r="F907">
        <v>40</v>
      </c>
      <c r="G907" t="s">
        <v>135</v>
      </c>
      <c r="H907" s="17">
        <v>39960</v>
      </c>
      <c r="I907">
        <v>62411</v>
      </c>
      <c r="J907">
        <v>62411</v>
      </c>
      <c r="K907">
        <v>0</v>
      </c>
      <c r="L907" t="s">
        <v>29</v>
      </c>
      <c r="M907" t="s">
        <v>49</v>
      </c>
      <c r="N907" s="17">
        <v>44422</v>
      </c>
      <c r="O907">
        <v>1</v>
      </c>
    </row>
    <row r="908" spans="1:15" x14ac:dyDescent="0.3">
      <c r="A908" t="s">
        <v>1032</v>
      </c>
      <c r="B908" t="s">
        <v>63</v>
      </c>
      <c r="C908" t="s">
        <v>54</v>
      </c>
      <c r="D908" t="s">
        <v>27</v>
      </c>
      <c r="E908" t="s">
        <v>33</v>
      </c>
      <c r="F908">
        <v>57</v>
      </c>
      <c r="G908" t="s">
        <v>122</v>
      </c>
      <c r="H908" s="17">
        <v>33612</v>
      </c>
      <c r="I908">
        <v>111299</v>
      </c>
      <c r="J908">
        <v>124655</v>
      </c>
      <c r="K908">
        <v>0.12</v>
      </c>
      <c r="L908" t="s">
        <v>29</v>
      </c>
      <c r="M908" t="s">
        <v>49</v>
      </c>
      <c r="N908" s="17"/>
      <c r="O908">
        <v>0</v>
      </c>
    </row>
    <row r="909" spans="1:15" x14ac:dyDescent="0.3">
      <c r="A909" t="s">
        <v>1033</v>
      </c>
      <c r="B909" t="s">
        <v>48</v>
      </c>
      <c r="C909" t="s">
        <v>57</v>
      </c>
      <c r="D909" t="s">
        <v>27</v>
      </c>
      <c r="E909" t="s">
        <v>28</v>
      </c>
      <c r="F909">
        <v>43</v>
      </c>
      <c r="G909" t="s">
        <v>135</v>
      </c>
      <c r="H909" s="17">
        <v>43659</v>
      </c>
      <c r="I909">
        <v>41545</v>
      </c>
      <c r="J909">
        <v>41545</v>
      </c>
      <c r="K909">
        <v>0</v>
      </c>
      <c r="L909" t="s">
        <v>29</v>
      </c>
      <c r="M909" t="s">
        <v>49</v>
      </c>
      <c r="N909" s="17"/>
      <c r="O909">
        <v>0</v>
      </c>
    </row>
    <row r="910" spans="1:15" x14ac:dyDescent="0.3">
      <c r="A910" t="s">
        <v>1034</v>
      </c>
      <c r="B910" t="s">
        <v>79</v>
      </c>
      <c r="C910" t="s">
        <v>26</v>
      </c>
      <c r="D910" t="s">
        <v>32</v>
      </c>
      <c r="E910" t="s">
        <v>33</v>
      </c>
      <c r="F910">
        <v>26</v>
      </c>
      <c r="G910" t="s">
        <v>127</v>
      </c>
      <c r="H910" s="17">
        <v>43569</v>
      </c>
      <c r="I910">
        <v>74467</v>
      </c>
      <c r="J910">
        <v>74467</v>
      </c>
      <c r="K910">
        <v>0</v>
      </c>
      <c r="L910" t="s">
        <v>29</v>
      </c>
      <c r="M910" t="s">
        <v>58</v>
      </c>
      <c r="N910" s="17">
        <v>44211</v>
      </c>
      <c r="O910">
        <v>1</v>
      </c>
    </row>
    <row r="911" spans="1:15" x14ac:dyDescent="0.3">
      <c r="A911" t="s">
        <v>1035</v>
      </c>
      <c r="B911" t="s">
        <v>47</v>
      </c>
      <c r="C911" t="s">
        <v>50</v>
      </c>
      <c r="D911" t="s">
        <v>27</v>
      </c>
      <c r="E911" t="s">
        <v>33</v>
      </c>
      <c r="F911">
        <v>44</v>
      </c>
      <c r="G911" t="s">
        <v>135</v>
      </c>
      <c r="H911" s="17">
        <v>37296</v>
      </c>
      <c r="I911">
        <v>117545</v>
      </c>
      <c r="J911">
        <v>124598</v>
      </c>
      <c r="K911">
        <v>0.06</v>
      </c>
      <c r="L911" t="s">
        <v>29</v>
      </c>
      <c r="M911" t="s">
        <v>43</v>
      </c>
      <c r="N911" s="17"/>
      <c r="O911">
        <v>0</v>
      </c>
    </row>
    <row r="912" spans="1:15" x14ac:dyDescent="0.3">
      <c r="A912" t="s">
        <v>1036</v>
      </c>
      <c r="B912" t="s">
        <v>47</v>
      </c>
      <c r="C912" t="s">
        <v>52</v>
      </c>
      <c r="D912" t="s">
        <v>39</v>
      </c>
      <c r="E912" t="s">
        <v>33</v>
      </c>
      <c r="F912">
        <v>50</v>
      </c>
      <c r="G912" t="s">
        <v>125</v>
      </c>
      <c r="H912" s="17">
        <v>40983</v>
      </c>
      <c r="I912">
        <v>117226</v>
      </c>
      <c r="J912">
        <v>126604</v>
      </c>
      <c r="K912">
        <v>0.08</v>
      </c>
      <c r="L912" t="s">
        <v>29</v>
      </c>
      <c r="M912" t="s">
        <v>43</v>
      </c>
      <c r="N912" s="17"/>
      <c r="O912">
        <v>0</v>
      </c>
    </row>
    <row r="913" spans="1:15" x14ac:dyDescent="0.3">
      <c r="A913" t="s">
        <v>1037</v>
      </c>
      <c r="B913" t="s">
        <v>48</v>
      </c>
      <c r="C913" t="s">
        <v>50</v>
      </c>
      <c r="D913" t="s">
        <v>46</v>
      </c>
      <c r="E913" t="s">
        <v>28</v>
      </c>
      <c r="F913">
        <v>26</v>
      </c>
      <c r="G913" t="s">
        <v>127</v>
      </c>
      <c r="H913" s="17">
        <v>43489</v>
      </c>
      <c r="I913">
        <v>55767</v>
      </c>
      <c r="J913">
        <v>55767</v>
      </c>
      <c r="K913">
        <v>0</v>
      </c>
      <c r="L913" t="s">
        <v>29</v>
      </c>
      <c r="M913" t="s">
        <v>43</v>
      </c>
      <c r="N913" s="17"/>
      <c r="O913">
        <v>0</v>
      </c>
    </row>
    <row r="914" spans="1:15" x14ac:dyDescent="0.3">
      <c r="A914" t="s">
        <v>1038</v>
      </c>
      <c r="B914" t="s">
        <v>66</v>
      </c>
      <c r="C914" t="s">
        <v>45</v>
      </c>
      <c r="D914" t="s">
        <v>32</v>
      </c>
      <c r="E914" t="s">
        <v>28</v>
      </c>
      <c r="F914">
        <v>29</v>
      </c>
      <c r="G914" t="s">
        <v>127</v>
      </c>
      <c r="H914" s="17">
        <v>42691</v>
      </c>
      <c r="I914">
        <v>60930</v>
      </c>
      <c r="J914">
        <v>60930</v>
      </c>
      <c r="K914">
        <v>0</v>
      </c>
      <c r="L914" t="s">
        <v>29</v>
      </c>
      <c r="M914" t="s">
        <v>51</v>
      </c>
      <c r="N914" s="17"/>
      <c r="O914">
        <v>0</v>
      </c>
    </row>
    <row r="915" spans="1:15" x14ac:dyDescent="0.3">
      <c r="A915" t="s">
        <v>1039</v>
      </c>
      <c r="B915" t="s">
        <v>37</v>
      </c>
      <c r="C915" t="s">
        <v>45</v>
      </c>
      <c r="D915" t="s">
        <v>39</v>
      </c>
      <c r="E915" t="s">
        <v>28</v>
      </c>
      <c r="F915">
        <v>27</v>
      </c>
      <c r="G915" t="s">
        <v>127</v>
      </c>
      <c r="H915" s="17">
        <v>43397</v>
      </c>
      <c r="I915">
        <v>154973</v>
      </c>
      <c r="J915">
        <v>199915</v>
      </c>
      <c r="K915">
        <v>0.28999999999999998</v>
      </c>
      <c r="L915" t="s">
        <v>59</v>
      </c>
      <c r="M915" t="s">
        <v>76</v>
      </c>
      <c r="N915" s="17"/>
      <c r="O915">
        <v>0</v>
      </c>
    </row>
    <row r="916" spans="1:15" x14ac:dyDescent="0.3">
      <c r="A916" t="s">
        <v>1040</v>
      </c>
      <c r="B916" t="s">
        <v>75</v>
      </c>
      <c r="C916" t="s">
        <v>26</v>
      </c>
      <c r="D916" t="s">
        <v>32</v>
      </c>
      <c r="E916" t="s">
        <v>28</v>
      </c>
      <c r="F916">
        <v>33</v>
      </c>
      <c r="G916" t="s">
        <v>127</v>
      </c>
      <c r="H916" s="17">
        <v>43029</v>
      </c>
      <c r="I916">
        <v>69332</v>
      </c>
      <c r="J916">
        <v>69332</v>
      </c>
      <c r="K916">
        <v>0</v>
      </c>
      <c r="L916" t="s">
        <v>29</v>
      </c>
      <c r="M916" t="s">
        <v>58</v>
      </c>
      <c r="N916" s="17"/>
      <c r="O916">
        <v>0</v>
      </c>
    </row>
    <row r="917" spans="1:15" x14ac:dyDescent="0.3">
      <c r="A917" t="s">
        <v>1041</v>
      </c>
      <c r="B917" t="s">
        <v>53</v>
      </c>
      <c r="C917" t="s">
        <v>54</v>
      </c>
      <c r="D917" t="s">
        <v>27</v>
      </c>
      <c r="E917" t="s">
        <v>28</v>
      </c>
      <c r="F917">
        <v>59</v>
      </c>
      <c r="G917" t="s">
        <v>122</v>
      </c>
      <c r="H917" s="17">
        <v>36990</v>
      </c>
      <c r="I917">
        <v>119699</v>
      </c>
      <c r="J917">
        <v>119699</v>
      </c>
      <c r="K917">
        <v>0</v>
      </c>
      <c r="L917" t="s">
        <v>34</v>
      </c>
      <c r="M917" t="s">
        <v>55</v>
      </c>
      <c r="N917" s="17"/>
      <c r="O917">
        <v>0</v>
      </c>
    </row>
    <row r="918" spans="1:15" x14ac:dyDescent="0.3">
      <c r="A918" t="s">
        <v>1042</v>
      </c>
      <c r="B918" t="s">
        <v>37</v>
      </c>
      <c r="C918" t="s">
        <v>52</v>
      </c>
      <c r="D918" t="s">
        <v>39</v>
      </c>
      <c r="E918" t="s">
        <v>28</v>
      </c>
      <c r="F918">
        <v>40</v>
      </c>
      <c r="G918" t="s">
        <v>135</v>
      </c>
      <c r="H918" s="17">
        <v>44094</v>
      </c>
      <c r="I918">
        <v>198176</v>
      </c>
      <c r="J918">
        <v>231866</v>
      </c>
      <c r="K918">
        <v>0.17</v>
      </c>
      <c r="L918" t="s">
        <v>59</v>
      </c>
      <c r="M918" t="s">
        <v>60</v>
      </c>
      <c r="N918" s="17"/>
      <c r="O918">
        <v>0</v>
      </c>
    </row>
    <row r="919" spans="1:15" x14ac:dyDescent="0.3">
      <c r="A919" t="s">
        <v>1043</v>
      </c>
      <c r="B919" t="s">
        <v>66</v>
      </c>
      <c r="C919" t="s">
        <v>38</v>
      </c>
      <c r="D919" t="s">
        <v>27</v>
      </c>
      <c r="E919" t="s">
        <v>28</v>
      </c>
      <c r="F919">
        <v>45</v>
      </c>
      <c r="G919" t="s">
        <v>125</v>
      </c>
      <c r="H919" s="17">
        <v>41127</v>
      </c>
      <c r="I919">
        <v>58586</v>
      </c>
      <c r="J919">
        <v>58586</v>
      </c>
      <c r="K919">
        <v>0</v>
      </c>
      <c r="L919" t="s">
        <v>59</v>
      </c>
      <c r="M919" t="s">
        <v>76</v>
      </c>
      <c r="N919" s="17"/>
      <c r="O919">
        <v>0</v>
      </c>
    </row>
    <row r="920" spans="1:15" x14ac:dyDescent="0.3">
      <c r="A920" t="s">
        <v>1044</v>
      </c>
      <c r="B920" t="s">
        <v>81</v>
      </c>
      <c r="C920" t="s">
        <v>45</v>
      </c>
      <c r="D920" t="s">
        <v>46</v>
      </c>
      <c r="E920" t="s">
        <v>33</v>
      </c>
      <c r="F920">
        <v>38</v>
      </c>
      <c r="G920" t="s">
        <v>135</v>
      </c>
      <c r="H920" s="17">
        <v>40875</v>
      </c>
      <c r="I920">
        <v>74010</v>
      </c>
      <c r="J920">
        <v>74010</v>
      </c>
      <c r="K920">
        <v>0</v>
      </c>
      <c r="L920" t="s">
        <v>29</v>
      </c>
      <c r="M920" t="s">
        <v>40</v>
      </c>
      <c r="N920" s="17"/>
      <c r="O920">
        <v>0</v>
      </c>
    </row>
    <row r="921" spans="1:15" x14ac:dyDescent="0.3">
      <c r="A921" t="s">
        <v>1045</v>
      </c>
      <c r="B921" t="s">
        <v>81</v>
      </c>
      <c r="C921" t="s">
        <v>45</v>
      </c>
      <c r="D921" t="s">
        <v>39</v>
      </c>
      <c r="E921" t="s">
        <v>33</v>
      </c>
      <c r="F921">
        <v>32</v>
      </c>
      <c r="G921" t="s">
        <v>127</v>
      </c>
      <c r="H921" s="17">
        <v>43864</v>
      </c>
      <c r="I921">
        <v>96598</v>
      </c>
      <c r="J921">
        <v>96598</v>
      </c>
      <c r="K921">
        <v>0</v>
      </c>
      <c r="L921" t="s">
        <v>29</v>
      </c>
      <c r="M921" t="s">
        <v>43</v>
      </c>
      <c r="N921" s="17"/>
      <c r="O921">
        <v>0</v>
      </c>
    </row>
    <row r="922" spans="1:15" x14ac:dyDescent="0.3">
      <c r="A922" t="s">
        <v>1046</v>
      </c>
      <c r="B922" t="s">
        <v>47</v>
      </c>
      <c r="C922" t="s">
        <v>45</v>
      </c>
      <c r="D922" t="s">
        <v>39</v>
      </c>
      <c r="E922" t="s">
        <v>28</v>
      </c>
      <c r="F922">
        <v>64</v>
      </c>
      <c r="G922" t="s">
        <v>122</v>
      </c>
      <c r="H922" s="17">
        <v>37762</v>
      </c>
      <c r="I922">
        <v>106444</v>
      </c>
      <c r="J922">
        <v>111766</v>
      </c>
      <c r="K922">
        <v>0.05</v>
      </c>
      <c r="L922" t="s">
        <v>29</v>
      </c>
      <c r="M922" t="s">
        <v>43</v>
      </c>
      <c r="N922" s="17"/>
      <c r="O922">
        <v>0</v>
      </c>
    </row>
    <row r="923" spans="1:15" x14ac:dyDescent="0.3">
      <c r="A923" t="s">
        <v>1047</v>
      </c>
      <c r="B923" t="s">
        <v>37</v>
      </c>
      <c r="C923" t="s">
        <v>38</v>
      </c>
      <c r="D923" t="s">
        <v>46</v>
      </c>
      <c r="E923" t="s">
        <v>33</v>
      </c>
      <c r="F923">
        <v>31</v>
      </c>
      <c r="G923" t="s">
        <v>127</v>
      </c>
      <c r="H923" s="17">
        <v>42957</v>
      </c>
      <c r="I923">
        <v>156931</v>
      </c>
      <c r="J923">
        <v>200872</v>
      </c>
      <c r="K923">
        <v>0.28000000000000003</v>
      </c>
      <c r="L923" t="s">
        <v>29</v>
      </c>
      <c r="M923" t="s">
        <v>30</v>
      </c>
      <c r="N923" s="17"/>
      <c r="O923">
        <v>0</v>
      </c>
    </row>
    <row r="924" spans="1:15" x14ac:dyDescent="0.3">
      <c r="A924" t="s">
        <v>1048</v>
      </c>
      <c r="B924" t="s">
        <v>37</v>
      </c>
      <c r="C924" t="s">
        <v>57</v>
      </c>
      <c r="D924" t="s">
        <v>27</v>
      </c>
      <c r="E924" t="s">
        <v>28</v>
      </c>
      <c r="F924">
        <v>43</v>
      </c>
      <c r="G924" t="s">
        <v>135</v>
      </c>
      <c r="H924" s="17">
        <v>41928</v>
      </c>
      <c r="I924">
        <v>171360</v>
      </c>
      <c r="J924">
        <v>210773</v>
      </c>
      <c r="K924">
        <v>0.23</v>
      </c>
      <c r="L924" t="s">
        <v>59</v>
      </c>
      <c r="M924" t="s">
        <v>60</v>
      </c>
      <c r="N924" s="17"/>
      <c r="O924">
        <v>0</v>
      </c>
    </row>
    <row r="925" spans="1:15" x14ac:dyDescent="0.3">
      <c r="A925" t="s">
        <v>1049</v>
      </c>
      <c r="B925" t="s">
        <v>67</v>
      </c>
      <c r="C925" t="s">
        <v>26</v>
      </c>
      <c r="D925" t="s">
        <v>27</v>
      </c>
      <c r="E925" t="s">
        <v>28</v>
      </c>
      <c r="F925">
        <v>45</v>
      </c>
      <c r="G925" t="s">
        <v>125</v>
      </c>
      <c r="H925" s="17">
        <v>39908</v>
      </c>
      <c r="I925">
        <v>64505</v>
      </c>
      <c r="J925">
        <v>64505</v>
      </c>
      <c r="K925">
        <v>0</v>
      </c>
      <c r="L925" t="s">
        <v>29</v>
      </c>
      <c r="M925" t="s">
        <v>49</v>
      </c>
      <c r="N925" s="17"/>
      <c r="O925">
        <v>0</v>
      </c>
    </row>
    <row r="926" spans="1:15" x14ac:dyDescent="0.3">
      <c r="A926" t="s">
        <v>1050</v>
      </c>
      <c r="B926" t="s">
        <v>63</v>
      </c>
      <c r="C926" t="s">
        <v>54</v>
      </c>
      <c r="D926" t="s">
        <v>39</v>
      </c>
      <c r="E926" t="s">
        <v>33</v>
      </c>
      <c r="F926">
        <v>32</v>
      </c>
      <c r="G926" t="s">
        <v>127</v>
      </c>
      <c r="H926" s="17">
        <v>44478</v>
      </c>
      <c r="I926">
        <v>102298</v>
      </c>
      <c r="J926">
        <v>115597</v>
      </c>
      <c r="K926">
        <v>0.13</v>
      </c>
      <c r="L926" t="s">
        <v>59</v>
      </c>
      <c r="M926" t="s">
        <v>61</v>
      </c>
      <c r="N926" s="17"/>
      <c r="O926">
        <v>0</v>
      </c>
    </row>
    <row r="927" spans="1:15" x14ac:dyDescent="0.3">
      <c r="A927" t="s">
        <v>1051</v>
      </c>
      <c r="B927" t="s">
        <v>25</v>
      </c>
      <c r="C927" t="s">
        <v>45</v>
      </c>
      <c r="D927" t="s">
        <v>46</v>
      </c>
      <c r="E927" t="s">
        <v>28</v>
      </c>
      <c r="F927">
        <v>27</v>
      </c>
      <c r="G927" t="s">
        <v>127</v>
      </c>
      <c r="H927" s="17">
        <v>43721</v>
      </c>
      <c r="I927">
        <v>133297</v>
      </c>
      <c r="J927">
        <v>150626</v>
      </c>
      <c r="K927">
        <v>0.13</v>
      </c>
      <c r="L927" t="s">
        <v>59</v>
      </c>
      <c r="M927" t="s">
        <v>61</v>
      </c>
      <c r="N927" s="17"/>
      <c r="O927">
        <v>0</v>
      </c>
    </row>
    <row r="928" spans="1:15" x14ac:dyDescent="0.3">
      <c r="A928" t="s">
        <v>1052</v>
      </c>
      <c r="B928" t="s">
        <v>25</v>
      </c>
      <c r="C928" t="s">
        <v>52</v>
      </c>
      <c r="D928" t="s">
        <v>39</v>
      </c>
      <c r="E928" t="s">
        <v>28</v>
      </c>
      <c r="F928">
        <v>25</v>
      </c>
      <c r="G928" t="s">
        <v>127</v>
      </c>
      <c r="H928" s="17">
        <v>44272</v>
      </c>
      <c r="I928">
        <v>155080</v>
      </c>
      <c r="J928">
        <v>170588</v>
      </c>
      <c r="K928">
        <v>0.1</v>
      </c>
      <c r="L928" t="s">
        <v>29</v>
      </c>
      <c r="M928" t="s">
        <v>51</v>
      </c>
      <c r="N928" s="17"/>
      <c r="O928">
        <v>0</v>
      </c>
    </row>
    <row r="929" spans="1:15" x14ac:dyDescent="0.3">
      <c r="A929" t="s">
        <v>1053</v>
      </c>
      <c r="B929" t="s">
        <v>42</v>
      </c>
      <c r="C929" t="s">
        <v>45</v>
      </c>
      <c r="D929" t="s">
        <v>39</v>
      </c>
      <c r="E929" t="s">
        <v>33</v>
      </c>
      <c r="F929">
        <v>31</v>
      </c>
      <c r="G929" t="s">
        <v>127</v>
      </c>
      <c r="H929" s="17">
        <v>43325</v>
      </c>
      <c r="I929">
        <v>81828</v>
      </c>
      <c r="J929">
        <v>81828</v>
      </c>
      <c r="K929">
        <v>0</v>
      </c>
      <c r="L929" t="s">
        <v>29</v>
      </c>
      <c r="M929" t="s">
        <v>49</v>
      </c>
      <c r="N929" s="17"/>
      <c r="O929">
        <v>0</v>
      </c>
    </row>
    <row r="930" spans="1:15" x14ac:dyDescent="0.3">
      <c r="A930" t="s">
        <v>1054</v>
      </c>
      <c r="B930" t="s">
        <v>25</v>
      </c>
      <c r="C930" t="s">
        <v>57</v>
      </c>
      <c r="D930" t="s">
        <v>46</v>
      </c>
      <c r="E930" t="s">
        <v>28</v>
      </c>
      <c r="F930">
        <v>65</v>
      </c>
      <c r="G930" t="s">
        <v>142</v>
      </c>
      <c r="H930" s="17">
        <v>36823</v>
      </c>
      <c r="I930">
        <v>149417</v>
      </c>
      <c r="J930">
        <v>168841</v>
      </c>
      <c r="K930">
        <v>0.13</v>
      </c>
      <c r="L930" t="s">
        <v>34</v>
      </c>
      <c r="M930" t="s">
        <v>68</v>
      </c>
      <c r="N930" s="17"/>
      <c r="O930">
        <v>0</v>
      </c>
    </row>
    <row r="931" spans="1:15" x14ac:dyDescent="0.3">
      <c r="A931" t="s">
        <v>1055</v>
      </c>
      <c r="B931" t="s">
        <v>47</v>
      </c>
      <c r="C931" t="s">
        <v>45</v>
      </c>
      <c r="D931" t="s">
        <v>46</v>
      </c>
      <c r="E931" t="s">
        <v>33</v>
      </c>
      <c r="F931">
        <v>50</v>
      </c>
      <c r="G931" t="s">
        <v>125</v>
      </c>
      <c r="H931" s="17">
        <v>41024</v>
      </c>
      <c r="I931">
        <v>113269</v>
      </c>
      <c r="J931">
        <v>123463</v>
      </c>
      <c r="K931">
        <v>0.09</v>
      </c>
      <c r="L931" t="s">
        <v>59</v>
      </c>
      <c r="M931" t="s">
        <v>76</v>
      </c>
      <c r="N931" s="17"/>
      <c r="O931">
        <v>0</v>
      </c>
    </row>
    <row r="932" spans="1:15" x14ac:dyDescent="0.3">
      <c r="A932" t="s">
        <v>1056</v>
      </c>
      <c r="B932" t="s">
        <v>25</v>
      </c>
      <c r="C932" t="s">
        <v>26</v>
      </c>
      <c r="D932" t="s">
        <v>32</v>
      </c>
      <c r="E932" t="s">
        <v>33</v>
      </c>
      <c r="F932">
        <v>46</v>
      </c>
      <c r="G932" t="s">
        <v>125</v>
      </c>
      <c r="H932" s="17">
        <v>43085</v>
      </c>
      <c r="I932">
        <v>136716</v>
      </c>
      <c r="J932">
        <v>153122</v>
      </c>
      <c r="K932">
        <v>0.12</v>
      </c>
      <c r="L932" t="s">
        <v>29</v>
      </c>
      <c r="M932" t="s">
        <v>51</v>
      </c>
      <c r="N932" s="17"/>
      <c r="O932">
        <v>0</v>
      </c>
    </row>
    <row r="933" spans="1:15" x14ac:dyDescent="0.3">
      <c r="A933" t="s">
        <v>1057</v>
      </c>
      <c r="B933" t="s">
        <v>25</v>
      </c>
      <c r="C933" t="s">
        <v>45</v>
      </c>
      <c r="D933" t="s">
        <v>39</v>
      </c>
      <c r="E933" t="s">
        <v>33</v>
      </c>
      <c r="F933">
        <v>54</v>
      </c>
      <c r="G933" t="s">
        <v>125</v>
      </c>
      <c r="H933" s="17">
        <v>40836</v>
      </c>
      <c r="I933">
        <v>122644</v>
      </c>
      <c r="J933">
        <v>137361</v>
      </c>
      <c r="K933">
        <v>0.12</v>
      </c>
      <c r="L933" t="s">
        <v>29</v>
      </c>
      <c r="M933" t="s">
        <v>51</v>
      </c>
      <c r="N933" s="17"/>
      <c r="O933">
        <v>0</v>
      </c>
    </row>
    <row r="934" spans="1:15" x14ac:dyDescent="0.3">
      <c r="A934" t="s">
        <v>1058</v>
      </c>
      <c r="B934" t="s">
        <v>47</v>
      </c>
      <c r="C934" t="s">
        <v>45</v>
      </c>
      <c r="D934" t="s">
        <v>27</v>
      </c>
      <c r="E934" t="s">
        <v>28</v>
      </c>
      <c r="F934">
        <v>50</v>
      </c>
      <c r="G934" t="s">
        <v>125</v>
      </c>
      <c r="H934" s="17">
        <v>36653</v>
      </c>
      <c r="I934">
        <v>106428</v>
      </c>
      <c r="J934">
        <v>113878</v>
      </c>
      <c r="K934">
        <v>7.0000000000000007E-2</v>
      </c>
      <c r="L934" t="s">
        <v>29</v>
      </c>
      <c r="M934" t="s">
        <v>40</v>
      </c>
      <c r="N934" s="17"/>
      <c r="O934">
        <v>0</v>
      </c>
    </row>
    <row r="935" spans="1:15" x14ac:dyDescent="0.3">
      <c r="A935" t="s">
        <v>1059</v>
      </c>
      <c r="B935" t="s">
        <v>56</v>
      </c>
      <c r="C935" t="s">
        <v>38</v>
      </c>
      <c r="D935" t="s">
        <v>46</v>
      </c>
      <c r="E935" t="s">
        <v>33</v>
      </c>
      <c r="F935">
        <v>36</v>
      </c>
      <c r="G935" t="s">
        <v>135</v>
      </c>
      <c r="H935" s="17">
        <v>39830</v>
      </c>
      <c r="I935">
        <v>238236</v>
      </c>
      <c r="J935">
        <v>312089</v>
      </c>
      <c r="K935">
        <v>0.31</v>
      </c>
      <c r="L935" t="s">
        <v>29</v>
      </c>
      <c r="M935" t="s">
        <v>30</v>
      </c>
      <c r="N935" s="17"/>
      <c r="O935">
        <v>0</v>
      </c>
    </row>
    <row r="936" spans="1:15" x14ac:dyDescent="0.3">
      <c r="A936" t="s">
        <v>1060</v>
      </c>
      <c r="B936" t="s">
        <v>37</v>
      </c>
      <c r="C936" t="s">
        <v>38</v>
      </c>
      <c r="D936" t="s">
        <v>46</v>
      </c>
      <c r="E936" t="s">
        <v>28</v>
      </c>
      <c r="F936">
        <v>64</v>
      </c>
      <c r="G936" t="s">
        <v>122</v>
      </c>
      <c r="H936" s="17">
        <v>41264</v>
      </c>
      <c r="I936">
        <v>153253</v>
      </c>
      <c r="J936">
        <v>190034</v>
      </c>
      <c r="K936">
        <v>0.24</v>
      </c>
      <c r="L936" t="s">
        <v>29</v>
      </c>
      <c r="M936" t="s">
        <v>51</v>
      </c>
      <c r="N936" s="17"/>
      <c r="O936">
        <v>0</v>
      </c>
    </row>
    <row r="937" spans="1:15" x14ac:dyDescent="0.3">
      <c r="A937" t="s">
        <v>1061</v>
      </c>
      <c r="B937" t="s">
        <v>47</v>
      </c>
      <c r="C937" t="s">
        <v>50</v>
      </c>
      <c r="D937" t="s">
        <v>32</v>
      </c>
      <c r="E937" t="s">
        <v>28</v>
      </c>
      <c r="F937">
        <v>34</v>
      </c>
      <c r="G937" t="s">
        <v>127</v>
      </c>
      <c r="H937" s="17">
        <v>41915</v>
      </c>
      <c r="I937">
        <v>103707</v>
      </c>
      <c r="J937">
        <v>113041</v>
      </c>
      <c r="K937">
        <v>0.09</v>
      </c>
      <c r="L937" t="s">
        <v>29</v>
      </c>
      <c r="M937" t="s">
        <v>58</v>
      </c>
      <c r="N937" s="17"/>
      <c r="O937">
        <v>0</v>
      </c>
    </row>
    <row r="938" spans="1:15" x14ac:dyDescent="0.3">
      <c r="A938" t="s">
        <v>1062</v>
      </c>
      <c r="B938" t="s">
        <v>56</v>
      </c>
      <c r="C938" t="s">
        <v>50</v>
      </c>
      <c r="D938" t="s">
        <v>39</v>
      </c>
      <c r="E938" t="s">
        <v>28</v>
      </c>
      <c r="F938">
        <v>41</v>
      </c>
      <c r="G938" t="s">
        <v>135</v>
      </c>
      <c r="H938" s="17">
        <v>41130</v>
      </c>
      <c r="I938">
        <v>245360</v>
      </c>
      <c r="J938">
        <v>336143</v>
      </c>
      <c r="K938">
        <v>0.37</v>
      </c>
      <c r="L938" t="s">
        <v>29</v>
      </c>
      <c r="M938" t="s">
        <v>51</v>
      </c>
      <c r="N938" s="17"/>
      <c r="O938">
        <v>0</v>
      </c>
    </row>
    <row r="939" spans="1:15" x14ac:dyDescent="0.3">
      <c r="A939" t="s">
        <v>1063</v>
      </c>
      <c r="B939" t="s">
        <v>80</v>
      </c>
      <c r="C939" t="s">
        <v>54</v>
      </c>
      <c r="D939" t="s">
        <v>39</v>
      </c>
      <c r="E939" t="s">
        <v>33</v>
      </c>
      <c r="F939">
        <v>25</v>
      </c>
      <c r="G939" t="s">
        <v>127</v>
      </c>
      <c r="H939" s="17">
        <v>44385</v>
      </c>
      <c r="I939">
        <v>67275</v>
      </c>
      <c r="J939">
        <v>67275</v>
      </c>
      <c r="K939">
        <v>0</v>
      </c>
      <c r="L939" t="s">
        <v>29</v>
      </c>
      <c r="M939" t="s">
        <v>58</v>
      </c>
      <c r="N939" s="17"/>
      <c r="O939">
        <v>0</v>
      </c>
    </row>
    <row r="940" spans="1:15" x14ac:dyDescent="0.3">
      <c r="A940" t="s">
        <v>1064</v>
      </c>
      <c r="B940" t="s">
        <v>47</v>
      </c>
      <c r="C940" t="s">
        <v>26</v>
      </c>
      <c r="D940" t="s">
        <v>32</v>
      </c>
      <c r="E940" t="s">
        <v>33</v>
      </c>
      <c r="F940">
        <v>45</v>
      </c>
      <c r="G940" t="s">
        <v>125</v>
      </c>
      <c r="H940" s="17">
        <v>42026</v>
      </c>
      <c r="I940">
        <v>101288</v>
      </c>
      <c r="J940">
        <v>111417</v>
      </c>
      <c r="K940">
        <v>0.1</v>
      </c>
      <c r="L940" t="s">
        <v>29</v>
      </c>
      <c r="M940" t="s">
        <v>43</v>
      </c>
      <c r="N940" s="17"/>
      <c r="O940">
        <v>0</v>
      </c>
    </row>
    <row r="941" spans="1:15" x14ac:dyDescent="0.3">
      <c r="A941" t="s">
        <v>1065</v>
      </c>
      <c r="B941" t="s">
        <v>37</v>
      </c>
      <c r="C941" t="s">
        <v>52</v>
      </c>
      <c r="D941" t="s">
        <v>39</v>
      </c>
      <c r="E941" t="s">
        <v>28</v>
      </c>
      <c r="F941">
        <v>52</v>
      </c>
      <c r="G941" t="s">
        <v>125</v>
      </c>
      <c r="H941" s="17">
        <v>34209</v>
      </c>
      <c r="I941">
        <v>177443</v>
      </c>
      <c r="J941">
        <v>221804</v>
      </c>
      <c r="K941">
        <v>0.25</v>
      </c>
      <c r="L941" t="s">
        <v>59</v>
      </c>
      <c r="M941" t="s">
        <v>76</v>
      </c>
      <c r="N941" s="17"/>
      <c r="O941">
        <v>0</v>
      </c>
    </row>
    <row r="942" spans="1:15" x14ac:dyDescent="0.3">
      <c r="A942" t="s">
        <v>1066</v>
      </c>
      <c r="B942" t="s">
        <v>75</v>
      </c>
      <c r="C942" t="s">
        <v>26</v>
      </c>
      <c r="D942" t="s">
        <v>32</v>
      </c>
      <c r="E942" t="s">
        <v>28</v>
      </c>
      <c r="F942">
        <v>37</v>
      </c>
      <c r="G942" t="s">
        <v>135</v>
      </c>
      <c r="H942" s="17">
        <v>42487</v>
      </c>
      <c r="I942">
        <v>91400</v>
      </c>
      <c r="J942">
        <v>91400</v>
      </c>
      <c r="K942">
        <v>0</v>
      </c>
      <c r="L942" t="s">
        <v>29</v>
      </c>
      <c r="M942" t="s">
        <v>40</v>
      </c>
      <c r="N942" s="17"/>
      <c r="O942">
        <v>0</v>
      </c>
    </row>
    <row r="943" spans="1:15" x14ac:dyDescent="0.3">
      <c r="A943" t="s">
        <v>1067</v>
      </c>
      <c r="B943" t="s">
        <v>56</v>
      </c>
      <c r="C943" t="s">
        <v>52</v>
      </c>
      <c r="D943" t="s">
        <v>46</v>
      </c>
      <c r="E943" t="s">
        <v>33</v>
      </c>
      <c r="F943">
        <v>44</v>
      </c>
      <c r="G943" t="s">
        <v>135</v>
      </c>
      <c r="H943" s="17">
        <v>39335</v>
      </c>
      <c r="I943">
        <v>181247</v>
      </c>
      <c r="J943">
        <v>241059</v>
      </c>
      <c r="K943">
        <v>0.33</v>
      </c>
      <c r="L943" t="s">
        <v>59</v>
      </c>
      <c r="M943" t="s">
        <v>76</v>
      </c>
      <c r="N943" s="17"/>
      <c r="O943">
        <v>0</v>
      </c>
    </row>
    <row r="944" spans="1:15" x14ac:dyDescent="0.3">
      <c r="A944" t="s">
        <v>1068</v>
      </c>
      <c r="B944" t="s">
        <v>25</v>
      </c>
      <c r="C944" t="s">
        <v>52</v>
      </c>
      <c r="D944" t="s">
        <v>27</v>
      </c>
      <c r="E944" t="s">
        <v>33</v>
      </c>
      <c r="F944">
        <v>42</v>
      </c>
      <c r="G944" t="s">
        <v>135</v>
      </c>
      <c r="H944" s="17">
        <v>37914</v>
      </c>
      <c r="I944">
        <v>135558</v>
      </c>
      <c r="J944">
        <v>154536</v>
      </c>
      <c r="K944">
        <v>0.14000000000000001</v>
      </c>
      <c r="L944" t="s">
        <v>29</v>
      </c>
      <c r="M944" t="s">
        <v>43</v>
      </c>
      <c r="N944" s="17"/>
      <c r="O944">
        <v>0</v>
      </c>
    </row>
    <row r="945" spans="1:15" x14ac:dyDescent="0.3">
      <c r="A945" t="s">
        <v>1069</v>
      </c>
      <c r="B945" t="s">
        <v>48</v>
      </c>
      <c r="C945" t="s">
        <v>50</v>
      </c>
      <c r="D945" t="s">
        <v>39</v>
      </c>
      <c r="E945" t="s">
        <v>33</v>
      </c>
      <c r="F945">
        <v>49</v>
      </c>
      <c r="G945" t="s">
        <v>125</v>
      </c>
      <c r="H945" s="17">
        <v>40894</v>
      </c>
      <c r="I945">
        <v>56878</v>
      </c>
      <c r="J945">
        <v>56878</v>
      </c>
      <c r="K945">
        <v>0</v>
      </c>
      <c r="L945" t="s">
        <v>29</v>
      </c>
      <c r="M945" t="s">
        <v>30</v>
      </c>
      <c r="N945" s="17"/>
      <c r="O945">
        <v>0</v>
      </c>
    </row>
    <row r="946" spans="1:15" x14ac:dyDescent="0.3">
      <c r="A946" t="s">
        <v>1070</v>
      </c>
      <c r="B946" t="s">
        <v>85</v>
      </c>
      <c r="C946" t="s">
        <v>26</v>
      </c>
      <c r="D946" t="s">
        <v>39</v>
      </c>
      <c r="E946" t="s">
        <v>33</v>
      </c>
      <c r="F946">
        <v>34</v>
      </c>
      <c r="G946" t="s">
        <v>127</v>
      </c>
      <c r="H946" s="17">
        <v>43728</v>
      </c>
      <c r="I946">
        <v>94735</v>
      </c>
      <c r="J946">
        <v>94735</v>
      </c>
      <c r="K946">
        <v>0</v>
      </c>
      <c r="L946" t="s">
        <v>34</v>
      </c>
      <c r="M946" t="s">
        <v>64</v>
      </c>
      <c r="N946" s="17"/>
      <c r="O946">
        <v>0</v>
      </c>
    </row>
    <row r="947" spans="1:15" x14ac:dyDescent="0.3">
      <c r="A947" t="s">
        <v>1071</v>
      </c>
      <c r="B947" t="s">
        <v>66</v>
      </c>
      <c r="C947" t="s">
        <v>45</v>
      </c>
      <c r="D947" t="s">
        <v>32</v>
      </c>
      <c r="E947" t="s">
        <v>33</v>
      </c>
      <c r="F947">
        <v>39</v>
      </c>
      <c r="G947" t="s">
        <v>135</v>
      </c>
      <c r="H947" s="17">
        <v>39229</v>
      </c>
      <c r="I947">
        <v>51234</v>
      </c>
      <c r="J947">
        <v>51234</v>
      </c>
      <c r="K947">
        <v>0</v>
      </c>
      <c r="L947" t="s">
        <v>29</v>
      </c>
      <c r="M947" t="s">
        <v>30</v>
      </c>
      <c r="N947" s="17"/>
      <c r="O947">
        <v>0</v>
      </c>
    </row>
    <row r="948" spans="1:15" x14ac:dyDescent="0.3">
      <c r="A948" t="s">
        <v>1072</v>
      </c>
      <c r="B948" t="s">
        <v>56</v>
      </c>
      <c r="C948" t="s">
        <v>52</v>
      </c>
      <c r="D948" t="s">
        <v>39</v>
      </c>
      <c r="E948" t="s">
        <v>33</v>
      </c>
      <c r="F948">
        <v>31</v>
      </c>
      <c r="G948" t="s">
        <v>127</v>
      </c>
      <c r="H948" s="17">
        <v>42018</v>
      </c>
      <c r="I948">
        <v>230025</v>
      </c>
      <c r="J948">
        <v>308234</v>
      </c>
      <c r="K948">
        <v>0.34</v>
      </c>
      <c r="L948" t="s">
        <v>29</v>
      </c>
      <c r="M948" t="s">
        <v>43</v>
      </c>
      <c r="N948" s="17"/>
      <c r="O948">
        <v>0</v>
      </c>
    </row>
    <row r="949" spans="1:15" x14ac:dyDescent="0.3">
      <c r="A949" t="s">
        <v>1073</v>
      </c>
      <c r="B949" t="s">
        <v>25</v>
      </c>
      <c r="C949" t="s">
        <v>52</v>
      </c>
      <c r="D949" t="s">
        <v>39</v>
      </c>
      <c r="E949" t="s">
        <v>28</v>
      </c>
      <c r="F949">
        <v>36</v>
      </c>
      <c r="G949" t="s">
        <v>135</v>
      </c>
      <c r="H949" s="17">
        <v>40248</v>
      </c>
      <c r="I949">
        <v>134006</v>
      </c>
      <c r="J949">
        <v>151427</v>
      </c>
      <c r="K949">
        <v>0.13</v>
      </c>
      <c r="L949" t="s">
        <v>34</v>
      </c>
      <c r="M949" t="s">
        <v>64</v>
      </c>
      <c r="N949" s="17"/>
      <c r="O949">
        <v>0</v>
      </c>
    </row>
    <row r="950" spans="1:15" x14ac:dyDescent="0.3">
      <c r="A950" t="s">
        <v>1074</v>
      </c>
      <c r="B950" t="s">
        <v>47</v>
      </c>
      <c r="C950" t="s">
        <v>38</v>
      </c>
      <c r="D950" t="s">
        <v>46</v>
      </c>
      <c r="E950" t="s">
        <v>28</v>
      </c>
      <c r="F950">
        <v>61</v>
      </c>
      <c r="G950" t="s">
        <v>122</v>
      </c>
      <c r="H950" s="17">
        <v>40092</v>
      </c>
      <c r="I950">
        <v>103096</v>
      </c>
      <c r="J950">
        <v>110313</v>
      </c>
      <c r="K950">
        <v>7.0000000000000007E-2</v>
      </c>
      <c r="L950" t="s">
        <v>34</v>
      </c>
      <c r="M950" t="s">
        <v>64</v>
      </c>
      <c r="N950" s="17"/>
      <c r="O950">
        <v>0</v>
      </c>
    </row>
    <row r="951" spans="1:15" x14ac:dyDescent="0.3">
      <c r="A951" t="s">
        <v>1075</v>
      </c>
      <c r="B951" t="s">
        <v>48</v>
      </c>
      <c r="C951" t="s">
        <v>50</v>
      </c>
      <c r="D951" t="s">
        <v>32</v>
      </c>
      <c r="E951" t="s">
        <v>33</v>
      </c>
      <c r="F951">
        <v>29</v>
      </c>
      <c r="G951" t="s">
        <v>127</v>
      </c>
      <c r="H951" s="17">
        <v>42602</v>
      </c>
      <c r="I951">
        <v>58703</v>
      </c>
      <c r="J951">
        <v>58703</v>
      </c>
      <c r="K951">
        <v>0</v>
      </c>
      <c r="L951" t="s">
        <v>29</v>
      </c>
      <c r="M951" t="s">
        <v>58</v>
      </c>
      <c r="N951" s="17"/>
      <c r="O951">
        <v>0</v>
      </c>
    </row>
    <row r="952" spans="1:15" x14ac:dyDescent="0.3">
      <c r="A952" t="s">
        <v>1076</v>
      </c>
      <c r="B952" t="s">
        <v>25</v>
      </c>
      <c r="C952" t="s">
        <v>26</v>
      </c>
      <c r="D952" t="s">
        <v>39</v>
      </c>
      <c r="E952" t="s">
        <v>33</v>
      </c>
      <c r="F952">
        <v>33</v>
      </c>
      <c r="G952" t="s">
        <v>127</v>
      </c>
      <c r="H952" s="17">
        <v>41267</v>
      </c>
      <c r="I952">
        <v>132544</v>
      </c>
      <c r="J952">
        <v>145798</v>
      </c>
      <c r="K952">
        <v>0.1</v>
      </c>
      <c r="L952" t="s">
        <v>59</v>
      </c>
      <c r="M952" t="s">
        <v>61</v>
      </c>
      <c r="N952" s="17"/>
      <c r="O952">
        <v>0</v>
      </c>
    </row>
    <row r="953" spans="1:15" x14ac:dyDescent="0.3">
      <c r="A953" t="s">
        <v>1077</v>
      </c>
      <c r="B953" t="s">
        <v>47</v>
      </c>
      <c r="C953" t="s">
        <v>38</v>
      </c>
      <c r="D953" t="s">
        <v>32</v>
      </c>
      <c r="E953" t="s">
        <v>33</v>
      </c>
      <c r="F953">
        <v>32</v>
      </c>
      <c r="G953" t="s">
        <v>127</v>
      </c>
      <c r="H953" s="17">
        <v>43936</v>
      </c>
      <c r="I953">
        <v>126671</v>
      </c>
      <c r="J953">
        <v>138071</v>
      </c>
      <c r="K953">
        <v>0.09</v>
      </c>
      <c r="L953" t="s">
        <v>29</v>
      </c>
      <c r="M953" t="s">
        <v>49</v>
      </c>
      <c r="N953" s="17"/>
      <c r="O953">
        <v>0</v>
      </c>
    </row>
    <row r="954" spans="1:15" x14ac:dyDescent="0.3">
      <c r="A954" t="s">
        <v>1078</v>
      </c>
      <c r="B954" t="s">
        <v>44</v>
      </c>
      <c r="C954" t="s">
        <v>45</v>
      </c>
      <c r="D954" t="s">
        <v>27</v>
      </c>
      <c r="E954" t="s">
        <v>28</v>
      </c>
      <c r="F954">
        <v>33</v>
      </c>
      <c r="G954" t="s">
        <v>127</v>
      </c>
      <c r="H954" s="17">
        <v>44218</v>
      </c>
      <c r="I954">
        <v>56405</v>
      </c>
      <c r="J954">
        <v>56405</v>
      </c>
      <c r="K954">
        <v>0</v>
      </c>
      <c r="L954" t="s">
        <v>29</v>
      </c>
      <c r="M954" t="s">
        <v>40</v>
      </c>
      <c r="N954" s="17"/>
      <c r="O954">
        <v>0</v>
      </c>
    </row>
    <row r="955" spans="1:15" x14ac:dyDescent="0.3">
      <c r="A955" t="s">
        <v>1079</v>
      </c>
      <c r="B955" t="s">
        <v>41</v>
      </c>
      <c r="C955" t="s">
        <v>26</v>
      </c>
      <c r="D955" t="s">
        <v>39</v>
      </c>
      <c r="E955" t="s">
        <v>28</v>
      </c>
      <c r="F955">
        <v>36</v>
      </c>
      <c r="G955" t="s">
        <v>135</v>
      </c>
      <c r="H955" s="17">
        <v>41972</v>
      </c>
      <c r="I955">
        <v>88730</v>
      </c>
      <c r="J955">
        <v>95828</v>
      </c>
      <c r="K955">
        <v>0.08</v>
      </c>
      <c r="L955" t="s">
        <v>34</v>
      </c>
      <c r="M955" t="s">
        <v>35</v>
      </c>
      <c r="N955" s="17"/>
      <c r="O955">
        <v>0</v>
      </c>
    </row>
    <row r="956" spans="1:15" x14ac:dyDescent="0.3">
      <c r="A956" t="s">
        <v>1080</v>
      </c>
      <c r="B956" t="s">
        <v>66</v>
      </c>
      <c r="C956" t="s">
        <v>38</v>
      </c>
      <c r="D956" t="s">
        <v>32</v>
      </c>
      <c r="E956" t="s">
        <v>33</v>
      </c>
      <c r="F956">
        <v>39</v>
      </c>
      <c r="G956" t="s">
        <v>135</v>
      </c>
      <c r="H956" s="17">
        <v>39708</v>
      </c>
      <c r="I956">
        <v>62861</v>
      </c>
      <c r="J956">
        <v>62861</v>
      </c>
      <c r="K956">
        <v>0</v>
      </c>
      <c r="L956" t="s">
        <v>29</v>
      </c>
      <c r="M956" t="s">
        <v>30</v>
      </c>
      <c r="N956" s="17"/>
      <c r="O956">
        <v>0</v>
      </c>
    </row>
    <row r="957" spans="1:15" x14ac:dyDescent="0.3">
      <c r="A957" t="s">
        <v>1081</v>
      </c>
      <c r="B957" t="s">
        <v>37</v>
      </c>
      <c r="C957" t="s">
        <v>52</v>
      </c>
      <c r="D957" t="s">
        <v>46</v>
      </c>
      <c r="E957" t="s">
        <v>28</v>
      </c>
      <c r="F957">
        <v>53</v>
      </c>
      <c r="G957" t="s">
        <v>125</v>
      </c>
      <c r="H957" s="17">
        <v>38919</v>
      </c>
      <c r="I957">
        <v>151246</v>
      </c>
      <c r="J957">
        <v>183008</v>
      </c>
      <c r="K957">
        <v>0.21</v>
      </c>
      <c r="L957" t="s">
        <v>59</v>
      </c>
      <c r="M957" t="s">
        <v>76</v>
      </c>
      <c r="N957" s="17"/>
      <c r="O957">
        <v>0</v>
      </c>
    </row>
    <row r="958" spans="1:15" x14ac:dyDescent="0.3">
      <c r="A958" t="s">
        <v>1082</v>
      </c>
      <c r="B958" t="s">
        <v>25</v>
      </c>
      <c r="C958" t="s">
        <v>26</v>
      </c>
      <c r="D958" t="s">
        <v>32</v>
      </c>
      <c r="E958" t="s">
        <v>28</v>
      </c>
      <c r="F958">
        <v>53</v>
      </c>
      <c r="G958" t="s">
        <v>125</v>
      </c>
      <c r="H958" s="17">
        <v>35532</v>
      </c>
      <c r="I958">
        <v>154388</v>
      </c>
      <c r="J958">
        <v>169827</v>
      </c>
      <c r="K958">
        <v>0.1</v>
      </c>
      <c r="L958" t="s">
        <v>29</v>
      </c>
      <c r="M958" t="s">
        <v>30</v>
      </c>
      <c r="N958" s="17"/>
      <c r="O958">
        <v>0</v>
      </c>
    </row>
    <row r="959" spans="1:15" x14ac:dyDescent="0.3">
      <c r="A959" t="s">
        <v>1083</v>
      </c>
      <c r="B959" t="s">
        <v>37</v>
      </c>
      <c r="C959" t="s">
        <v>52</v>
      </c>
      <c r="D959" t="s">
        <v>32</v>
      </c>
      <c r="E959" t="s">
        <v>28</v>
      </c>
      <c r="F959">
        <v>54</v>
      </c>
      <c r="G959" t="s">
        <v>125</v>
      </c>
      <c r="H959" s="17">
        <v>34603</v>
      </c>
      <c r="I959">
        <v>162978</v>
      </c>
      <c r="J959">
        <v>190684</v>
      </c>
      <c r="K959">
        <v>0.17</v>
      </c>
      <c r="L959" t="s">
        <v>29</v>
      </c>
      <c r="M959" t="s">
        <v>49</v>
      </c>
      <c r="N959" s="17">
        <v>38131</v>
      </c>
      <c r="O959">
        <v>1</v>
      </c>
    </row>
    <row r="960" spans="1:15" x14ac:dyDescent="0.3">
      <c r="A960" t="s">
        <v>1084</v>
      </c>
      <c r="B960" t="s">
        <v>84</v>
      </c>
      <c r="C960" t="s">
        <v>26</v>
      </c>
      <c r="D960" t="s">
        <v>39</v>
      </c>
      <c r="E960" t="s">
        <v>33</v>
      </c>
      <c r="F960">
        <v>55</v>
      </c>
      <c r="G960" t="s">
        <v>122</v>
      </c>
      <c r="H960" s="17">
        <v>34290</v>
      </c>
      <c r="I960">
        <v>80170</v>
      </c>
      <c r="J960">
        <v>80170</v>
      </c>
      <c r="K960">
        <v>0</v>
      </c>
      <c r="L960" t="s">
        <v>29</v>
      </c>
      <c r="M960" t="s">
        <v>49</v>
      </c>
      <c r="N960" s="17"/>
      <c r="O960">
        <v>0</v>
      </c>
    </row>
    <row r="961" spans="1:15" x14ac:dyDescent="0.3">
      <c r="A961" t="s">
        <v>1085</v>
      </c>
      <c r="B961" t="s">
        <v>42</v>
      </c>
      <c r="C961" t="s">
        <v>50</v>
      </c>
      <c r="D961" t="s">
        <v>32</v>
      </c>
      <c r="E961" t="s">
        <v>28</v>
      </c>
      <c r="F961">
        <v>44</v>
      </c>
      <c r="G961" t="s">
        <v>135</v>
      </c>
      <c r="H961" s="17">
        <v>44314</v>
      </c>
      <c r="I961">
        <v>98520</v>
      </c>
      <c r="J961">
        <v>98520</v>
      </c>
      <c r="K961">
        <v>0</v>
      </c>
      <c r="L961" t="s">
        <v>29</v>
      </c>
      <c r="M961" t="s">
        <v>49</v>
      </c>
      <c r="N961" s="17"/>
      <c r="O961">
        <v>0</v>
      </c>
    </row>
    <row r="962" spans="1:15" x14ac:dyDescent="0.3">
      <c r="A962" t="s">
        <v>1086</v>
      </c>
      <c r="B962" t="s">
        <v>47</v>
      </c>
      <c r="C962" t="s">
        <v>38</v>
      </c>
      <c r="D962" t="s">
        <v>32</v>
      </c>
      <c r="E962" t="s">
        <v>33</v>
      </c>
      <c r="F962">
        <v>52</v>
      </c>
      <c r="G962" t="s">
        <v>125</v>
      </c>
      <c r="H962" s="17">
        <v>36523</v>
      </c>
      <c r="I962">
        <v>116527</v>
      </c>
      <c r="J962">
        <v>124684</v>
      </c>
      <c r="K962">
        <v>7.0000000000000007E-2</v>
      </c>
      <c r="L962" t="s">
        <v>29</v>
      </c>
      <c r="M962" t="s">
        <v>43</v>
      </c>
      <c r="N962" s="17"/>
      <c r="O962">
        <v>0</v>
      </c>
    </row>
    <row r="963" spans="1:15" x14ac:dyDescent="0.3">
      <c r="A963" t="s">
        <v>1087</v>
      </c>
      <c r="B963" t="s">
        <v>37</v>
      </c>
      <c r="C963" t="s">
        <v>45</v>
      </c>
      <c r="D963" t="s">
        <v>27</v>
      </c>
      <c r="E963" t="s">
        <v>33</v>
      </c>
      <c r="F963">
        <v>27</v>
      </c>
      <c r="G963" t="s">
        <v>127</v>
      </c>
      <c r="H963" s="17">
        <v>43776</v>
      </c>
      <c r="I963">
        <v>174607</v>
      </c>
      <c r="J963">
        <v>225243</v>
      </c>
      <c r="K963">
        <v>0.28999999999999998</v>
      </c>
      <c r="L963" t="s">
        <v>29</v>
      </c>
      <c r="M963" t="s">
        <v>58</v>
      </c>
      <c r="N963" s="17"/>
      <c r="O963">
        <v>0</v>
      </c>
    </row>
    <row r="964" spans="1:15" x14ac:dyDescent="0.3">
      <c r="A964" t="s">
        <v>1088</v>
      </c>
      <c r="B964" t="s">
        <v>66</v>
      </c>
      <c r="C964" t="s">
        <v>50</v>
      </c>
      <c r="D964" t="s">
        <v>27</v>
      </c>
      <c r="E964" t="s">
        <v>33</v>
      </c>
      <c r="F964">
        <v>58</v>
      </c>
      <c r="G964" t="s">
        <v>122</v>
      </c>
      <c r="H964" s="17">
        <v>38819</v>
      </c>
      <c r="I964">
        <v>64202</v>
      </c>
      <c r="J964">
        <v>64202</v>
      </c>
      <c r="K964">
        <v>0</v>
      </c>
      <c r="L964" t="s">
        <v>29</v>
      </c>
      <c r="M964" t="s">
        <v>58</v>
      </c>
      <c r="N964" s="17"/>
      <c r="O964">
        <v>0</v>
      </c>
    </row>
    <row r="965" spans="1:15" x14ac:dyDescent="0.3">
      <c r="A965" t="s">
        <v>1089</v>
      </c>
      <c r="B965" t="s">
        <v>66</v>
      </c>
      <c r="C965" t="s">
        <v>50</v>
      </c>
      <c r="D965" t="s">
        <v>46</v>
      </c>
      <c r="E965" t="s">
        <v>33</v>
      </c>
      <c r="F965">
        <v>49</v>
      </c>
      <c r="G965" t="s">
        <v>125</v>
      </c>
      <c r="H965" s="17">
        <v>43671</v>
      </c>
      <c r="I965">
        <v>50883</v>
      </c>
      <c r="J965">
        <v>50883</v>
      </c>
      <c r="K965">
        <v>0</v>
      </c>
      <c r="L965" t="s">
        <v>34</v>
      </c>
      <c r="M965" t="s">
        <v>35</v>
      </c>
      <c r="N965" s="17">
        <v>44257</v>
      </c>
      <c r="O965">
        <v>1</v>
      </c>
    </row>
    <row r="966" spans="1:15" x14ac:dyDescent="0.3">
      <c r="A966" t="s">
        <v>1090</v>
      </c>
      <c r="B966" t="s">
        <v>78</v>
      </c>
      <c r="C966" t="s">
        <v>26</v>
      </c>
      <c r="D966" t="s">
        <v>39</v>
      </c>
      <c r="E966" t="s">
        <v>28</v>
      </c>
      <c r="F966">
        <v>36</v>
      </c>
      <c r="G966" t="s">
        <v>135</v>
      </c>
      <c r="H966" s="17">
        <v>42677</v>
      </c>
      <c r="I966">
        <v>94618</v>
      </c>
      <c r="J966">
        <v>94618</v>
      </c>
      <c r="K966">
        <v>0</v>
      </c>
      <c r="L966" t="s">
        <v>29</v>
      </c>
      <c r="M966" t="s">
        <v>58</v>
      </c>
      <c r="N966" s="17"/>
      <c r="O966">
        <v>0</v>
      </c>
    </row>
    <row r="967" spans="1:15" x14ac:dyDescent="0.3">
      <c r="A967" t="s">
        <v>1091</v>
      </c>
      <c r="B967" t="s">
        <v>37</v>
      </c>
      <c r="C967" t="s">
        <v>57</v>
      </c>
      <c r="D967" t="s">
        <v>27</v>
      </c>
      <c r="E967" t="s">
        <v>33</v>
      </c>
      <c r="F967">
        <v>26</v>
      </c>
      <c r="G967" t="s">
        <v>127</v>
      </c>
      <c r="H967" s="17">
        <v>43753</v>
      </c>
      <c r="I967">
        <v>151556</v>
      </c>
      <c r="J967">
        <v>181867</v>
      </c>
      <c r="K967">
        <v>0.2</v>
      </c>
      <c r="L967" t="s">
        <v>29</v>
      </c>
      <c r="M967" t="s">
        <v>49</v>
      </c>
      <c r="N967" s="17"/>
      <c r="O967">
        <v>0</v>
      </c>
    </row>
    <row r="968" spans="1:15" x14ac:dyDescent="0.3">
      <c r="A968" t="s">
        <v>1092</v>
      </c>
      <c r="B968" t="s">
        <v>80</v>
      </c>
      <c r="C968" t="s">
        <v>54</v>
      </c>
      <c r="D968" t="s">
        <v>27</v>
      </c>
      <c r="E968" t="s">
        <v>28</v>
      </c>
      <c r="F968">
        <v>37</v>
      </c>
      <c r="G968" t="s">
        <v>135</v>
      </c>
      <c r="H968" s="17">
        <v>43898</v>
      </c>
      <c r="I968">
        <v>80659</v>
      </c>
      <c r="J968">
        <v>80659</v>
      </c>
      <c r="K968">
        <v>0</v>
      </c>
      <c r="L968" t="s">
        <v>29</v>
      </c>
      <c r="M968" t="s">
        <v>43</v>
      </c>
      <c r="N968" s="17"/>
      <c r="O968">
        <v>0</v>
      </c>
    </row>
    <row r="969" spans="1:15" x14ac:dyDescent="0.3">
      <c r="A969" t="s">
        <v>1093</v>
      </c>
      <c r="B969" t="s">
        <v>37</v>
      </c>
      <c r="C969" t="s">
        <v>52</v>
      </c>
      <c r="D969" t="s">
        <v>39</v>
      </c>
      <c r="E969" t="s">
        <v>33</v>
      </c>
      <c r="F969">
        <v>47</v>
      </c>
      <c r="G969" t="s">
        <v>125</v>
      </c>
      <c r="H969" s="17">
        <v>43772</v>
      </c>
      <c r="I969">
        <v>195385</v>
      </c>
      <c r="J969">
        <v>236416</v>
      </c>
      <c r="K969">
        <v>0.21</v>
      </c>
      <c r="L969" t="s">
        <v>34</v>
      </c>
      <c r="M969" t="s">
        <v>68</v>
      </c>
      <c r="N969" s="17"/>
      <c r="O969">
        <v>0</v>
      </c>
    </row>
    <row r="970" spans="1:15" x14ac:dyDescent="0.3">
      <c r="A970" t="s">
        <v>1094</v>
      </c>
      <c r="B970" t="s">
        <v>83</v>
      </c>
      <c r="C970" t="s">
        <v>26</v>
      </c>
      <c r="D970" t="s">
        <v>39</v>
      </c>
      <c r="E970" t="s">
        <v>33</v>
      </c>
      <c r="F970">
        <v>29</v>
      </c>
      <c r="G970" t="s">
        <v>127</v>
      </c>
      <c r="H970" s="17">
        <v>42509</v>
      </c>
      <c r="I970">
        <v>52693</v>
      </c>
      <c r="J970">
        <v>52693</v>
      </c>
      <c r="K970">
        <v>0</v>
      </c>
      <c r="L970" t="s">
        <v>59</v>
      </c>
      <c r="M970" t="s">
        <v>61</v>
      </c>
      <c r="N970" s="17"/>
      <c r="O970">
        <v>0</v>
      </c>
    </row>
    <row r="971" spans="1:15" x14ac:dyDescent="0.3">
      <c r="A971" t="s">
        <v>1095</v>
      </c>
      <c r="B971" t="s">
        <v>87</v>
      </c>
      <c r="C971" t="s">
        <v>26</v>
      </c>
      <c r="D971" t="s">
        <v>27</v>
      </c>
      <c r="E971" t="s">
        <v>28</v>
      </c>
      <c r="F971">
        <v>58</v>
      </c>
      <c r="G971" t="s">
        <v>122</v>
      </c>
      <c r="H971" s="17">
        <v>42486</v>
      </c>
      <c r="I971">
        <v>72045</v>
      </c>
      <c r="J971">
        <v>72045</v>
      </c>
      <c r="K971">
        <v>0</v>
      </c>
      <c r="L971" t="s">
        <v>29</v>
      </c>
      <c r="M971" t="s">
        <v>43</v>
      </c>
      <c r="N971" s="17"/>
      <c r="O971">
        <v>0</v>
      </c>
    </row>
    <row r="972" spans="1:15" x14ac:dyDescent="0.3">
      <c r="A972" t="s">
        <v>1096</v>
      </c>
      <c r="B972" t="s">
        <v>66</v>
      </c>
      <c r="C972" t="s">
        <v>57</v>
      </c>
      <c r="D972" t="s">
        <v>32</v>
      </c>
      <c r="E972" t="s">
        <v>33</v>
      </c>
      <c r="F972">
        <v>47</v>
      </c>
      <c r="G972" t="s">
        <v>125</v>
      </c>
      <c r="H972" s="17">
        <v>38684</v>
      </c>
      <c r="I972">
        <v>62749</v>
      </c>
      <c r="J972">
        <v>62749</v>
      </c>
      <c r="K972">
        <v>0</v>
      </c>
      <c r="L972" t="s">
        <v>59</v>
      </c>
      <c r="M972" t="s">
        <v>60</v>
      </c>
      <c r="N972" s="17"/>
      <c r="O972">
        <v>0</v>
      </c>
    </row>
    <row r="973" spans="1:15" x14ac:dyDescent="0.3">
      <c r="A973" t="s">
        <v>1097</v>
      </c>
      <c r="B973" t="s">
        <v>25</v>
      </c>
      <c r="C973" t="s">
        <v>57</v>
      </c>
      <c r="D973" t="s">
        <v>39</v>
      </c>
      <c r="E973" t="s">
        <v>33</v>
      </c>
      <c r="F973">
        <v>52</v>
      </c>
      <c r="G973" t="s">
        <v>125</v>
      </c>
      <c r="H973" s="17">
        <v>43255</v>
      </c>
      <c r="I973">
        <v>154884</v>
      </c>
      <c r="J973">
        <v>170372</v>
      </c>
      <c r="K973">
        <v>0.1</v>
      </c>
      <c r="L973" t="s">
        <v>34</v>
      </c>
      <c r="M973" t="s">
        <v>55</v>
      </c>
      <c r="N973" s="17"/>
      <c r="O973">
        <v>0</v>
      </c>
    </row>
    <row r="974" spans="1:15" x14ac:dyDescent="0.3">
      <c r="A974" t="s">
        <v>1098</v>
      </c>
      <c r="B974" t="s">
        <v>78</v>
      </c>
      <c r="C974" t="s">
        <v>26</v>
      </c>
      <c r="D974" t="s">
        <v>27</v>
      </c>
      <c r="E974" t="s">
        <v>33</v>
      </c>
      <c r="F974">
        <v>61</v>
      </c>
      <c r="G974" t="s">
        <v>122</v>
      </c>
      <c r="H974" s="17">
        <v>42437</v>
      </c>
      <c r="I974">
        <v>96566</v>
      </c>
      <c r="J974">
        <v>96566</v>
      </c>
      <c r="K974">
        <v>0</v>
      </c>
      <c r="L974" t="s">
        <v>29</v>
      </c>
      <c r="M974" t="s">
        <v>58</v>
      </c>
      <c r="N974" s="17"/>
      <c r="O974">
        <v>0</v>
      </c>
    </row>
    <row r="975" spans="1:15" x14ac:dyDescent="0.3">
      <c r="A975" t="s">
        <v>1099</v>
      </c>
      <c r="B975" t="s">
        <v>83</v>
      </c>
      <c r="C975" t="s">
        <v>26</v>
      </c>
      <c r="D975" t="s">
        <v>27</v>
      </c>
      <c r="E975" t="s">
        <v>33</v>
      </c>
      <c r="F975">
        <v>45</v>
      </c>
      <c r="G975" t="s">
        <v>125</v>
      </c>
      <c r="H975" s="17">
        <v>37126</v>
      </c>
      <c r="I975">
        <v>54994</v>
      </c>
      <c r="J975">
        <v>54994</v>
      </c>
      <c r="K975">
        <v>0</v>
      </c>
      <c r="L975" t="s">
        <v>29</v>
      </c>
      <c r="M975" t="s">
        <v>58</v>
      </c>
      <c r="N975" s="17"/>
      <c r="O975">
        <v>0</v>
      </c>
    </row>
    <row r="976" spans="1:15" x14ac:dyDescent="0.3">
      <c r="A976" t="s">
        <v>1100</v>
      </c>
      <c r="B976" t="s">
        <v>87</v>
      </c>
      <c r="C976" t="s">
        <v>26</v>
      </c>
      <c r="D976" t="s">
        <v>46</v>
      </c>
      <c r="E976" t="s">
        <v>28</v>
      </c>
      <c r="F976">
        <v>40</v>
      </c>
      <c r="G976" t="s">
        <v>135</v>
      </c>
      <c r="H976" s="17">
        <v>40944</v>
      </c>
      <c r="I976">
        <v>61523</v>
      </c>
      <c r="J976">
        <v>61523</v>
      </c>
      <c r="K976">
        <v>0</v>
      </c>
      <c r="L976" t="s">
        <v>29</v>
      </c>
      <c r="M976" t="s">
        <v>58</v>
      </c>
      <c r="N976" s="17"/>
      <c r="O976">
        <v>0</v>
      </c>
    </row>
    <row r="977" spans="1:15" x14ac:dyDescent="0.3">
      <c r="A977" t="s">
        <v>1101</v>
      </c>
      <c r="B977" t="s">
        <v>56</v>
      </c>
      <c r="C977" t="s">
        <v>52</v>
      </c>
      <c r="D977" t="s">
        <v>46</v>
      </c>
      <c r="E977" t="s">
        <v>33</v>
      </c>
      <c r="F977">
        <v>45</v>
      </c>
      <c r="G977" t="s">
        <v>125</v>
      </c>
      <c r="H977" s="17">
        <v>40524</v>
      </c>
      <c r="I977">
        <v>190512</v>
      </c>
      <c r="J977">
        <v>251476</v>
      </c>
      <c r="K977">
        <v>0.32</v>
      </c>
      <c r="L977" t="s">
        <v>29</v>
      </c>
      <c r="M977" t="s">
        <v>58</v>
      </c>
      <c r="N977" s="17"/>
      <c r="O977">
        <v>0</v>
      </c>
    </row>
    <row r="978" spans="1:15" x14ac:dyDescent="0.3">
      <c r="A978" t="s">
        <v>1102</v>
      </c>
      <c r="B978" t="s">
        <v>53</v>
      </c>
      <c r="C978" t="s">
        <v>54</v>
      </c>
      <c r="D978" t="s">
        <v>39</v>
      </c>
      <c r="E978" t="s">
        <v>28</v>
      </c>
      <c r="F978">
        <v>37</v>
      </c>
      <c r="G978" t="s">
        <v>135</v>
      </c>
      <c r="H978" s="17">
        <v>41318</v>
      </c>
      <c r="I978">
        <v>124827</v>
      </c>
      <c r="J978">
        <v>124827</v>
      </c>
      <c r="K978">
        <v>0</v>
      </c>
      <c r="L978" t="s">
        <v>34</v>
      </c>
      <c r="M978" t="s">
        <v>64</v>
      </c>
      <c r="N978" s="17"/>
      <c r="O978">
        <v>0</v>
      </c>
    </row>
    <row r="979" spans="1:15" x14ac:dyDescent="0.3">
      <c r="A979" t="s">
        <v>1103</v>
      </c>
      <c r="B979" t="s">
        <v>47</v>
      </c>
      <c r="C979" t="s">
        <v>50</v>
      </c>
      <c r="D979" t="s">
        <v>32</v>
      </c>
      <c r="E979" t="s">
        <v>33</v>
      </c>
      <c r="F979">
        <v>57</v>
      </c>
      <c r="G979" t="s">
        <v>122</v>
      </c>
      <c r="H979" s="17">
        <v>43484</v>
      </c>
      <c r="I979">
        <v>101577</v>
      </c>
      <c r="J979">
        <v>106656</v>
      </c>
      <c r="K979">
        <v>0.05</v>
      </c>
      <c r="L979" t="s">
        <v>29</v>
      </c>
      <c r="M979" t="s">
        <v>40</v>
      </c>
      <c r="N979" s="17"/>
      <c r="O979">
        <v>0</v>
      </c>
    </row>
    <row r="980" spans="1:15" x14ac:dyDescent="0.3">
      <c r="A980" t="s">
        <v>1104</v>
      </c>
      <c r="B980" t="s">
        <v>47</v>
      </c>
      <c r="C980" t="s">
        <v>50</v>
      </c>
      <c r="D980" t="s">
        <v>32</v>
      </c>
      <c r="E980" t="s">
        <v>28</v>
      </c>
      <c r="F980">
        <v>44</v>
      </c>
      <c r="G980" t="s">
        <v>135</v>
      </c>
      <c r="H980" s="17">
        <v>38642</v>
      </c>
      <c r="I980">
        <v>105223</v>
      </c>
      <c r="J980">
        <v>115745</v>
      </c>
      <c r="K980">
        <v>0.1</v>
      </c>
      <c r="L980" t="s">
        <v>29</v>
      </c>
      <c r="M980" t="s">
        <v>43</v>
      </c>
      <c r="N980" s="17"/>
      <c r="O980">
        <v>0</v>
      </c>
    </row>
    <row r="981" spans="1:15" x14ac:dyDescent="0.3">
      <c r="A981" t="s">
        <v>1105</v>
      </c>
      <c r="B981" t="s">
        <v>85</v>
      </c>
      <c r="C981" t="s">
        <v>26</v>
      </c>
      <c r="D981" t="s">
        <v>46</v>
      </c>
      <c r="E981" t="s">
        <v>33</v>
      </c>
      <c r="F981">
        <v>48</v>
      </c>
      <c r="G981" t="s">
        <v>125</v>
      </c>
      <c r="H981" s="17">
        <v>39635</v>
      </c>
      <c r="I981">
        <v>94815</v>
      </c>
      <c r="J981">
        <v>94815</v>
      </c>
      <c r="K981">
        <v>0</v>
      </c>
      <c r="L981" t="s">
        <v>29</v>
      </c>
      <c r="M981" t="s">
        <v>40</v>
      </c>
      <c r="N981" s="17"/>
      <c r="O981">
        <v>0</v>
      </c>
    </row>
    <row r="982" spans="1:15" x14ac:dyDescent="0.3">
      <c r="A982" t="s">
        <v>1106</v>
      </c>
      <c r="B982" t="s">
        <v>47</v>
      </c>
      <c r="C982" t="s">
        <v>50</v>
      </c>
      <c r="D982" t="s">
        <v>39</v>
      </c>
      <c r="E982" t="s">
        <v>28</v>
      </c>
      <c r="F982">
        <v>25</v>
      </c>
      <c r="G982" t="s">
        <v>127</v>
      </c>
      <c r="H982" s="17">
        <v>44545</v>
      </c>
      <c r="I982">
        <v>114893</v>
      </c>
      <c r="J982">
        <v>121787</v>
      </c>
      <c r="K982">
        <v>0.06</v>
      </c>
      <c r="L982" t="s">
        <v>34</v>
      </c>
      <c r="M982" t="s">
        <v>68</v>
      </c>
      <c r="N982" s="17"/>
      <c r="O982">
        <v>0</v>
      </c>
    </row>
    <row r="983" spans="1:15" x14ac:dyDescent="0.3">
      <c r="A983" t="s">
        <v>1107</v>
      </c>
      <c r="B983" t="s">
        <v>42</v>
      </c>
      <c r="C983" t="s">
        <v>57</v>
      </c>
      <c r="D983" t="s">
        <v>39</v>
      </c>
      <c r="E983" t="s">
        <v>28</v>
      </c>
      <c r="F983">
        <v>35</v>
      </c>
      <c r="G983" t="s">
        <v>135</v>
      </c>
      <c r="H983" s="17">
        <v>42745</v>
      </c>
      <c r="I983">
        <v>80622</v>
      </c>
      <c r="J983">
        <v>80622</v>
      </c>
      <c r="K983">
        <v>0</v>
      </c>
      <c r="L983" t="s">
        <v>29</v>
      </c>
      <c r="M983" t="s">
        <v>51</v>
      </c>
      <c r="N983" s="17"/>
      <c r="O983">
        <v>0</v>
      </c>
    </row>
    <row r="984" spans="1:15" x14ac:dyDescent="0.3">
      <c r="A984" t="s">
        <v>1108</v>
      </c>
      <c r="B984" t="s">
        <v>56</v>
      </c>
      <c r="C984" t="s">
        <v>26</v>
      </c>
      <c r="D984" t="s">
        <v>39</v>
      </c>
      <c r="E984" t="s">
        <v>28</v>
      </c>
      <c r="F984">
        <v>57</v>
      </c>
      <c r="G984" t="s">
        <v>122</v>
      </c>
      <c r="H984" s="17">
        <v>42685</v>
      </c>
      <c r="I984">
        <v>246589</v>
      </c>
      <c r="J984">
        <v>327963</v>
      </c>
      <c r="K984">
        <v>0.33</v>
      </c>
      <c r="L984" t="s">
        <v>29</v>
      </c>
      <c r="M984" t="s">
        <v>43</v>
      </c>
      <c r="N984" s="17">
        <v>42820</v>
      </c>
      <c r="O984">
        <v>1</v>
      </c>
    </row>
    <row r="985" spans="1:15" x14ac:dyDescent="0.3">
      <c r="A985" t="s">
        <v>1109</v>
      </c>
      <c r="B985" t="s">
        <v>47</v>
      </c>
      <c r="C985" t="s">
        <v>57</v>
      </c>
      <c r="D985" t="s">
        <v>39</v>
      </c>
      <c r="E985" t="s">
        <v>33</v>
      </c>
      <c r="F985">
        <v>49</v>
      </c>
      <c r="G985" t="s">
        <v>125</v>
      </c>
      <c r="H985" s="17">
        <v>43240</v>
      </c>
      <c r="I985">
        <v>119397</v>
      </c>
      <c r="J985">
        <v>130143</v>
      </c>
      <c r="K985">
        <v>0.09</v>
      </c>
      <c r="L985" t="s">
        <v>34</v>
      </c>
      <c r="M985" t="s">
        <v>64</v>
      </c>
      <c r="N985" s="17">
        <v>43538</v>
      </c>
      <c r="O985">
        <v>1</v>
      </c>
    </row>
    <row r="986" spans="1:15" x14ac:dyDescent="0.3">
      <c r="A986" t="s">
        <v>1110</v>
      </c>
      <c r="B986" t="s">
        <v>37</v>
      </c>
      <c r="C986" t="s">
        <v>45</v>
      </c>
      <c r="D986" t="s">
        <v>46</v>
      </c>
      <c r="E986" t="s">
        <v>28</v>
      </c>
      <c r="F986">
        <v>25</v>
      </c>
      <c r="G986" t="s">
        <v>127</v>
      </c>
      <c r="H986" s="17">
        <v>44549</v>
      </c>
      <c r="I986">
        <v>150666</v>
      </c>
      <c r="J986">
        <v>185319</v>
      </c>
      <c r="K986">
        <v>0.23</v>
      </c>
      <c r="L986" t="s">
        <v>34</v>
      </c>
      <c r="M986" t="s">
        <v>68</v>
      </c>
      <c r="N986" s="17"/>
      <c r="O986">
        <v>0</v>
      </c>
    </row>
    <row r="987" spans="1:15" x14ac:dyDescent="0.3">
      <c r="A987" t="s">
        <v>1111</v>
      </c>
      <c r="B987" t="s">
        <v>25</v>
      </c>
      <c r="C987" t="s">
        <v>26</v>
      </c>
      <c r="D987" t="s">
        <v>27</v>
      </c>
      <c r="E987" t="s">
        <v>28</v>
      </c>
      <c r="F987">
        <v>46</v>
      </c>
      <c r="G987" t="s">
        <v>125</v>
      </c>
      <c r="H987" s="17">
        <v>37265</v>
      </c>
      <c r="I987">
        <v>148035</v>
      </c>
      <c r="J987">
        <v>168760</v>
      </c>
      <c r="K987">
        <v>0.14000000000000001</v>
      </c>
      <c r="L987" t="s">
        <v>29</v>
      </c>
      <c r="M987" t="s">
        <v>43</v>
      </c>
      <c r="N987" s="17"/>
      <c r="O987">
        <v>0</v>
      </c>
    </row>
    <row r="988" spans="1:15" x14ac:dyDescent="0.3">
      <c r="A988" t="s">
        <v>1112</v>
      </c>
      <c r="B988" t="s">
        <v>37</v>
      </c>
      <c r="C988" t="s">
        <v>38</v>
      </c>
      <c r="D988" t="s">
        <v>46</v>
      </c>
      <c r="E988" t="s">
        <v>33</v>
      </c>
      <c r="F988">
        <v>60</v>
      </c>
      <c r="G988" t="s">
        <v>122</v>
      </c>
      <c r="H988" s="17">
        <v>42891</v>
      </c>
      <c r="I988">
        <v>158898</v>
      </c>
      <c r="J988">
        <v>187500</v>
      </c>
      <c r="K988">
        <v>0.18</v>
      </c>
      <c r="L988" t="s">
        <v>29</v>
      </c>
      <c r="M988" t="s">
        <v>49</v>
      </c>
      <c r="N988" s="17"/>
      <c r="O988">
        <v>0</v>
      </c>
    </row>
    <row r="989" spans="1:15" x14ac:dyDescent="0.3">
      <c r="A989" t="s">
        <v>1113</v>
      </c>
      <c r="B989" t="s">
        <v>71</v>
      </c>
      <c r="C989" t="s">
        <v>54</v>
      </c>
      <c r="D989" t="s">
        <v>46</v>
      </c>
      <c r="E989" t="s">
        <v>28</v>
      </c>
      <c r="F989">
        <v>45</v>
      </c>
      <c r="G989" t="s">
        <v>125</v>
      </c>
      <c r="H989" s="17">
        <v>40967</v>
      </c>
      <c r="I989">
        <v>89659</v>
      </c>
      <c r="J989">
        <v>89659</v>
      </c>
      <c r="K989">
        <v>0</v>
      </c>
      <c r="L989" t="s">
        <v>34</v>
      </c>
      <c r="M989" t="s">
        <v>64</v>
      </c>
      <c r="N989" s="17"/>
      <c r="O989">
        <v>0</v>
      </c>
    </row>
    <row r="990" spans="1:15" x14ac:dyDescent="0.3">
      <c r="A990" t="s">
        <v>1114</v>
      </c>
      <c r="B990" t="s">
        <v>37</v>
      </c>
      <c r="C990" t="s">
        <v>45</v>
      </c>
      <c r="D990" t="s">
        <v>39</v>
      </c>
      <c r="E990" t="s">
        <v>28</v>
      </c>
      <c r="F990">
        <v>39</v>
      </c>
      <c r="G990" t="s">
        <v>135</v>
      </c>
      <c r="H990" s="17">
        <v>39201</v>
      </c>
      <c r="I990">
        <v>171487</v>
      </c>
      <c r="J990">
        <v>210929</v>
      </c>
      <c r="K990">
        <v>0.23</v>
      </c>
      <c r="L990" t="s">
        <v>29</v>
      </c>
      <c r="M990" t="s">
        <v>43</v>
      </c>
      <c r="N990" s="17"/>
      <c r="O990">
        <v>0</v>
      </c>
    </row>
    <row r="991" spans="1:15" x14ac:dyDescent="0.3">
      <c r="A991" t="s">
        <v>1115</v>
      </c>
      <c r="B991" t="s">
        <v>56</v>
      </c>
      <c r="C991" t="s">
        <v>45</v>
      </c>
      <c r="D991" t="s">
        <v>32</v>
      </c>
      <c r="E991" t="s">
        <v>28</v>
      </c>
      <c r="F991">
        <v>43</v>
      </c>
      <c r="G991" t="s">
        <v>135</v>
      </c>
      <c r="H991" s="17">
        <v>42603</v>
      </c>
      <c r="I991">
        <v>258498</v>
      </c>
      <c r="J991">
        <v>348972</v>
      </c>
      <c r="K991">
        <v>0.35</v>
      </c>
      <c r="L991" t="s">
        <v>29</v>
      </c>
      <c r="M991" t="s">
        <v>58</v>
      </c>
      <c r="N991" s="17"/>
      <c r="O991">
        <v>0</v>
      </c>
    </row>
    <row r="992" spans="1:15" x14ac:dyDescent="0.3">
      <c r="A992" t="s">
        <v>1116</v>
      </c>
      <c r="B992" t="s">
        <v>25</v>
      </c>
      <c r="C992" t="s">
        <v>26</v>
      </c>
      <c r="D992" t="s">
        <v>27</v>
      </c>
      <c r="E992" t="s">
        <v>33</v>
      </c>
      <c r="F992">
        <v>37</v>
      </c>
      <c r="G992" t="s">
        <v>135</v>
      </c>
      <c r="H992" s="17">
        <v>40511</v>
      </c>
      <c r="I992">
        <v>146961</v>
      </c>
      <c r="J992">
        <v>163127</v>
      </c>
      <c r="K992">
        <v>0.11</v>
      </c>
      <c r="L992" t="s">
        <v>29</v>
      </c>
      <c r="M992" t="s">
        <v>58</v>
      </c>
      <c r="N992" s="17"/>
      <c r="O992">
        <v>0</v>
      </c>
    </row>
    <row r="993" spans="1:15" x14ac:dyDescent="0.3">
      <c r="A993" t="s">
        <v>1117</v>
      </c>
      <c r="B993" t="s">
        <v>69</v>
      </c>
      <c r="C993" t="s">
        <v>52</v>
      </c>
      <c r="D993" t="s">
        <v>27</v>
      </c>
      <c r="E993" t="s">
        <v>33</v>
      </c>
      <c r="F993">
        <v>48</v>
      </c>
      <c r="G993" t="s">
        <v>125</v>
      </c>
      <c r="H993" s="17">
        <v>35907</v>
      </c>
      <c r="I993">
        <v>85369</v>
      </c>
      <c r="J993">
        <v>85369</v>
      </c>
      <c r="K993">
        <v>0</v>
      </c>
      <c r="L993" t="s">
        <v>59</v>
      </c>
      <c r="M993" t="s">
        <v>60</v>
      </c>
      <c r="N993" s="17">
        <v>38318</v>
      </c>
      <c r="O993">
        <v>1</v>
      </c>
    </row>
    <row r="994" spans="1:15" x14ac:dyDescent="0.3">
      <c r="A994" t="s">
        <v>1118</v>
      </c>
      <c r="B994" t="s">
        <v>31</v>
      </c>
      <c r="C994" t="s">
        <v>26</v>
      </c>
      <c r="D994" t="s">
        <v>32</v>
      </c>
      <c r="E994" t="s">
        <v>33</v>
      </c>
      <c r="F994">
        <v>30</v>
      </c>
      <c r="G994" t="s">
        <v>127</v>
      </c>
      <c r="H994" s="17">
        <v>42169</v>
      </c>
      <c r="I994">
        <v>67489</v>
      </c>
      <c r="J994">
        <v>67489</v>
      </c>
      <c r="K994">
        <v>0</v>
      </c>
      <c r="L994" t="s">
        <v>29</v>
      </c>
      <c r="M994" t="s">
        <v>40</v>
      </c>
      <c r="N994" s="17"/>
      <c r="O994">
        <v>0</v>
      </c>
    </row>
    <row r="995" spans="1:15" x14ac:dyDescent="0.3">
      <c r="A995" t="s">
        <v>1119</v>
      </c>
      <c r="B995" t="s">
        <v>37</v>
      </c>
      <c r="C995" t="s">
        <v>26</v>
      </c>
      <c r="D995" t="s">
        <v>32</v>
      </c>
      <c r="E995" t="s">
        <v>28</v>
      </c>
      <c r="F995">
        <v>46</v>
      </c>
      <c r="G995" t="s">
        <v>125</v>
      </c>
      <c r="H995" s="17">
        <v>43379</v>
      </c>
      <c r="I995">
        <v>166259</v>
      </c>
      <c r="J995">
        <v>194523</v>
      </c>
      <c r="K995">
        <v>0.17</v>
      </c>
      <c r="L995" t="s">
        <v>29</v>
      </c>
      <c r="M995" t="s">
        <v>40</v>
      </c>
      <c r="N995" s="17"/>
      <c r="O995">
        <v>0</v>
      </c>
    </row>
    <row r="996" spans="1:15" x14ac:dyDescent="0.3">
      <c r="A996" t="s">
        <v>1120</v>
      </c>
      <c r="B996" t="s">
        <v>83</v>
      </c>
      <c r="C996" t="s">
        <v>26</v>
      </c>
      <c r="D996" t="s">
        <v>46</v>
      </c>
      <c r="E996" t="s">
        <v>28</v>
      </c>
      <c r="F996">
        <v>55</v>
      </c>
      <c r="G996" t="s">
        <v>122</v>
      </c>
      <c r="H996" s="17">
        <v>39820</v>
      </c>
      <c r="I996">
        <v>47032</v>
      </c>
      <c r="J996">
        <v>47032</v>
      </c>
      <c r="K996">
        <v>0</v>
      </c>
      <c r="L996" t="s">
        <v>29</v>
      </c>
      <c r="M996" t="s">
        <v>58</v>
      </c>
      <c r="N996" s="17"/>
      <c r="O996">
        <v>0</v>
      </c>
    </row>
    <row r="997" spans="1:15" x14ac:dyDescent="0.3">
      <c r="A997" t="s">
        <v>1121</v>
      </c>
      <c r="B997" t="s">
        <v>42</v>
      </c>
      <c r="C997" t="s">
        <v>57</v>
      </c>
      <c r="D997" t="s">
        <v>39</v>
      </c>
      <c r="E997" t="s">
        <v>33</v>
      </c>
      <c r="F997">
        <v>33</v>
      </c>
      <c r="G997" t="s">
        <v>127</v>
      </c>
      <c r="H997" s="17">
        <v>42631</v>
      </c>
      <c r="I997">
        <v>98427</v>
      </c>
      <c r="J997">
        <v>98427</v>
      </c>
      <c r="K997">
        <v>0</v>
      </c>
      <c r="L997" t="s">
        <v>29</v>
      </c>
      <c r="M997" t="s">
        <v>58</v>
      </c>
      <c r="N997" s="17"/>
      <c r="O997">
        <v>0</v>
      </c>
    </row>
    <row r="998" spans="1:15" x14ac:dyDescent="0.3">
      <c r="A998" t="s">
        <v>1122</v>
      </c>
      <c r="B998" t="s">
        <v>48</v>
      </c>
      <c r="C998" t="s">
        <v>38</v>
      </c>
      <c r="D998" t="s">
        <v>39</v>
      </c>
      <c r="E998" t="s">
        <v>28</v>
      </c>
      <c r="F998">
        <v>44</v>
      </c>
      <c r="G998" t="s">
        <v>135</v>
      </c>
      <c r="H998" s="17">
        <v>40329</v>
      </c>
      <c r="I998">
        <v>47387</v>
      </c>
      <c r="J998">
        <v>47387</v>
      </c>
      <c r="K998">
        <v>0</v>
      </c>
      <c r="L998" t="s">
        <v>34</v>
      </c>
      <c r="M998" t="s">
        <v>68</v>
      </c>
      <c r="N998" s="17">
        <v>43108</v>
      </c>
      <c r="O998">
        <v>1</v>
      </c>
    </row>
    <row r="999" spans="1:15" x14ac:dyDescent="0.3">
      <c r="A999" t="s">
        <v>1123</v>
      </c>
      <c r="B999" t="s">
        <v>37</v>
      </c>
      <c r="C999" t="s">
        <v>57</v>
      </c>
      <c r="D999" t="s">
        <v>39</v>
      </c>
      <c r="E999" t="s">
        <v>33</v>
      </c>
      <c r="F999">
        <v>31</v>
      </c>
      <c r="G999" t="s">
        <v>127</v>
      </c>
      <c r="H999" s="17">
        <v>43626</v>
      </c>
      <c r="I999">
        <v>176710</v>
      </c>
      <c r="J999">
        <v>203216</v>
      </c>
      <c r="K999">
        <v>0.15</v>
      </c>
      <c r="L999" t="s">
        <v>29</v>
      </c>
      <c r="M999" t="s">
        <v>49</v>
      </c>
      <c r="N999" s="17"/>
      <c r="O999">
        <v>0</v>
      </c>
    </row>
    <row r="1000" spans="1:15" x14ac:dyDescent="0.3">
      <c r="A1000" t="s">
        <v>1124</v>
      </c>
      <c r="B1000" t="s">
        <v>42</v>
      </c>
      <c r="C1000" t="s">
        <v>38</v>
      </c>
      <c r="D1000" t="s">
        <v>39</v>
      </c>
      <c r="E1000" t="s">
        <v>28</v>
      </c>
      <c r="F1000">
        <v>33</v>
      </c>
      <c r="G1000" t="s">
        <v>127</v>
      </c>
      <c r="H1000" s="17">
        <v>40936</v>
      </c>
      <c r="I1000">
        <v>95960</v>
      </c>
      <c r="J1000">
        <v>95960</v>
      </c>
      <c r="K1000">
        <v>0</v>
      </c>
      <c r="L1000" t="s">
        <v>34</v>
      </c>
      <c r="M1000" t="s">
        <v>68</v>
      </c>
      <c r="N1000" s="17"/>
      <c r="O1000">
        <v>0</v>
      </c>
    </row>
    <row r="1001" spans="1:15" x14ac:dyDescent="0.3">
      <c r="A1001" t="s">
        <v>1125</v>
      </c>
      <c r="B1001" t="s">
        <v>56</v>
      </c>
      <c r="C1001" t="s">
        <v>50</v>
      </c>
      <c r="D1001" t="s">
        <v>46</v>
      </c>
      <c r="E1001" t="s">
        <v>28</v>
      </c>
      <c r="F1001">
        <v>63</v>
      </c>
      <c r="G1001" t="s">
        <v>122</v>
      </c>
      <c r="H1001" s="17">
        <v>44038</v>
      </c>
      <c r="I1001">
        <v>216195</v>
      </c>
      <c r="J1001">
        <v>283215</v>
      </c>
      <c r="K1001">
        <v>0.31</v>
      </c>
      <c r="L1001" t="s">
        <v>29</v>
      </c>
      <c r="M1001" t="s">
        <v>49</v>
      </c>
      <c r="N1001" s="17"/>
      <c r="O1001">
        <v>0</v>
      </c>
    </row>
  </sheetData>
  <pageMargins left="0.7" right="0.7" top="0.75" bottom="0.75" header="0.3" footer="0.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40F75-27AD-4C49-8304-F191DDB72F05}">
  <dimension ref="A2:K52"/>
  <sheetViews>
    <sheetView workbookViewId="0">
      <selection activeCell="D11" sqref="D3:D15"/>
      <pivotSelection pane="bottomRight" showHeader="1" axis="axisRow" activeRow="10" activeCol="3" previousRow="10" previousCol="3" click="1" r:id="rId11">
        <pivotArea dataOnly="0" labelOnly="1" fieldPosition="0">
          <references count="1">
            <reference field="12" count="0"/>
          </references>
        </pivotArea>
      </pivotSelection>
    </sheetView>
  </sheetViews>
  <sheetFormatPr defaultRowHeight="14.4" x14ac:dyDescent="0.3"/>
  <cols>
    <col min="1" max="1" width="14.6640625" bestFit="1" customWidth="1"/>
    <col min="2" max="2" width="20.109375" bestFit="1" customWidth="1"/>
    <col min="4" max="4" width="25.5546875" bestFit="1" customWidth="1"/>
    <col min="5" max="5" width="19.109375" bestFit="1" customWidth="1"/>
    <col min="6" max="6" width="5.6640625" bestFit="1" customWidth="1"/>
    <col min="7" max="7" width="12.5546875" bestFit="1" customWidth="1"/>
    <col min="8" max="8" width="19.5546875" bestFit="1" customWidth="1"/>
    <col min="9" max="9" width="6.6640625" bestFit="1" customWidth="1"/>
    <col min="10" max="10" width="12.5546875" bestFit="1" customWidth="1"/>
    <col min="11" max="11" width="16.21875" bestFit="1" customWidth="1"/>
    <col min="12" max="44" width="15.5546875" bestFit="1" customWidth="1"/>
    <col min="45" max="45" width="10.77734375" bestFit="1" customWidth="1"/>
  </cols>
  <sheetData>
    <row r="2" spans="1:11" x14ac:dyDescent="0.3">
      <c r="A2" t="s">
        <v>1128</v>
      </c>
      <c r="D2" s="18" t="s">
        <v>1129</v>
      </c>
      <c r="E2" t="s">
        <v>2438</v>
      </c>
      <c r="G2" s="18" t="s">
        <v>1129</v>
      </c>
      <c r="H2" t="s">
        <v>2439</v>
      </c>
      <c r="J2" s="18" t="s">
        <v>1129</v>
      </c>
      <c r="K2" t="s">
        <v>2440</v>
      </c>
    </row>
    <row r="3" spans="1:11" x14ac:dyDescent="0.3">
      <c r="A3">
        <v>1000</v>
      </c>
      <c r="D3" s="19" t="s">
        <v>51</v>
      </c>
      <c r="E3">
        <v>99</v>
      </c>
      <c r="G3" s="19" t="s">
        <v>46</v>
      </c>
      <c r="H3" s="26">
        <v>33136218</v>
      </c>
      <c r="J3" s="19" t="s">
        <v>28</v>
      </c>
      <c r="K3">
        <v>39</v>
      </c>
    </row>
    <row r="4" spans="1:11" x14ac:dyDescent="0.3">
      <c r="D4" s="19" t="s">
        <v>64</v>
      </c>
      <c r="E4">
        <v>55</v>
      </c>
      <c r="G4" s="19" t="s">
        <v>32</v>
      </c>
      <c r="H4" s="26">
        <v>31171392</v>
      </c>
      <c r="J4" s="19" t="s">
        <v>33</v>
      </c>
      <c r="K4">
        <v>46</v>
      </c>
    </row>
    <row r="5" spans="1:11" x14ac:dyDescent="0.3">
      <c r="A5" s="18" t="s">
        <v>1129</v>
      </c>
      <c r="B5" t="s">
        <v>2438</v>
      </c>
      <c r="D5" s="19" t="s">
        <v>68</v>
      </c>
      <c r="E5">
        <v>46</v>
      </c>
      <c r="G5" s="19" t="s">
        <v>27</v>
      </c>
      <c r="H5" s="26">
        <v>29311112</v>
      </c>
      <c r="J5" s="19" t="s">
        <v>1130</v>
      </c>
      <c r="K5">
        <v>85</v>
      </c>
    </row>
    <row r="6" spans="1:11" x14ac:dyDescent="0.3">
      <c r="A6" s="19" t="s">
        <v>45</v>
      </c>
      <c r="B6">
        <v>140</v>
      </c>
      <c r="D6" s="19" t="s">
        <v>40</v>
      </c>
      <c r="E6">
        <v>92</v>
      </c>
      <c r="G6" s="19" t="s">
        <v>39</v>
      </c>
      <c r="H6" s="26">
        <v>35472445</v>
      </c>
    </row>
    <row r="7" spans="1:11" x14ac:dyDescent="0.3">
      <c r="A7" s="19" t="s">
        <v>57</v>
      </c>
      <c r="B7">
        <v>120</v>
      </c>
      <c r="D7" s="19" t="s">
        <v>35</v>
      </c>
      <c r="E7">
        <v>65</v>
      </c>
      <c r="G7" s="19" t="s">
        <v>1130</v>
      </c>
      <c r="H7" s="26">
        <v>129091167</v>
      </c>
    </row>
    <row r="8" spans="1:11" x14ac:dyDescent="0.3">
      <c r="A8" s="19" t="s">
        <v>26</v>
      </c>
      <c r="B8">
        <v>243</v>
      </c>
      <c r="D8" s="19" t="s">
        <v>58</v>
      </c>
      <c r="E8">
        <v>113</v>
      </c>
    </row>
    <row r="9" spans="1:11" x14ac:dyDescent="0.3">
      <c r="A9" s="19" t="s">
        <v>52</v>
      </c>
      <c r="B9">
        <v>125</v>
      </c>
      <c r="D9" s="19" t="s">
        <v>60</v>
      </c>
      <c r="E9">
        <v>42</v>
      </c>
      <c r="G9" s="18" t="s">
        <v>1129</v>
      </c>
      <c r="H9" t="s">
        <v>1128</v>
      </c>
    </row>
    <row r="10" spans="1:11" x14ac:dyDescent="0.3">
      <c r="A10" s="19" t="s">
        <v>38</v>
      </c>
      <c r="B10">
        <v>118</v>
      </c>
      <c r="D10" s="19" t="s">
        <v>49</v>
      </c>
      <c r="E10">
        <v>112</v>
      </c>
      <c r="G10" s="19" t="s">
        <v>127</v>
      </c>
      <c r="H10">
        <v>245</v>
      </c>
    </row>
    <row r="11" spans="1:11" x14ac:dyDescent="0.3">
      <c r="A11" s="19" t="s">
        <v>54</v>
      </c>
      <c r="B11">
        <v>158</v>
      </c>
      <c r="D11" s="19" t="s">
        <v>43</v>
      </c>
      <c r="E11">
        <v>109</v>
      </c>
      <c r="G11" s="19" t="s">
        <v>135</v>
      </c>
      <c r="H11">
        <v>227</v>
      </c>
    </row>
    <row r="12" spans="1:11" x14ac:dyDescent="0.3">
      <c r="A12" s="19" t="s">
        <v>50</v>
      </c>
      <c r="B12">
        <v>96</v>
      </c>
      <c r="D12" s="19" t="s">
        <v>61</v>
      </c>
      <c r="E12">
        <v>44</v>
      </c>
      <c r="G12" s="19" t="s">
        <v>125</v>
      </c>
      <c r="H12">
        <v>296</v>
      </c>
    </row>
    <row r="13" spans="1:11" x14ac:dyDescent="0.3">
      <c r="A13" s="19" t="s">
        <v>1130</v>
      </c>
      <c r="B13">
        <v>1000</v>
      </c>
      <c r="D13" s="19" t="s">
        <v>76</v>
      </c>
      <c r="E13">
        <v>53</v>
      </c>
      <c r="G13" s="19" t="s">
        <v>122</v>
      </c>
      <c r="H13">
        <v>217</v>
      </c>
    </row>
    <row r="14" spans="1:11" x14ac:dyDescent="0.3">
      <c r="D14" s="19" t="s">
        <v>30</v>
      </c>
      <c r="E14">
        <v>118</v>
      </c>
      <c r="G14" s="19" t="s">
        <v>142</v>
      </c>
      <c r="H14">
        <v>15</v>
      </c>
    </row>
    <row r="15" spans="1:11" x14ac:dyDescent="0.3">
      <c r="D15" s="19" t="s">
        <v>55</v>
      </c>
      <c r="E15">
        <v>52</v>
      </c>
      <c r="G15" s="19" t="s">
        <v>1130</v>
      </c>
      <c r="H15">
        <v>1000</v>
      </c>
    </row>
    <row r="16" spans="1:11" x14ac:dyDescent="0.3">
      <c r="A16" t="s">
        <v>2439</v>
      </c>
      <c r="D16" s="19" t="s">
        <v>1130</v>
      </c>
      <c r="E16">
        <v>1000</v>
      </c>
    </row>
    <row r="17" spans="1:8" x14ac:dyDescent="0.3">
      <c r="A17" s="26">
        <v>129091167</v>
      </c>
      <c r="G17" s="18" t="s">
        <v>1129</v>
      </c>
      <c r="H17" t="s">
        <v>1128</v>
      </c>
    </row>
    <row r="18" spans="1:8" x14ac:dyDescent="0.3">
      <c r="D18" s="18" t="s">
        <v>1129</v>
      </c>
      <c r="E18" t="s">
        <v>2442</v>
      </c>
      <c r="G18" s="19" t="s">
        <v>28</v>
      </c>
      <c r="H18">
        <v>518</v>
      </c>
    </row>
    <row r="19" spans="1:8" x14ac:dyDescent="0.3">
      <c r="D19" s="19" t="s">
        <v>44</v>
      </c>
      <c r="E19">
        <v>21</v>
      </c>
      <c r="G19" s="19" t="s">
        <v>33</v>
      </c>
      <c r="H19">
        <v>482</v>
      </c>
    </row>
    <row r="20" spans="1:8" x14ac:dyDescent="0.3">
      <c r="A20" t="s">
        <v>2440</v>
      </c>
      <c r="D20" s="19" t="s">
        <v>48</v>
      </c>
      <c r="E20">
        <v>51</v>
      </c>
      <c r="G20" s="19" t="s">
        <v>1130</v>
      </c>
      <c r="H20">
        <v>1000</v>
      </c>
    </row>
    <row r="21" spans="1:8" x14ac:dyDescent="0.3">
      <c r="A21">
        <v>85</v>
      </c>
      <c r="D21" s="19" t="s">
        <v>66</v>
      </c>
      <c r="E21">
        <v>53</v>
      </c>
    </row>
    <row r="22" spans="1:8" x14ac:dyDescent="0.3">
      <c r="D22" s="19" t="s">
        <v>72</v>
      </c>
      <c r="E22">
        <v>7</v>
      </c>
    </row>
    <row r="23" spans="1:8" x14ac:dyDescent="0.3">
      <c r="A23" t="s">
        <v>2441</v>
      </c>
      <c r="D23" s="19" t="s">
        <v>74</v>
      </c>
      <c r="E23">
        <v>19</v>
      </c>
      <c r="G23" s="18" t="s">
        <v>1129</v>
      </c>
      <c r="H23" t="s">
        <v>2442</v>
      </c>
    </row>
    <row r="24" spans="1:8" x14ac:dyDescent="0.3">
      <c r="A24">
        <v>88.659999999999968</v>
      </c>
      <c r="D24" s="19" t="s">
        <v>75</v>
      </c>
      <c r="E24">
        <v>15</v>
      </c>
      <c r="G24" s="19">
        <v>0</v>
      </c>
      <c r="H24">
        <v>915</v>
      </c>
    </row>
    <row r="25" spans="1:8" x14ac:dyDescent="0.3">
      <c r="D25" s="19" t="s">
        <v>41</v>
      </c>
      <c r="E25">
        <v>21</v>
      </c>
      <c r="G25" s="19">
        <v>1</v>
      </c>
      <c r="H25">
        <v>85</v>
      </c>
    </row>
    <row r="26" spans="1:8" x14ac:dyDescent="0.3">
      <c r="D26" s="19" t="s">
        <v>53</v>
      </c>
      <c r="E26">
        <v>15</v>
      </c>
      <c r="G26" s="19" t="s">
        <v>1130</v>
      </c>
      <c r="H26">
        <v>1000</v>
      </c>
    </row>
    <row r="27" spans="1:8" x14ac:dyDescent="0.3">
      <c r="D27" s="19" t="s">
        <v>80</v>
      </c>
      <c r="E27">
        <v>19</v>
      </c>
    </row>
    <row r="28" spans="1:8" x14ac:dyDescent="0.3">
      <c r="D28" s="19" t="s">
        <v>37</v>
      </c>
      <c r="E28">
        <v>121</v>
      </c>
    </row>
    <row r="29" spans="1:8" x14ac:dyDescent="0.3">
      <c r="D29" s="19" t="s">
        <v>63</v>
      </c>
      <c r="E29">
        <v>20</v>
      </c>
    </row>
    <row r="30" spans="1:8" x14ac:dyDescent="0.3">
      <c r="D30" s="19" t="s">
        <v>67</v>
      </c>
      <c r="E30">
        <v>18</v>
      </c>
    </row>
    <row r="31" spans="1:8" x14ac:dyDescent="0.3">
      <c r="D31" s="19" t="s">
        <v>71</v>
      </c>
      <c r="E31">
        <v>21</v>
      </c>
    </row>
    <row r="32" spans="1:8" x14ac:dyDescent="0.3">
      <c r="D32" s="19" t="s">
        <v>70</v>
      </c>
      <c r="E32">
        <v>16</v>
      </c>
    </row>
    <row r="33" spans="4:5" x14ac:dyDescent="0.3">
      <c r="D33" s="19" t="s">
        <v>65</v>
      </c>
      <c r="E33">
        <v>11</v>
      </c>
    </row>
    <row r="34" spans="4:5" x14ac:dyDescent="0.3">
      <c r="D34" s="19" t="s">
        <v>85</v>
      </c>
      <c r="E34">
        <v>12</v>
      </c>
    </row>
    <row r="35" spans="4:5" x14ac:dyDescent="0.3">
      <c r="D35" s="19" t="s">
        <v>47</v>
      </c>
      <c r="E35">
        <v>98</v>
      </c>
    </row>
    <row r="36" spans="4:5" x14ac:dyDescent="0.3">
      <c r="D36" s="19" t="s">
        <v>87</v>
      </c>
      <c r="E36">
        <v>10</v>
      </c>
    </row>
    <row r="37" spans="4:5" x14ac:dyDescent="0.3">
      <c r="D37" s="19" t="s">
        <v>78</v>
      </c>
      <c r="E37">
        <v>18</v>
      </c>
    </row>
    <row r="38" spans="4:5" x14ac:dyDescent="0.3">
      <c r="D38" s="19" t="s">
        <v>79</v>
      </c>
      <c r="E38">
        <v>7</v>
      </c>
    </row>
    <row r="39" spans="4:5" x14ac:dyDescent="0.3">
      <c r="D39" s="19" t="s">
        <v>73</v>
      </c>
      <c r="E39">
        <v>12</v>
      </c>
    </row>
    <row r="40" spans="4:5" x14ac:dyDescent="0.3">
      <c r="D40" s="19" t="s">
        <v>62</v>
      </c>
      <c r="E40">
        <v>20</v>
      </c>
    </row>
    <row r="41" spans="4:5" x14ac:dyDescent="0.3">
      <c r="D41" s="19" t="s">
        <v>86</v>
      </c>
      <c r="E41">
        <v>10</v>
      </c>
    </row>
    <row r="42" spans="4:5" x14ac:dyDescent="0.3">
      <c r="D42" s="19" t="s">
        <v>84</v>
      </c>
      <c r="E42">
        <v>15</v>
      </c>
    </row>
    <row r="43" spans="4:5" x14ac:dyDescent="0.3">
      <c r="D43" s="19" t="s">
        <v>81</v>
      </c>
      <c r="E43">
        <v>9</v>
      </c>
    </row>
    <row r="44" spans="4:5" x14ac:dyDescent="0.3">
      <c r="D44" s="19" t="s">
        <v>42</v>
      </c>
      <c r="E44">
        <v>70</v>
      </c>
    </row>
    <row r="45" spans="4:5" x14ac:dyDescent="0.3">
      <c r="D45" s="19" t="s">
        <v>69</v>
      </c>
      <c r="E45">
        <v>17</v>
      </c>
    </row>
    <row r="46" spans="4:5" x14ac:dyDescent="0.3">
      <c r="D46" s="19" t="s">
        <v>25</v>
      </c>
      <c r="E46">
        <v>110</v>
      </c>
    </row>
    <row r="47" spans="4:5" x14ac:dyDescent="0.3">
      <c r="D47" s="19" t="s">
        <v>82</v>
      </c>
      <c r="E47">
        <v>15</v>
      </c>
    </row>
    <row r="48" spans="4:5" x14ac:dyDescent="0.3">
      <c r="D48" s="19" t="s">
        <v>83</v>
      </c>
      <c r="E48">
        <v>15</v>
      </c>
    </row>
    <row r="49" spans="4:5" x14ac:dyDescent="0.3">
      <c r="D49" s="19" t="s">
        <v>31</v>
      </c>
      <c r="E49">
        <v>17</v>
      </c>
    </row>
    <row r="50" spans="4:5" x14ac:dyDescent="0.3">
      <c r="D50" s="19" t="s">
        <v>77</v>
      </c>
      <c r="E50">
        <v>12</v>
      </c>
    </row>
    <row r="51" spans="4:5" x14ac:dyDescent="0.3">
      <c r="D51" s="19" t="s">
        <v>56</v>
      </c>
      <c r="E51">
        <v>105</v>
      </c>
    </row>
    <row r="52" spans="4:5" x14ac:dyDescent="0.3">
      <c r="D52" s="19" t="s">
        <v>1130</v>
      </c>
      <c r="E52">
        <v>1000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7758D-E562-4856-BFD2-E649964C9CD0}">
  <dimension ref="A1:AS55"/>
  <sheetViews>
    <sheetView workbookViewId="0">
      <selection activeCell="W18" sqref="W18"/>
    </sheetView>
  </sheetViews>
  <sheetFormatPr defaultRowHeight="14.4" x14ac:dyDescent="0.3"/>
  <sheetData>
    <row r="1" spans="1:45" ht="46.2" x14ac:dyDescent="0.85">
      <c r="A1" s="30" t="s">
        <v>2443</v>
      </c>
      <c r="B1" s="31"/>
      <c r="C1" s="31"/>
      <c r="D1" s="31"/>
      <c r="E1" s="31"/>
      <c r="F1" s="31"/>
      <c r="G1" s="31"/>
      <c r="H1" s="31"/>
      <c r="I1" s="31"/>
      <c r="J1" s="31"/>
      <c r="K1" s="31"/>
      <c r="L1" s="31"/>
      <c r="M1" s="31"/>
      <c r="N1" s="31"/>
      <c r="O1" s="31"/>
      <c r="P1" s="31"/>
      <c r="Q1" s="31"/>
      <c r="R1" s="31"/>
      <c r="S1" s="31"/>
      <c r="T1" s="31"/>
      <c r="U1" s="31"/>
      <c r="V1" s="31"/>
      <c r="W1" s="31"/>
      <c r="X1" s="25"/>
      <c r="Y1" s="25"/>
      <c r="Z1" s="25"/>
      <c r="AA1" s="25"/>
      <c r="AB1" s="25"/>
      <c r="AC1" s="25"/>
      <c r="AD1" s="25"/>
      <c r="AE1" s="25"/>
      <c r="AF1" s="25"/>
      <c r="AG1" s="25"/>
      <c r="AH1" s="25"/>
      <c r="AI1" s="25"/>
      <c r="AJ1" s="25"/>
      <c r="AK1" s="25"/>
      <c r="AL1" s="25"/>
      <c r="AM1" s="25"/>
      <c r="AN1" s="25"/>
      <c r="AO1" s="25"/>
      <c r="AP1" s="25"/>
      <c r="AQ1" s="25"/>
      <c r="AR1" s="25"/>
      <c r="AS1" s="25"/>
    </row>
    <row r="2" spans="1:45" x14ac:dyDescent="0.3">
      <c r="A2" s="25"/>
      <c r="B2" s="25"/>
      <c r="C2" s="25"/>
      <c r="D2" s="25"/>
      <c r="E2" s="25"/>
      <c r="F2" s="25"/>
      <c r="G2" s="25"/>
      <c r="H2" s="25"/>
      <c r="I2" s="25"/>
      <c r="J2" s="25"/>
      <c r="K2" s="25"/>
      <c r="L2" s="25"/>
      <c r="M2" s="25"/>
      <c r="N2" s="25"/>
      <c r="O2" s="25"/>
      <c r="P2" s="25"/>
      <c r="Q2" s="25"/>
      <c r="R2" s="25"/>
      <c r="S2" s="25"/>
      <c r="T2" s="25"/>
      <c r="U2" s="25"/>
      <c r="V2" s="25"/>
      <c r="W2" s="25"/>
    </row>
    <row r="3" spans="1:45" x14ac:dyDescent="0.3">
      <c r="A3" s="25"/>
      <c r="B3" s="25"/>
      <c r="C3" s="25"/>
      <c r="D3" s="25"/>
      <c r="E3" s="25"/>
      <c r="F3" s="25"/>
      <c r="G3" s="25"/>
      <c r="H3" s="25"/>
      <c r="I3" s="25"/>
      <c r="J3" s="25"/>
      <c r="K3" s="25"/>
      <c r="L3" s="25"/>
      <c r="M3" s="25"/>
      <c r="N3" s="25"/>
      <c r="O3" s="25"/>
      <c r="P3" s="25"/>
      <c r="Q3" s="25"/>
      <c r="R3" s="25"/>
      <c r="S3" s="25"/>
      <c r="T3" s="25"/>
      <c r="U3" s="25"/>
      <c r="V3" s="25"/>
      <c r="W3" s="25"/>
    </row>
    <row r="4" spans="1:45" x14ac:dyDescent="0.3">
      <c r="A4" s="25"/>
      <c r="B4" s="25"/>
      <c r="C4" s="25"/>
      <c r="D4" s="25"/>
      <c r="E4" s="25"/>
      <c r="F4" s="25"/>
      <c r="G4" s="25"/>
      <c r="H4" s="25"/>
      <c r="I4" s="25"/>
      <c r="J4" s="25"/>
      <c r="K4" s="25"/>
      <c r="L4" s="25"/>
      <c r="M4" s="25"/>
      <c r="N4" s="25"/>
      <c r="O4" s="25"/>
      <c r="P4" s="25"/>
      <c r="Q4" s="25"/>
      <c r="R4" s="25"/>
      <c r="S4" s="25"/>
      <c r="T4" s="25"/>
      <c r="U4" s="25"/>
      <c r="V4" s="25"/>
      <c r="W4" s="25"/>
    </row>
    <row r="5" spans="1:45" x14ac:dyDescent="0.3">
      <c r="A5" s="25"/>
      <c r="B5" s="25"/>
      <c r="C5" s="25"/>
      <c r="D5" s="25"/>
      <c r="E5" s="25"/>
      <c r="F5" s="25"/>
      <c r="G5" s="25"/>
      <c r="H5" s="25"/>
      <c r="I5" s="25"/>
      <c r="J5" s="25"/>
      <c r="K5" s="25"/>
      <c r="L5" s="25"/>
      <c r="M5" s="25"/>
      <c r="N5" s="25"/>
      <c r="O5" s="25"/>
      <c r="P5" s="25"/>
      <c r="Q5" s="25"/>
      <c r="R5" s="25"/>
      <c r="S5" s="25"/>
      <c r="T5" s="25"/>
      <c r="U5" s="25"/>
      <c r="V5" s="25"/>
      <c r="W5" s="25"/>
    </row>
    <row r="6" spans="1:45" x14ac:dyDescent="0.3">
      <c r="A6" s="25"/>
      <c r="B6" s="25"/>
      <c r="C6" s="25"/>
      <c r="D6" s="25"/>
      <c r="E6" s="25"/>
      <c r="F6" s="25"/>
      <c r="G6" s="25"/>
      <c r="H6" s="25"/>
      <c r="I6" s="25"/>
      <c r="J6" s="25"/>
      <c r="K6" s="25"/>
      <c r="L6" s="25"/>
      <c r="M6" s="25"/>
      <c r="N6" s="25"/>
      <c r="O6" s="25"/>
      <c r="P6" s="25"/>
      <c r="Q6" s="25"/>
      <c r="R6" s="25"/>
      <c r="S6" s="25"/>
      <c r="T6" s="25"/>
      <c r="U6" s="25"/>
      <c r="V6" s="25"/>
      <c r="W6" s="25"/>
    </row>
    <row r="7" spans="1:45" x14ac:dyDescent="0.3">
      <c r="A7" s="25"/>
      <c r="B7" s="25"/>
      <c r="C7" s="25"/>
      <c r="D7" s="25"/>
      <c r="E7" s="25"/>
      <c r="F7" s="25"/>
      <c r="G7" s="25"/>
      <c r="H7" s="25"/>
      <c r="I7" s="25"/>
      <c r="J7" s="25"/>
      <c r="K7" s="25"/>
      <c r="L7" s="25"/>
      <c r="M7" s="25"/>
      <c r="N7" s="25"/>
      <c r="O7" s="25"/>
      <c r="P7" s="25"/>
      <c r="Q7" s="25"/>
      <c r="R7" s="25"/>
      <c r="S7" s="25"/>
      <c r="T7" s="25"/>
      <c r="U7" s="25"/>
      <c r="V7" s="25"/>
      <c r="W7" s="25"/>
    </row>
    <row r="8" spans="1:45" x14ac:dyDescent="0.3">
      <c r="A8" s="25"/>
      <c r="B8" s="25"/>
      <c r="C8" s="25"/>
      <c r="D8" s="25"/>
      <c r="E8" s="25"/>
      <c r="F8" s="25"/>
      <c r="G8" s="25"/>
      <c r="H8" s="25"/>
      <c r="I8" s="25"/>
      <c r="J8" s="25"/>
      <c r="K8" s="25"/>
      <c r="L8" s="25"/>
      <c r="M8" s="25"/>
      <c r="N8" s="25"/>
      <c r="O8" s="25"/>
      <c r="P8" s="25"/>
      <c r="Q8" s="25"/>
      <c r="R8" s="25"/>
      <c r="S8" s="25"/>
      <c r="T8" s="25"/>
      <c r="U8" s="25"/>
      <c r="V8" s="25"/>
      <c r="W8" s="25"/>
    </row>
    <row r="9" spans="1:45" x14ac:dyDescent="0.3">
      <c r="A9" s="25"/>
      <c r="B9" s="25"/>
      <c r="C9" s="25"/>
      <c r="D9" s="25"/>
      <c r="E9" s="25"/>
      <c r="F9" s="25"/>
      <c r="G9" s="25"/>
      <c r="H9" s="25"/>
      <c r="I9" s="25"/>
      <c r="J9" s="25"/>
      <c r="K9" s="25"/>
      <c r="L9" s="25"/>
      <c r="M9" s="25"/>
      <c r="N9" s="25"/>
      <c r="O9" s="25"/>
      <c r="P9" s="25"/>
      <c r="Q9" s="25"/>
      <c r="R9" s="25"/>
      <c r="S9" s="25"/>
      <c r="T9" s="25"/>
      <c r="U9" s="25"/>
      <c r="V9" s="25"/>
      <c r="W9" s="25"/>
    </row>
    <row r="10" spans="1:45" x14ac:dyDescent="0.3">
      <c r="A10" s="25"/>
      <c r="B10" s="25"/>
      <c r="C10" s="25"/>
      <c r="D10" s="25"/>
      <c r="E10" s="25"/>
      <c r="F10" s="25"/>
      <c r="G10" s="25"/>
      <c r="H10" s="25"/>
      <c r="I10" s="25"/>
      <c r="J10" s="25"/>
      <c r="K10" s="25"/>
      <c r="L10" s="25"/>
      <c r="M10" s="25"/>
      <c r="N10" s="25"/>
      <c r="O10" s="25"/>
      <c r="P10" s="25"/>
      <c r="Q10" s="25"/>
      <c r="R10" s="25"/>
      <c r="S10" s="25"/>
      <c r="T10" s="25"/>
      <c r="U10" s="25"/>
      <c r="V10" s="25"/>
      <c r="W10" s="25"/>
    </row>
    <row r="11" spans="1:45" x14ac:dyDescent="0.3">
      <c r="A11" s="25"/>
      <c r="B11" s="25"/>
      <c r="C11" s="25"/>
      <c r="D11" s="25"/>
      <c r="E11" s="25"/>
      <c r="F11" s="25"/>
      <c r="G11" s="25"/>
      <c r="H11" s="25"/>
      <c r="I11" s="25"/>
      <c r="J11" s="25"/>
      <c r="K11" s="25"/>
      <c r="L11" s="25"/>
      <c r="M11" s="25"/>
      <c r="N11" s="25"/>
      <c r="O11" s="25"/>
      <c r="P11" s="25"/>
      <c r="Q11" s="25"/>
      <c r="R11" s="25"/>
      <c r="S11" s="25"/>
      <c r="T11" s="25"/>
      <c r="U11" s="25"/>
      <c r="V11" s="25"/>
      <c r="W11" s="25"/>
    </row>
    <row r="12" spans="1:45" x14ac:dyDescent="0.3">
      <c r="A12" s="25"/>
      <c r="B12" s="25"/>
      <c r="C12" s="25"/>
      <c r="D12" s="25"/>
      <c r="E12" s="25"/>
      <c r="F12" s="25"/>
      <c r="G12" s="25"/>
      <c r="H12" s="25"/>
      <c r="I12" s="25"/>
      <c r="J12" s="25"/>
      <c r="K12" s="25"/>
      <c r="L12" s="25"/>
      <c r="M12" s="25"/>
      <c r="N12" s="25"/>
      <c r="O12" s="25"/>
      <c r="P12" s="25"/>
      <c r="Q12" s="25"/>
      <c r="R12" s="25"/>
      <c r="S12" s="25"/>
      <c r="T12" s="25"/>
      <c r="U12" s="25"/>
      <c r="V12" s="25"/>
      <c r="W12" s="25"/>
    </row>
    <row r="13" spans="1:45" x14ac:dyDescent="0.3">
      <c r="A13" s="25"/>
      <c r="B13" s="25"/>
      <c r="C13" s="25"/>
      <c r="D13" s="25"/>
      <c r="E13" s="25"/>
      <c r="F13" s="25"/>
      <c r="G13" s="25"/>
      <c r="H13" s="25"/>
      <c r="I13" s="25"/>
      <c r="J13" s="25"/>
      <c r="K13" s="25"/>
      <c r="L13" s="25"/>
      <c r="M13" s="25"/>
      <c r="N13" s="25"/>
      <c r="O13" s="25"/>
      <c r="P13" s="25"/>
      <c r="Q13" s="25"/>
      <c r="R13" s="25"/>
      <c r="S13" s="25"/>
      <c r="T13" s="25"/>
      <c r="U13" s="25"/>
      <c r="V13" s="25"/>
      <c r="W13" s="25"/>
    </row>
    <row r="14" spans="1:45" x14ac:dyDescent="0.3">
      <c r="A14" s="25"/>
      <c r="B14" s="25"/>
      <c r="C14" s="25"/>
      <c r="D14" s="25"/>
      <c r="E14" s="25"/>
      <c r="F14" s="25"/>
      <c r="G14" s="25"/>
      <c r="H14" s="25"/>
      <c r="I14" s="25"/>
      <c r="J14" s="25"/>
      <c r="K14" s="25"/>
      <c r="L14" s="25"/>
      <c r="M14" s="25"/>
      <c r="N14" s="25"/>
      <c r="O14" s="25"/>
      <c r="P14" s="25"/>
      <c r="Q14" s="25"/>
      <c r="R14" s="25"/>
      <c r="S14" s="25"/>
      <c r="T14" s="25"/>
      <c r="U14" s="25"/>
      <c r="V14" s="25"/>
      <c r="W14" s="25"/>
    </row>
    <row r="15" spans="1:45" x14ac:dyDescent="0.3">
      <c r="A15" s="25"/>
      <c r="B15" s="25"/>
      <c r="C15" s="25"/>
      <c r="D15" s="25"/>
      <c r="E15" s="25"/>
      <c r="F15" s="25"/>
      <c r="G15" s="25"/>
      <c r="H15" s="25"/>
      <c r="I15" s="25"/>
      <c r="J15" s="25"/>
      <c r="K15" s="25"/>
      <c r="L15" s="25"/>
      <c r="M15" s="25"/>
      <c r="N15" s="25"/>
      <c r="O15" s="25"/>
      <c r="P15" s="25"/>
      <c r="Q15" s="25"/>
      <c r="R15" s="25"/>
      <c r="S15" s="25"/>
      <c r="T15" s="25"/>
      <c r="U15" s="25"/>
      <c r="V15" s="25"/>
      <c r="W15" s="25"/>
    </row>
    <row r="16" spans="1:45" x14ac:dyDescent="0.3">
      <c r="A16" s="25"/>
      <c r="B16" s="25"/>
      <c r="C16" s="25"/>
      <c r="D16" s="25"/>
      <c r="E16" s="25"/>
      <c r="F16" s="25"/>
      <c r="G16" s="25"/>
      <c r="H16" s="25"/>
      <c r="I16" s="25"/>
      <c r="J16" s="25"/>
      <c r="K16" s="25"/>
      <c r="L16" s="25"/>
      <c r="M16" s="25"/>
      <c r="N16" s="25"/>
      <c r="O16" s="25"/>
      <c r="P16" s="25"/>
      <c r="Q16" s="25"/>
      <c r="R16" s="25"/>
      <c r="S16" s="25"/>
      <c r="T16" s="25"/>
      <c r="U16" s="25"/>
      <c r="V16" s="25"/>
      <c r="W16" s="25"/>
    </row>
    <row r="17" spans="1:23" x14ac:dyDescent="0.3">
      <c r="A17" s="25"/>
      <c r="B17" s="25"/>
      <c r="C17" s="25"/>
      <c r="D17" s="25"/>
      <c r="E17" s="25"/>
      <c r="F17" s="25"/>
      <c r="G17" s="25"/>
      <c r="H17" s="25"/>
      <c r="I17" s="25"/>
      <c r="J17" s="25"/>
      <c r="K17" s="25"/>
      <c r="L17" s="25"/>
      <c r="M17" s="25"/>
      <c r="N17" s="25"/>
      <c r="O17" s="25"/>
      <c r="P17" s="25"/>
      <c r="Q17" s="25"/>
      <c r="R17" s="25"/>
      <c r="S17" s="25"/>
      <c r="T17" s="25"/>
      <c r="U17" s="25"/>
      <c r="V17" s="25"/>
      <c r="W17" s="25"/>
    </row>
    <row r="18" spans="1:23" x14ac:dyDescent="0.3">
      <c r="A18" s="25"/>
      <c r="B18" s="25"/>
      <c r="C18" s="25"/>
      <c r="D18" s="25"/>
      <c r="E18" s="25"/>
      <c r="F18" s="25"/>
      <c r="G18" s="25"/>
      <c r="H18" s="25"/>
      <c r="I18" s="25"/>
      <c r="J18" s="25"/>
      <c r="K18" s="25"/>
      <c r="L18" s="25"/>
      <c r="M18" s="25"/>
      <c r="N18" s="25"/>
      <c r="O18" s="25"/>
      <c r="P18" s="25"/>
      <c r="Q18" s="25"/>
      <c r="R18" s="25"/>
      <c r="S18" s="25"/>
      <c r="T18" s="25"/>
      <c r="U18" s="25"/>
      <c r="V18" s="25"/>
      <c r="W18" s="25"/>
    </row>
    <row r="19" spans="1:23" x14ac:dyDescent="0.3">
      <c r="A19" s="25"/>
      <c r="B19" s="25"/>
      <c r="C19" s="25"/>
      <c r="D19" s="25"/>
      <c r="E19" s="25"/>
      <c r="F19" s="25"/>
      <c r="G19" s="25"/>
      <c r="H19" s="25"/>
      <c r="I19" s="25"/>
      <c r="J19" s="25"/>
      <c r="K19" s="25"/>
      <c r="L19" s="25"/>
      <c r="M19" s="25"/>
      <c r="N19" s="25"/>
      <c r="O19" s="25"/>
      <c r="P19" s="25"/>
      <c r="Q19" s="25"/>
      <c r="R19" s="25"/>
      <c r="S19" s="25"/>
      <c r="T19" s="25"/>
      <c r="U19" s="25"/>
      <c r="V19" s="25"/>
      <c r="W19" s="25"/>
    </row>
    <row r="20" spans="1:23" x14ac:dyDescent="0.3">
      <c r="A20" s="25"/>
      <c r="B20" s="25"/>
      <c r="C20" s="25"/>
      <c r="D20" s="25"/>
      <c r="E20" s="25"/>
      <c r="F20" s="25"/>
      <c r="G20" s="25"/>
      <c r="H20" s="25"/>
      <c r="I20" s="25"/>
      <c r="J20" s="25"/>
      <c r="K20" s="25"/>
      <c r="L20" s="25"/>
      <c r="M20" s="25"/>
      <c r="N20" s="25"/>
      <c r="O20" s="25"/>
      <c r="P20" s="25"/>
      <c r="Q20" s="25"/>
      <c r="R20" s="25"/>
      <c r="S20" s="25"/>
      <c r="T20" s="25"/>
      <c r="U20" s="25"/>
      <c r="V20" s="25"/>
      <c r="W20" s="25"/>
    </row>
    <row r="21" spans="1:23" x14ac:dyDescent="0.3">
      <c r="A21" s="25"/>
      <c r="B21" s="25"/>
      <c r="C21" s="25"/>
      <c r="D21" s="25"/>
      <c r="E21" s="25"/>
      <c r="F21" s="25"/>
      <c r="G21" s="25"/>
      <c r="H21" s="25"/>
      <c r="I21" s="25"/>
      <c r="J21" s="25"/>
      <c r="K21" s="25"/>
      <c r="L21" s="25"/>
      <c r="M21" s="25"/>
      <c r="N21" s="25"/>
      <c r="O21" s="25"/>
      <c r="P21" s="25"/>
      <c r="Q21" s="25"/>
      <c r="R21" s="25"/>
      <c r="S21" s="25"/>
      <c r="T21" s="25"/>
      <c r="U21" s="25"/>
      <c r="V21" s="25"/>
      <c r="W21" s="25"/>
    </row>
    <row r="22" spans="1:23" x14ac:dyDescent="0.3">
      <c r="A22" s="25"/>
      <c r="B22" s="25"/>
      <c r="C22" s="25"/>
      <c r="D22" s="25"/>
      <c r="E22" s="25"/>
      <c r="F22" s="25"/>
      <c r="G22" s="25"/>
      <c r="H22" s="25"/>
      <c r="I22" s="25"/>
      <c r="J22" s="25"/>
      <c r="K22" s="25"/>
      <c r="L22" s="25"/>
      <c r="M22" s="25"/>
      <c r="N22" s="25"/>
      <c r="O22" s="25"/>
      <c r="P22" s="25"/>
      <c r="Q22" s="25"/>
      <c r="R22" s="25"/>
      <c r="S22" s="25"/>
      <c r="T22" s="25"/>
      <c r="U22" s="25"/>
      <c r="V22" s="25"/>
      <c r="W22" s="25"/>
    </row>
    <row r="23" spans="1:23" x14ac:dyDescent="0.3">
      <c r="A23" s="25"/>
      <c r="B23" s="25"/>
      <c r="C23" s="25"/>
      <c r="D23" s="25"/>
      <c r="E23" s="25"/>
      <c r="F23" s="25"/>
      <c r="G23" s="25"/>
      <c r="H23" s="25"/>
      <c r="I23" s="25"/>
      <c r="J23" s="25"/>
      <c r="K23" s="25"/>
      <c r="L23" s="25"/>
      <c r="M23" s="25"/>
      <c r="N23" s="25"/>
      <c r="O23" s="25"/>
      <c r="P23" s="25"/>
      <c r="Q23" s="25"/>
      <c r="R23" s="25"/>
      <c r="S23" s="25"/>
      <c r="T23" s="25"/>
      <c r="U23" s="25"/>
      <c r="V23" s="25"/>
      <c r="W23" s="25"/>
    </row>
    <row r="24" spans="1:23" x14ac:dyDescent="0.3">
      <c r="A24" s="25"/>
      <c r="B24" s="25"/>
      <c r="C24" s="25"/>
      <c r="D24" s="25"/>
      <c r="E24" s="25"/>
      <c r="F24" s="25"/>
      <c r="G24" s="25"/>
      <c r="H24" s="25"/>
      <c r="I24" s="25"/>
      <c r="J24" s="25"/>
      <c r="K24" s="25"/>
      <c r="L24" s="25"/>
      <c r="M24" s="25"/>
      <c r="N24" s="25"/>
      <c r="O24" s="25"/>
      <c r="P24" s="25"/>
      <c r="Q24" s="25"/>
      <c r="R24" s="25"/>
      <c r="S24" s="25"/>
      <c r="T24" s="25"/>
      <c r="U24" s="25"/>
      <c r="V24" s="25"/>
      <c r="W24" s="25"/>
    </row>
    <row r="25" spans="1:23" x14ac:dyDescent="0.3">
      <c r="A25" s="25"/>
      <c r="B25" s="25"/>
      <c r="C25" s="25"/>
      <c r="D25" s="25"/>
      <c r="E25" s="25"/>
      <c r="F25" s="25"/>
      <c r="G25" s="25"/>
      <c r="H25" s="25"/>
      <c r="I25" s="25"/>
      <c r="J25" s="25"/>
      <c r="K25" s="25"/>
      <c r="L25" s="25"/>
      <c r="M25" s="25"/>
      <c r="N25" s="25"/>
      <c r="O25" s="25"/>
      <c r="P25" s="25"/>
      <c r="Q25" s="25"/>
      <c r="R25" s="25"/>
      <c r="S25" s="25"/>
      <c r="T25" s="25"/>
      <c r="U25" s="25"/>
      <c r="V25" s="25"/>
      <c r="W25" s="25"/>
    </row>
    <row r="26" spans="1:23" x14ac:dyDescent="0.3">
      <c r="A26" s="25"/>
      <c r="B26" s="25"/>
      <c r="C26" s="25"/>
      <c r="D26" s="25"/>
      <c r="E26" s="25"/>
      <c r="F26" s="25"/>
      <c r="G26" s="25"/>
      <c r="H26" s="25"/>
      <c r="I26" s="25"/>
      <c r="J26" s="25"/>
      <c r="K26" s="25"/>
      <c r="L26" s="25"/>
      <c r="M26" s="25"/>
      <c r="N26" s="25"/>
      <c r="O26" s="25"/>
      <c r="P26" s="25"/>
      <c r="Q26" s="25"/>
      <c r="R26" s="25"/>
      <c r="S26" s="25"/>
      <c r="T26" s="25"/>
      <c r="U26" s="25"/>
      <c r="V26" s="25"/>
      <c r="W26" s="25"/>
    </row>
    <row r="27" spans="1:23" x14ac:dyDescent="0.3">
      <c r="A27" s="25"/>
      <c r="B27" s="25"/>
      <c r="C27" s="25"/>
      <c r="D27" s="25"/>
      <c r="E27" s="25"/>
      <c r="F27" s="25"/>
      <c r="G27" s="25"/>
      <c r="H27" s="25"/>
      <c r="I27" s="25"/>
      <c r="J27" s="25"/>
      <c r="K27" s="25"/>
      <c r="L27" s="25"/>
      <c r="M27" s="25"/>
      <c r="N27" s="25"/>
      <c r="O27" s="25"/>
      <c r="P27" s="25"/>
      <c r="Q27" s="25"/>
      <c r="R27" s="25"/>
      <c r="S27" s="25"/>
      <c r="T27" s="25"/>
      <c r="U27" s="25"/>
      <c r="V27" s="25"/>
      <c r="W27" s="25"/>
    </row>
    <row r="28" spans="1:23" x14ac:dyDescent="0.3">
      <c r="A28" s="25"/>
      <c r="B28" s="25"/>
      <c r="C28" s="25"/>
      <c r="D28" s="25"/>
      <c r="E28" s="25"/>
      <c r="F28" s="25"/>
      <c r="G28" s="25"/>
      <c r="H28" s="25"/>
      <c r="I28" s="25"/>
      <c r="J28" s="25"/>
      <c r="K28" s="25"/>
      <c r="L28" s="25"/>
      <c r="M28" s="25"/>
      <c r="N28" s="25"/>
      <c r="O28" s="25"/>
      <c r="P28" s="25"/>
      <c r="Q28" s="25"/>
      <c r="R28" s="25"/>
      <c r="S28" s="25"/>
      <c r="T28" s="25"/>
      <c r="U28" s="25"/>
      <c r="V28" s="25"/>
      <c r="W28" s="25"/>
    </row>
    <row r="29" spans="1:23" x14ac:dyDescent="0.3">
      <c r="A29" s="25"/>
      <c r="B29" s="25"/>
      <c r="C29" s="25"/>
      <c r="D29" s="25"/>
      <c r="E29" s="25"/>
      <c r="F29" s="25"/>
      <c r="G29" s="25"/>
      <c r="H29" s="25"/>
      <c r="I29" s="25"/>
      <c r="J29" s="25"/>
      <c r="K29" s="25"/>
      <c r="L29" s="25"/>
      <c r="M29" s="25"/>
      <c r="N29" s="25"/>
      <c r="O29" s="25"/>
      <c r="P29" s="25"/>
      <c r="Q29" s="25"/>
      <c r="R29" s="25"/>
      <c r="S29" s="25"/>
      <c r="T29" s="25"/>
      <c r="U29" s="25"/>
      <c r="V29" s="25"/>
      <c r="W29" s="25"/>
    </row>
    <row r="30" spans="1:23" x14ac:dyDescent="0.3">
      <c r="A30" s="25"/>
      <c r="B30" s="25"/>
      <c r="C30" s="25"/>
      <c r="D30" s="25"/>
      <c r="E30" s="25"/>
      <c r="F30" s="25"/>
      <c r="G30" s="25"/>
      <c r="H30" s="25"/>
      <c r="I30" s="25"/>
      <c r="J30" s="25"/>
      <c r="K30" s="25"/>
      <c r="L30" s="25"/>
      <c r="M30" s="25"/>
      <c r="N30" s="25"/>
      <c r="O30" s="25"/>
      <c r="P30" s="25"/>
      <c r="Q30" s="25"/>
      <c r="R30" s="25"/>
      <c r="S30" s="25"/>
      <c r="T30" s="25"/>
      <c r="U30" s="25"/>
      <c r="V30" s="25"/>
      <c r="W30" s="25"/>
    </row>
    <row r="31" spans="1:23" x14ac:dyDescent="0.3">
      <c r="A31" s="25"/>
      <c r="B31" s="25"/>
      <c r="C31" s="25"/>
      <c r="D31" s="25"/>
      <c r="E31" s="25"/>
      <c r="F31" s="25"/>
      <c r="G31" s="25"/>
      <c r="H31" s="25"/>
      <c r="I31" s="25"/>
      <c r="J31" s="25"/>
      <c r="K31" s="25"/>
      <c r="L31" s="25"/>
      <c r="M31" s="25"/>
      <c r="N31" s="25"/>
      <c r="O31" s="25"/>
      <c r="P31" s="25"/>
      <c r="Q31" s="25"/>
      <c r="R31" s="25"/>
      <c r="S31" s="25"/>
      <c r="T31" s="25"/>
      <c r="U31" s="25"/>
      <c r="V31" s="25"/>
      <c r="W31" s="25"/>
    </row>
    <row r="32" spans="1:23" x14ac:dyDescent="0.3">
      <c r="A32" s="25"/>
      <c r="B32" s="25"/>
      <c r="C32" s="25"/>
      <c r="D32" s="25"/>
      <c r="E32" s="25"/>
      <c r="F32" s="25"/>
      <c r="G32" s="25"/>
      <c r="H32" s="25"/>
      <c r="I32" s="25"/>
      <c r="J32" s="25"/>
      <c r="K32" s="25"/>
      <c r="L32" s="25"/>
      <c r="M32" s="25"/>
      <c r="N32" s="25"/>
      <c r="O32" s="25"/>
      <c r="P32" s="25"/>
      <c r="Q32" s="25"/>
      <c r="R32" s="25"/>
      <c r="S32" s="25"/>
      <c r="T32" s="25"/>
      <c r="U32" s="25"/>
      <c r="V32" s="25"/>
      <c r="W32" s="25"/>
    </row>
    <row r="33" spans="1:23" x14ac:dyDescent="0.3">
      <c r="A33" s="25"/>
      <c r="B33" s="25"/>
      <c r="C33" s="25"/>
      <c r="D33" s="25"/>
      <c r="E33" s="25"/>
      <c r="F33" s="25"/>
      <c r="G33" s="25"/>
      <c r="H33" s="25"/>
      <c r="I33" s="25"/>
      <c r="J33" s="25"/>
      <c r="K33" s="25"/>
      <c r="L33" s="25"/>
      <c r="M33" s="25"/>
      <c r="N33" s="25"/>
      <c r="O33" s="25"/>
      <c r="P33" s="25"/>
      <c r="Q33" s="25"/>
      <c r="R33" s="25"/>
      <c r="S33" s="25"/>
      <c r="T33" s="25"/>
      <c r="U33" s="25"/>
      <c r="V33" s="25"/>
      <c r="W33" s="25"/>
    </row>
    <row r="34" spans="1:23" x14ac:dyDescent="0.3">
      <c r="A34" s="25"/>
      <c r="B34" s="25"/>
      <c r="C34" s="25"/>
      <c r="D34" s="25"/>
      <c r="E34" s="25"/>
      <c r="F34" s="25"/>
      <c r="G34" s="25"/>
      <c r="H34" s="25"/>
      <c r="I34" s="25"/>
      <c r="J34" s="25"/>
      <c r="K34" s="25"/>
      <c r="L34" s="25"/>
      <c r="M34" s="25"/>
      <c r="N34" s="25"/>
      <c r="O34" s="25"/>
      <c r="P34" s="25"/>
      <c r="Q34" s="25"/>
      <c r="R34" s="25"/>
      <c r="S34" s="25"/>
      <c r="T34" s="25"/>
      <c r="U34" s="25"/>
      <c r="V34" s="25"/>
      <c r="W34" s="25"/>
    </row>
    <row r="35" spans="1:23" x14ac:dyDescent="0.3">
      <c r="A35" s="25"/>
      <c r="B35" s="25"/>
      <c r="C35" s="25"/>
      <c r="D35" s="25"/>
      <c r="E35" s="25"/>
      <c r="F35" s="25"/>
      <c r="G35" s="25"/>
      <c r="H35" s="25"/>
      <c r="I35" s="25"/>
      <c r="J35" s="25"/>
      <c r="K35" s="25"/>
      <c r="L35" s="25"/>
      <c r="M35" s="25"/>
      <c r="N35" s="25"/>
      <c r="O35" s="25"/>
      <c r="P35" s="25"/>
      <c r="Q35" s="25"/>
      <c r="R35" s="25"/>
      <c r="S35" s="25"/>
      <c r="T35" s="25"/>
      <c r="U35" s="25"/>
      <c r="V35" s="25"/>
      <c r="W35" s="25"/>
    </row>
    <row r="36" spans="1:23" x14ac:dyDescent="0.3">
      <c r="A36" s="25"/>
      <c r="B36" s="25"/>
      <c r="C36" s="25"/>
      <c r="D36" s="25"/>
      <c r="E36" s="25"/>
      <c r="F36" s="25"/>
      <c r="G36" s="25"/>
      <c r="H36" s="25"/>
      <c r="I36" s="25"/>
      <c r="J36" s="25"/>
      <c r="K36" s="25"/>
      <c r="L36" s="25"/>
      <c r="M36" s="25"/>
      <c r="N36" s="25"/>
      <c r="O36" s="25"/>
      <c r="P36" s="25"/>
      <c r="Q36" s="25"/>
      <c r="R36" s="25"/>
      <c r="S36" s="25"/>
      <c r="T36" s="25"/>
      <c r="U36" s="25"/>
      <c r="V36" s="25"/>
      <c r="W36" s="25"/>
    </row>
    <row r="37" spans="1:23" x14ac:dyDescent="0.3">
      <c r="A37" s="25"/>
      <c r="B37" s="25"/>
      <c r="C37" s="25"/>
      <c r="D37" s="25"/>
      <c r="E37" s="25"/>
      <c r="F37" s="25"/>
      <c r="G37" s="25"/>
      <c r="H37" s="25"/>
      <c r="I37" s="25"/>
      <c r="J37" s="25"/>
      <c r="K37" s="25"/>
      <c r="L37" s="25"/>
      <c r="M37" s="25"/>
      <c r="N37" s="25"/>
      <c r="O37" s="25"/>
      <c r="P37" s="25"/>
      <c r="Q37" s="25"/>
      <c r="R37" s="25"/>
      <c r="S37" s="25"/>
      <c r="T37" s="25"/>
      <c r="U37" s="25"/>
      <c r="V37" s="25"/>
      <c r="W37" s="25"/>
    </row>
    <row r="38" spans="1:23" x14ac:dyDescent="0.3">
      <c r="A38" s="25"/>
      <c r="B38" s="25"/>
      <c r="C38" s="25"/>
      <c r="D38" s="25"/>
      <c r="E38" s="25"/>
      <c r="F38" s="25"/>
      <c r="G38" s="25"/>
      <c r="H38" s="25"/>
      <c r="I38" s="25"/>
      <c r="J38" s="25"/>
      <c r="K38" s="25"/>
      <c r="L38" s="25"/>
      <c r="M38" s="25"/>
      <c r="N38" s="25"/>
      <c r="O38" s="25"/>
      <c r="P38" s="25"/>
      <c r="Q38" s="25"/>
      <c r="R38" s="25"/>
      <c r="S38" s="25"/>
      <c r="T38" s="25"/>
      <c r="U38" s="25"/>
      <c r="V38" s="25"/>
      <c r="W38" s="25"/>
    </row>
    <row r="39" spans="1:23" x14ac:dyDescent="0.3">
      <c r="A39" s="25"/>
      <c r="B39" s="25"/>
      <c r="C39" s="25"/>
      <c r="D39" s="25"/>
      <c r="E39" s="25"/>
      <c r="F39" s="25"/>
      <c r="G39" s="25"/>
      <c r="H39" s="25"/>
      <c r="I39" s="25"/>
      <c r="J39" s="25"/>
      <c r="K39" s="25"/>
      <c r="L39" s="25"/>
      <c r="M39" s="25"/>
      <c r="N39" s="25"/>
      <c r="O39" s="25"/>
      <c r="P39" s="25"/>
      <c r="Q39" s="25"/>
      <c r="R39" s="25"/>
      <c r="S39" s="25"/>
      <c r="T39" s="25"/>
      <c r="U39" s="25"/>
      <c r="V39" s="25"/>
      <c r="W39" s="25"/>
    </row>
    <row r="40" spans="1:23" x14ac:dyDescent="0.3">
      <c r="A40" s="25"/>
      <c r="B40" s="25"/>
      <c r="C40" s="25"/>
      <c r="D40" s="25"/>
      <c r="E40" s="25"/>
      <c r="F40" s="25"/>
      <c r="G40" s="25"/>
      <c r="H40" s="25"/>
      <c r="I40" s="25"/>
      <c r="J40" s="25"/>
      <c r="K40" s="25"/>
      <c r="L40" s="25"/>
      <c r="M40" s="25"/>
      <c r="N40" s="25"/>
      <c r="O40" s="25"/>
      <c r="P40" s="25"/>
      <c r="Q40" s="25"/>
      <c r="R40" s="25"/>
      <c r="S40" s="25"/>
      <c r="T40" s="25"/>
      <c r="U40" s="25"/>
      <c r="V40" s="25"/>
      <c r="W40" s="25"/>
    </row>
    <row r="41" spans="1:23" x14ac:dyDescent="0.3">
      <c r="A41" s="25"/>
      <c r="B41" s="25"/>
      <c r="C41" s="25"/>
      <c r="D41" s="25"/>
      <c r="E41" s="25"/>
      <c r="F41" s="25"/>
      <c r="G41" s="25"/>
      <c r="H41" s="25"/>
      <c r="I41" s="25"/>
      <c r="J41" s="25"/>
      <c r="K41" s="25"/>
      <c r="L41" s="25"/>
      <c r="M41" s="25"/>
      <c r="N41" s="25"/>
      <c r="O41" s="25"/>
      <c r="P41" s="25"/>
      <c r="Q41" s="25"/>
      <c r="R41" s="25"/>
      <c r="S41" s="25"/>
      <c r="T41" s="25"/>
      <c r="U41" s="25"/>
      <c r="V41" s="25"/>
      <c r="W41" s="25"/>
    </row>
    <row r="42" spans="1:23" x14ac:dyDescent="0.3">
      <c r="A42" s="25"/>
      <c r="B42" s="25"/>
      <c r="C42" s="25"/>
      <c r="D42" s="25"/>
      <c r="E42" s="25"/>
      <c r="F42" s="25"/>
      <c r="G42" s="25"/>
      <c r="H42" s="25"/>
      <c r="I42" s="25"/>
      <c r="J42" s="25"/>
      <c r="K42" s="25"/>
      <c r="L42" s="25"/>
      <c r="M42" s="25"/>
      <c r="N42" s="25"/>
      <c r="O42" s="25"/>
      <c r="P42" s="25"/>
      <c r="Q42" s="25"/>
      <c r="R42" s="25"/>
      <c r="S42" s="25"/>
      <c r="T42" s="25"/>
      <c r="U42" s="25"/>
      <c r="V42" s="25"/>
      <c r="W42" s="25"/>
    </row>
    <row r="43" spans="1:23" x14ac:dyDescent="0.3">
      <c r="A43" s="25"/>
      <c r="B43" s="25"/>
      <c r="C43" s="25"/>
      <c r="D43" s="25"/>
      <c r="E43" s="25"/>
      <c r="F43" s="25"/>
      <c r="G43" s="25"/>
      <c r="H43" s="25"/>
      <c r="I43" s="25"/>
      <c r="J43" s="25"/>
      <c r="K43" s="25"/>
      <c r="L43" s="25"/>
      <c r="M43" s="25"/>
      <c r="N43" s="25"/>
      <c r="O43" s="25"/>
      <c r="P43" s="25"/>
      <c r="Q43" s="25"/>
      <c r="R43" s="25"/>
      <c r="S43" s="25"/>
      <c r="T43" s="25"/>
      <c r="U43" s="25"/>
      <c r="V43" s="25"/>
      <c r="W43" s="25"/>
    </row>
    <row r="44" spans="1:23" x14ac:dyDescent="0.3">
      <c r="A44" s="25"/>
      <c r="B44" s="25"/>
      <c r="C44" s="25"/>
      <c r="D44" s="25"/>
      <c r="E44" s="25"/>
      <c r="F44" s="25"/>
      <c r="G44" s="25"/>
      <c r="H44" s="25"/>
      <c r="I44" s="25"/>
      <c r="J44" s="25"/>
      <c r="K44" s="25"/>
      <c r="L44" s="25"/>
      <c r="M44" s="25"/>
      <c r="N44" s="25"/>
      <c r="O44" s="25"/>
      <c r="P44" s="25"/>
      <c r="Q44" s="25"/>
      <c r="R44" s="25"/>
      <c r="S44" s="25"/>
      <c r="T44" s="25"/>
      <c r="U44" s="25"/>
      <c r="V44" s="25"/>
      <c r="W44" s="25"/>
    </row>
    <row r="45" spans="1:23" x14ac:dyDescent="0.3">
      <c r="A45" s="25"/>
      <c r="B45" s="25"/>
      <c r="C45" s="25"/>
      <c r="D45" s="25"/>
      <c r="E45" s="25"/>
      <c r="F45" s="25"/>
      <c r="G45" s="25"/>
      <c r="H45" s="25"/>
      <c r="I45" s="25"/>
      <c r="J45" s="25"/>
      <c r="K45" s="25"/>
      <c r="L45" s="25"/>
      <c r="M45" s="25"/>
      <c r="N45" s="25"/>
      <c r="O45" s="25"/>
      <c r="P45" s="25"/>
      <c r="Q45" s="25"/>
      <c r="R45" s="25"/>
      <c r="S45" s="25"/>
      <c r="T45" s="25"/>
      <c r="U45" s="25"/>
      <c r="V45" s="25"/>
      <c r="W45" s="25"/>
    </row>
    <row r="46" spans="1:23" x14ac:dyDescent="0.3">
      <c r="A46" s="25"/>
      <c r="B46" s="25"/>
      <c r="C46" s="25"/>
      <c r="D46" s="25"/>
      <c r="E46" s="25"/>
      <c r="F46" s="25"/>
      <c r="G46" s="25"/>
      <c r="H46" s="25"/>
      <c r="I46" s="25"/>
      <c r="J46" s="25"/>
      <c r="K46" s="25"/>
      <c r="L46" s="25"/>
      <c r="M46" s="25"/>
      <c r="N46" s="25"/>
      <c r="O46" s="25"/>
      <c r="P46" s="25"/>
      <c r="Q46" s="25"/>
      <c r="R46" s="25"/>
      <c r="S46" s="25"/>
      <c r="T46" s="25"/>
      <c r="U46" s="25"/>
      <c r="V46" s="25"/>
      <c r="W46" s="25"/>
    </row>
    <row r="47" spans="1:23" x14ac:dyDescent="0.3">
      <c r="A47" s="25"/>
      <c r="B47" s="25"/>
      <c r="C47" s="25"/>
      <c r="D47" s="25"/>
      <c r="E47" s="25"/>
      <c r="F47" s="25"/>
      <c r="G47" s="25"/>
      <c r="H47" s="25"/>
      <c r="I47" s="25"/>
      <c r="J47" s="25"/>
      <c r="K47" s="25"/>
      <c r="L47" s="25"/>
      <c r="M47" s="25"/>
      <c r="N47" s="25"/>
      <c r="O47" s="25"/>
      <c r="P47" s="25"/>
      <c r="Q47" s="25"/>
      <c r="R47" s="25"/>
      <c r="S47" s="25"/>
      <c r="T47" s="25"/>
      <c r="U47" s="25"/>
      <c r="V47" s="25"/>
      <c r="W47" s="25"/>
    </row>
    <row r="48" spans="1:23" x14ac:dyDescent="0.3">
      <c r="A48" s="25"/>
      <c r="B48" s="25"/>
      <c r="C48" s="25"/>
      <c r="D48" s="25"/>
      <c r="E48" s="25"/>
      <c r="F48" s="25"/>
      <c r="G48" s="25"/>
      <c r="H48" s="25"/>
      <c r="I48" s="25"/>
      <c r="J48" s="25"/>
      <c r="K48" s="25"/>
      <c r="L48" s="25"/>
      <c r="M48" s="25"/>
      <c r="N48" s="25"/>
      <c r="O48" s="25"/>
      <c r="P48" s="25"/>
      <c r="Q48" s="25"/>
      <c r="R48" s="25"/>
      <c r="S48" s="25"/>
      <c r="T48" s="25"/>
      <c r="U48" s="25"/>
      <c r="V48" s="25"/>
      <c r="W48" s="25"/>
    </row>
    <row r="49" spans="1:23" x14ac:dyDescent="0.3">
      <c r="A49" s="25"/>
      <c r="B49" s="25"/>
      <c r="C49" s="25"/>
      <c r="D49" s="25"/>
      <c r="E49" s="25"/>
      <c r="F49" s="25"/>
      <c r="G49" s="25"/>
      <c r="H49" s="25"/>
      <c r="I49" s="25"/>
      <c r="J49" s="25"/>
      <c r="K49" s="25"/>
      <c r="L49" s="25"/>
      <c r="M49" s="25"/>
      <c r="N49" s="25"/>
      <c r="O49" s="25"/>
      <c r="P49" s="25"/>
      <c r="Q49" s="25"/>
      <c r="R49" s="25"/>
      <c r="S49" s="25"/>
      <c r="T49" s="25"/>
      <c r="U49" s="25"/>
      <c r="V49" s="25"/>
      <c r="W49" s="25"/>
    </row>
    <row r="50" spans="1:23" x14ac:dyDescent="0.3">
      <c r="A50" s="25"/>
      <c r="B50" s="25"/>
      <c r="C50" s="25"/>
      <c r="D50" s="25"/>
      <c r="E50" s="25"/>
      <c r="F50" s="25"/>
      <c r="G50" s="25"/>
      <c r="H50" s="25"/>
      <c r="I50" s="25"/>
      <c r="J50" s="25"/>
      <c r="K50" s="25"/>
      <c r="L50" s="25"/>
      <c r="M50" s="25"/>
      <c r="N50" s="25"/>
      <c r="O50" s="25"/>
      <c r="P50" s="25"/>
      <c r="Q50" s="25"/>
      <c r="R50" s="25"/>
      <c r="S50" s="25"/>
      <c r="T50" s="25"/>
      <c r="U50" s="25"/>
      <c r="V50" s="25"/>
      <c r="W50" s="25"/>
    </row>
    <row r="51" spans="1:23" x14ac:dyDescent="0.3">
      <c r="A51" s="25"/>
      <c r="B51" s="25"/>
      <c r="C51" s="25"/>
      <c r="D51" s="25"/>
      <c r="E51" s="25"/>
      <c r="F51" s="25"/>
      <c r="G51" s="25"/>
      <c r="H51" s="25"/>
      <c r="I51" s="25"/>
      <c r="J51" s="25"/>
      <c r="K51" s="25"/>
      <c r="L51" s="25"/>
      <c r="M51" s="25"/>
      <c r="N51" s="25"/>
      <c r="O51" s="25"/>
      <c r="P51" s="25"/>
      <c r="Q51" s="25"/>
      <c r="R51" s="25"/>
      <c r="S51" s="25"/>
      <c r="T51" s="25"/>
      <c r="U51" s="25"/>
      <c r="V51" s="25"/>
      <c r="W51" s="25"/>
    </row>
    <row r="52" spans="1:23" x14ac:dyDescent="0.3">
      <c r="A52" s="25"/>
      <c r="B52" s="25"/>
      <c r="C52" s="25"/>
      <c r="D52" s="25"/>
      <c r="E52" s="25"/>
      <c r="F52" s="25"/>
      <c r="G52" s="25"/>
      <c r="H52" s="25"/>
      <c r="I52" s="25"/>
      <c r="J52" s="25"/>
      <c r="K52" s="25"/>
      <c r="L52" s="25"/>
      <c r="M52" s="25"/>
      <c r="N52" s="25"/>
      <c r="O52" s="25"/>
      <c r="P52" s="25"/>
      <c r="Q52" s="25"/>
      <c r="R52" s="25"/>
      <c r="S52" s="25"/>
      <c r="T52" s="25"/>
      <c r="U52" s="25"/>
      <c r="V52" s="25"/>
      <c r="W52" s="25"/>
    </row>
    <row r="53" spans="1:23" x14ac:dyDescent="0.3">
      <c r="A53" s="25"/>
      <c r="B53" s="25"/>
      <c r="C53" s="25"/>
      <c r="D53" s="25"/>
      <c r="E53" s="25"/>
      <c r="F53" s="25"/>
      <c r="G53" s="25"/>
      <c r="H53" s="25"/>
      <c r="I53" s="25"/>
      <c r="J53" s="25"/>
      <c r="K53" s="25"/>
      <c r="L53" s="25"/>
      <c r="M53" s="25"/>
      <c r="N53" s="25"/>
      <c r="O53" s="25"/>
      <c r="P53" s="25"/>
      <c r="Q53" s="25"/>
      <c r="R53" s="25"/>
      <c r="S53" s="25"/>
      <c r="T53" s="25"/>
      <c r="U53" s="25"/>
      <c r="V53" s="25"/>
      <c r="W53" s="25"/>
    </row>
    <row r="54" spans="1:23" x14ac:dyDescent="0.3">
      <c r="A54" s="25"/>
      <c r="B54" s="25"/>
      <c r="C54" s="25"/>
      <c r="D54" s="25"/>
      <c r="E54" s="25"/>
      <c r="F54" s="25"/>
      <c r="G54" s="25"/>
      <c r="H54" s="25"/>
      <c r="I54" s="25"/>
      <c r="J54" s="25"/>
      <c r="K54" s="25"/>
      <c r="L54" s="25"/>
      <c r="M54" s="25"/>
      <c r="N54" s="25"/>
      <c r="O54" s="25"/>
      <c r="P54" s="25"/>
      <c r="Q54" s="25"/>
      <c r="R54" s="25"/>
      <c r="S54" s="25"/>
      <c r="T54" s="25"/>
      <c r="U54" s="25"/>
      <c r="V54" s="25"/>
      <c r="W54" s="25"/>
    </row>
    <row r="55" spans="1:23" x14ac:dyDescent="0.3">
      <c r="A55" s="25"/>
      <c r="B55" s="25"/>
      <c r="C55" s="25"/>
      <c r="D55" s="25"/>
      <c r="E55" s="25"/>
      <c r="F55" s="25"/>
      <c r="G55" s="25"/>
      <c r="H55" s="25"/>
      <c r="I55" s="25"/>
      <c r="J55" s="25"/>
      <c r="K55" s="25"/>
      <c r="L55" s="25"/>
      <c r="M55" s="25"/>
      <c r="N55" s="25"/>
      <c r="O55" s="25"/>
      <c r="P55" s="25"/>
      <c r="Q55" s="25"/>
      <c r="R55" s="25"/>
      <c r="S55" s="25"/>
      <c r="T55" s="25"/>
      <c r="U55" s="25"/>
      <c r="V55" s="25"/>
      <c r="W55" s="25"/>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45F4-9C8F-4322-AC89-1E5C95A99F0D}">
  <dimension ref="A1:Q1303"/>
  <sheetViews>
    <sheetView topLeftCell="A10" workbookViewId="0">
      <selection activeCell="I17" sqref="I17"/>
    </sheetView>
  </sheetViews>
  <sheetFormatPr defaultRowHeight="14.4" x14ac:dyDescent="0.3"/>
  <cols>
    <col min="1" max="1" width="11.109375" bestFit="1" customWidth="1"/>
    <col min="2" max="2" width="10.33203125" bestFit="1" customWidth="1"/>
    <col min="3" max="3" width="11.21875" bestFit="1" customWidth="1"/>
    <col min="4" max="4" width="11.109375" bestFit="1" customWidth="1"/>
    <col min="5" max="5" width="10.5546875" bestFit="1" customWidth="1"/>
    <col min="6" max="6" width="7.33203125" bestFit="1" customWidth="1"/>
    <col min="7" max="7" width="11.88671875" bestFit="1" customWidth="1"/>
    <col min="8" max="8" width="13.44140625" bestFit="1" customWidth="1"/>
    <col min="9" max="9" width="12.21875" bestFit="1" customWidth="1"/>
    <col min="10" max="10" width="18.44140625" bestFit="1" customWidth="1"/>
    <col min="11" max="11" width="18.44140625" customWidth="1"/>
    <col min="12" max="12" width="22.88671875" bestFit="1" customWidth="1"/>
    <col min="13" max="15" width="13.21875" bestFit="1" customWidth="1"/>
    <col min="16" max="16" width="5.44140625" bestFit="1" customWidth="1"/>
    <col min="17" max="17" width="18.5546875" customWidth="1"/>
    <col min="18" max="18" width="10.77734375" bestFit="1" customWidth="1"/>
    <col min="19" max="20" width="2" bestFit="1" customWidth="1"/>
    <col min="21" max="34" width="3" bestFit="1" customWidth="1"/>
    <col min="35" max="35" width="10.77734375" bestFit="1" customWidth="1"/>
  </cols>
  <sheetData>
    <row r="1" spans="1:17" x14ac:dyDescent="0.3">
      <c r="A1" t="s">
        <v>1131</v>
      </c>
      <c r="B1" t="s">
        <v>88</v>
      </c>
      <c r="C1" t="s">
        <v>89</v>
      </c>
      <c r="D1" t="s">
        <v>90</v>
      </c>
      <c r="E1" t="s">
        <v>91</v>
      </c>
      <c r="F1" t="s">
        <v>92</v>
      </c>
      <c r="G1" t="s">
        <v>1126</v>
      </c>
      <c r="H1" t="s">
        <v>93</v>
      </c>
      <c r="I1" t="s">
        <v>94</v>
      </c>
      <c r="J1" t="s">
        <v>1127</v>
      </c>
    </row>
    <row r="2" spans="1:17" x14ac:dyDescent="0.3">
      <c r="A2" t="s">
        <v>1132</v>
      </c>
      <c r="B2" s="17">
        <v>43282</v>
      </c>
      <c r="C2" t="s">
        <v>95</v>
      </c>
      <c r="D2" t="s">
        <v>96</v>
      </c>
      <c r="E2">
        <v>6</v>
      </c>
      <c r="F2">
        <v>80</v>
      </c>
      <c r="G2">
        <v>480</v>
      </c>
      <c r="H2">
        <v>0.01</v>
      </c>
      <c r="I2" t="s">
        <v>97</v>
      </c>
      <c r="J2">
        <v>4.8</v>
      </c>
    </row>
    <row r="3" spans="1:17" x14ac:dyDescent="0.3">
      <c r="A3" t="s">
        <v>1133</v>
      </c>
      <c r="B3" s="17">
        <v>43282</v>
      </c>
      <c r="C3" t="s">
        <v>98</v>
      </c>
      <c r="D3" t="s">
        <v>99</v>
      </c>
      <c r="E3">
        <v>14</v>
      </c>
      <c r="F3">
        <v>40</v>
      </c>
      <c r="G3">
        <v>560</v>
      </c>
      <c r="H3">
        <v>0.06</v>
      </c>
      <c r="I3" t="s">
        <v>100</v>
      </c>
      <c r="J3">
        <v>33.6</v>
      </c>
      <c r="L3" t="s">
        <v>2433</v>
      </c>
      <c r="Q3" s="20"/>
    </row>
    <row r="4" spans="1:17" x14ac:dyDescent="0.3">
      <c r="A4" t="s">
        <v>1134</v>
      </c>
      <c r="B4" s="17">
        <v>43282</v>
      </c>
      <c r="C4" t="s">
        <v>101</v>
      </c>
      <c r="D4" t="s">
        <v>99</v>
      </c>
      <c r="E4">
        <v>22</v>
      </c>
      <c r="F4">
        <v>230</v>
      </c>
      <c r="G4">
        <v>5060</v>
      </c>
      <c r="H4">
        <v>0.11</v>
      </c>
      <c r="I4" t="s">
        <v>102</v>
      </c>
      <c r="J4">
        <v>556.6</v>
      </c>
      <c r="L4" s="32">
        <v>1300</v>
      </c>
      <c r="Q4" s="21"/>
    </row>
    <row r="5" spans="1:17" x14ac:dyDescent="0.3">
      <c r="A5" t="s">
        <v>1135</v>
      </c>
      <c r="B5" s="17">
        <v>43282</v>
      </c>
      <c r="C5" t="s">
        <v>101</v>
      </c>
      <c r="D5" t="s">
        <v>96</v>
      </c>
      <c r="E5">
        <v>8</v>
      </c>
      <c r="F5">
        <v>230</v>
      </c>
      <c r="G5">
        <v>1840</v>
      </c>
      <c r="H5">
        <v>0.03</v>
      </c>
      <c r="I5" t="s">
        <v>103</v>
      </c>
      <c r="J5">
        <v>55.199999999999996</v>
      </c>
      <c r="Q5" s="22"/>
    </row>
    <row r="6" spans="1:17" x14ac:dyDescent="0.3">
      <c r="A6" t="s">
        <v>1136</v>
      </c>
      <c r="B6" s="17">
        <v>43282</v>
      </c>
      <c r="C6" t="s">
        <v>101</v>
      </c>
      <c r="D6" t="s">
        <v>104</v>
      </c>
      <c r="E6">
        <v>12</v>
      </c>
      <c r="F6">
        <v>230</v>
      </c>
      <c r="G6">
        <v>2760</v>
      </c>
      <c r="H6">
        <v>0.03</v>
      </c>
      <c r="I6" t="s">
        <v>105</v>
      </c>
      <c r="J6">
        <v>82.8</v>
      </c>
      <c r="Q6" s="21"/>
    </row>
    <row r="7" spans="1:17" x14ac:dyDescent="0.3">
      <c r="A7" t="s">
        <v>1137</v>
      </c>
      <c r="B7" s="17">
        <v>43282</v>
      </c>
      <c r="C7" t="s">
        <v>95</v>
      </c>
      <c r="D7" t="s">
        <v>106</v>
      </c>
      <c r="E7">
        <v>19</v>
      </c>
      <c r="F7">
        <v>80</v>
      </c>
      <c r="G7">
        <v>1520</v>
      </c>
      <c r="H7">
        <v>0.02</v>
      </c>
      <c r="I7" t="s">
        <v>107</v>
      </c>
      <c r="J7">
        <v>30.400000000000002</v>
      </c>
      <c r="Q7" s="22"/>
    </row>
    <row r="8" spans="1:17" x14ac:dyDescent="0.3">
      <c r="A8" t="s">
        <v>1138</v>
      </c>
      <c r="B8" s="17">
        <v>43282</v>
      </c>
      <c r="C8" t="s">
        <v>108</v>
      </c>
      <c r="D8" t="s">
        <v>109</v>
      </c>
      <c r="E8">
        <v>17</v>
      </c>
      <c r="F8">
        <v>16</v>
      </c>
      <c r="G8">
        <v>272</v>
      </c>
      <c r="H8">
        <v>0.08</v>
      </c>
      <c r="I8" t="s">
        <v>110</v>
      </c>
      <c r="J8">
        <v>21.76</v>
      </c>
      <c r="Q8" s="21"/>
    </row>
    <row r="9" spans="1:17" x14ac:dyDescent="0.3">
      <c r="A9" t="s">
        <v>1139</v>
      </c>
      <c r="B9" s="17">
        <v>43282</v>
      </c>
      <c r="C9" t="s">
        <v>111</v>
      </c>
      <c r="D9" t="s">
        <v>106</v>
      </c>
      <c r="E9">
        <v>7</v>
      </c>
      <c r="F9">
        <v>150</v>
      </c>
      <c r="G9">
        <v>1050</v>
      </c>
      <c r="H9">
        <v>0.05</v>
      </c>
      <c r="I9" t="s">
        <v>112</v>
      </c>
      <c r="J9">
        <v>52.5</v>
      </c>
      <c r="Q9" s="22"/>
    </row>
    <row r="10" spans="1:17" x14ac:dyDescent="0.3">
      <c r="A10" t="s">
        <v>1140</v>
      </c>
      <c r="B10" s="17">
        <v>43282</v>
      </c>
      <c r="C10" t="s">
        <v>111</v>
      </c>
      <c r="D10" t="s">
        <v>106</v>
      </c>
      <c r="E10">
        <v>20</v>
      </c>
      <c r="F10">
        <v>150</v>
      </c>
      <c r="G10">
        <v>3000</v>
      </c>
      <c r="H10">
        <v>0.1</v>
      </c>
      <c r="I10" t="s">
        <v>113</v>
      </c>
      <c r="J10">
        <v>300</v>
      </c>
      <c r="Q10" s="21"/>
    </row>
    <row r="11" spans="1:17" x14ac:dyDescent="0.3">
      <c r="A11" t="s">
        <v>1141</v>
      </c>
      <c r="B11" s="17">
        <v>43282</v>
      </c>
      <c r="C11" t="s">
        <v>108</v>
      </c>
      <c r="D11" t="s">
        <v>96</v>
      </c>
      <c r="E11">
        <v>21</v>
      </c>
      <c r="F11">
        <v>16</v>
      </c>
      <c r="G11">
        <v>336</v>
      </c>
      <c r="H11">
        <v>0.09</v>
      </c>
      <c r="I11" t="s">
        <v>114</v>
      </c>
      <c r="J11">
        <v>30.24</v>
      </c>
      <c r="Q11" s="22"/>
    </row>
    <row r="12" spans="1:17" x14ac:dyDescent="0.3">
      <c r="A12" t="s">
        <v>1142</v>
      </c>
      <c r="B12" s="17">
        <v>43282</v>
      </c>
      <c r="C12" t="s">
        <v>101</v>
      </c>
      <c r="D12" t="s">
        <v>99</v>
      </c>
      <c r="E12">
        <v>7</v>
      </c>
      <c r="F12">
        <v>230</v>
      </c>
      <c r="G12">
        <v>1610</v>
      </c>
      <c r="H12">
        <v>0.01</v>
      </c>
      <c r="I12" t="s">
        <v>115</v>
      </c>
      <c r="J12">
        <v>16.100000000000001</v>
      </c>
      <c r="Q12" s="21"/>
    </row>
    <row r="13" spans="1:17" x14ac:dyDescent="0.3">
      <c r="A13" t="s">
        <v>1143</v>
      </c>
      <c r="B13" s="17">
        <v>43283</v>
      </c>
      <c r="C13" t="s">
        <v>95</v>
      </c>
      <c r="D13" t="s">
        <v>106</v>
      </c>
      <c r="E13">
        <v>7</v>
      </c>
      <c r="F13">
        <v>80</v>
      </c>
      <c r="G13">
        <v>560</v>
      </c>
      <c r="H13">
        <v>7.0000000000000007E-2</v>
      </c>
      <c r="I13" t="s">
        <v>116</v>
      </c>
      <c r="J13">
        <v>39.200000000000003</v>
      </c>
      <c r="Q13" s="22"/>
    </row>
    <row r="14" spans="1:17" x14ac:dyDescent="0.3">
      <c r="A14" t="s">
        <v>1144</v>
      </c>
      <c r="B14" s="17">
        <v>43283</v>
      </c>
      <c r="C14" t="s">
        <v>95</v>
      </c>
      <c r="D14" t="s">
        <v>109</v>
      </c>
      <c r="E14">
        <v>9</v>
      </c>
      <c r="F14">
        <v>80</v>
      </c>
      <c r="G14">
        <v>720</v>
      </c>
      <c r="H14">
        <v>0.02</v>
      </c>
      <c r="I14" t="s">
        <v>97</v>
      </c>
      <c r="J14">
        <v>14.4</v>
      </c>
      <c r="Q14" s="21"/>
    </row>
    <row r="15" spans="1:17" x14ac:dyDescent="0.3">
      <c r="A15" t="s">
        <v>1145</v>
      </c>
      <c r="B15" s="17">
        <v>43283</v>
      </c>
      <c r="C15" t="s">
        <v>98</v>
      </c>
      <c r="D15" t="s">
        <v>109</v>
      </c>
      <c r="E15">
        <v>16</v>
      </c>
      <c r="F15">
        <v>40</v>
      </c>
      <c r="G15">
        <v>640</v>
      </c>
      <c r="H15">
        <v>0.09</v>
      </c>
      <c r="I15" t="s">
        <v>100</v>
      </c>
      <c r="J15">
        <v>57.599999999999994</v>
      </c>
      <c r="Q15" s="22"/>
    </row>
    <row r="16" spans="1:17" x14ac:dyDescent="0.3">
      <c r="A16" t="s">
        <v>1146</v>
      </c>
      <c r="B16" s="17">
        <v>43283</v>
      </c>
      <c r="C16" t="s">
        <v>111</v>
      </c>
      <c r="D16" t="s">
        <v>99</v>
      </c>
      <c r="E16">
        <v>23</v>
      </c>
      <c r="F16">
        <v>150</v>
      </c>
      <c r="G16">
        <v>3450</v>
      </c>
      <c r="H16">
        <v>0.11</v>
      </c>
      <c r="I16" t="s">
        <v>102</v>
      </c>
      <c r="J16">
        <v>379.5</v>
      </c>
      <c r="Q16" s="21"/>
    </row>
    <row r="17" spans="1:17" x14ac:dyDescent="0.3">
      <c r="A17" t="s">
        <v>1147</v>
      </c>
      <c r="B17" s="17">
        <v>43283</v>
      </c>
      <c r="C17" t="s">
        <v>108</v>
      </c>
      <c r="D17" t="s">
        <v>106</v>
      </c>
      <c r="E17">
        <v>22</v>
      </c>
      <c r="F17">
        <v>16</v>
      </c>
      <c r="G17">
        <v>352</v>
      </c>
      <c r="H17">
        <v>0.03</v>
      </c>
      <c r="I17" t="s">
        <v>103</v>
      </c>
      <c r="J17">
        <v>10.559999999999999</v>
      </c>
      <c r="L17" t="s">
        <v>2434</v>
      </c>
      <c r="Q17" s="22"/>
    </row>
    <row r="18" spans="1:17" x14ac:dyDescent="0.3">
      <c r="A18" t="s">
        <v>1148</v>
      </c>
      <c r="B18" s="17">
        <v>43283</v>
      </c>
      <c r="C18" t="s">
        <v>98</v>
      </c>
      <c r="D18" t="s">
        <v>106</v>
      </c>
      <c r="E18">
        <v>23</v>
      </c>
      <c r="F18">
        <v>40</v>
      </c>
      <c r="G18">
        <v>920</v>
      </c>
      <c r="H18">
        <v>0.06</v>
      </c>
      <c r="I18" t="s">
        <v>105</v>
      </c>
      <c r="J18">
        <v>55.199999999999996</v>
      </c>
      <c r="L18" s="32">
        <v>16632</v>
      </c>
      <c r="Q18" s="21"/>
    </row>
    <row r="19" spans="1:17" x14ac:dyDescent="0.3">
      <c r="A19" t="s">
        <v>1149</v>
      </c>
      <c r="B19" s="17">
        <v>43283</v>
      </c>
      <c r="C19" t="s">
        <v>95</v>
      </c>
      <c r="D19" t="s">
        <v>96</v>
      </c>
      <c r="E19">
        <v>20</v>
      </c>
      <c r="F19">
        <v>80</v>
      </c>
      <c r="G19">
        <v>1600</v>
      </c>
      <c r="H19">
        <v>0.01</v>
      </c>
      <c r="I19" t="s">
        <v>107</v>
      </c>
      <c r="J19">
        <v>16</v>
      </c>
      <c r="Q19" s="22"/>
    </row>
    <row r="20" spans="1:17" x14ac:dyDescent="0.3">
      <c r="A20" t="s">
        <v>1150</v>
      </c>
      <c r="B20" s="17">
        <v>43284</v>
      </c>
      <c r="C20" t="s">
        <v>95</v>
      </c>
      <c r="D20" t="s">
        <v>106</v>
      </c>
      <c r="E20">
        <v>11</v>
      </c>
      <c r="F20">
        <v>80</v>
      </c>
      <c r="G20">
        <v>880</v>
      </c>
      <c r="H20">
        <v>0.01</v>
      </c>
      <c r="I20" t="s">
        <v>110</v>
      </c>
      <c r="J20">
        <v>8.8000000000000007</v>
      </c>
      <c r="Q20" s="21"/>
    </row>
    <row r="21" spans="1:17" x14ac:dyDescent="0.3">
      <c r="A21" t="s">
        <v>1151</v>
      </c>
      <c r="B21" s="17">
        <v>43284</v>
      </c>
      <c r="C21" t="s">
        <v>98</v>
      </c>
      <c r="D21" t="s">
        <v>106</v>
      </c>
      <c r="E21">
        <v>9</v>
      </c>
      <c r="F21">
        <v>40</v>
      </c>
      <c r="G21">
        <v>360</v>
      </c>
      <c r="H21">
        <v>0.06</v>
      </c>
      <c r="I21" t="s">
        <v>112</v>
      </c>
      <c r="J21">
        <v>21.599999999999998</v>
      </c>
      <c r="L21" t="s">
        <v>2435</v>
      </c>
      <c r="Q21" s="22"/>
    </row>
    <row r="22" spans="1:17" x14ac:dyDescent="0.3">
      <c r="A22" t="s">
        <v>1152</v>
      </c>
      <c r="B22" s="17">
        <v>43284</v>
      </c>
      <c r="C22" t="s">
        <v>95</v>
      </c>
      <c r="D22" t="s">
        <v>109</v>
      </c>
      <c r="E22">
        <v>16</v>
      </c>
      <c r="F22">
        <v>80</v>
      </c>
      <c r="G22">
        <v>1280</v>
      </c>
      <c r="H22">
        <v>0.09</v>
      </c>
      <c r="I22" t="s">
        <v>113</v>
      </c>
      <c r="J22">
        <v>115.19999999999999</v>
      </c>
      <c r="L22" s="32">
        <v>1584826</v>
      </c>
      <c r="Q22" s="21"/>
    </row>
    <row r="23" spans="1:17" x14ac:dyDescent="0.3">
      <c r="A23" t="s">
        <v>1153</v>
      </c>
      <c r="B23" s="17">
        <v>43284</v>
      </c>
      <c r="C23" t="s">
        <v>95</v>
      </c>
      <c r="D23" t="s">
        <v>104</v>
      </c>
      <c r="E23">
        <v>10</v>
      </c>
      <c r="F23">
        <v>80</v>
      </c>
      <c r="G23">
        <v>800</v>
      </c>
      <c r="H23">
        <v>0.08</v>
      </c>
      <c r="I23" t="s">
        <v>114</v>
      </c>
      <c r="J23">
        <v>64</v>
      </c>
      <c r="Q23" s="22"/>
    </row>
    <row r="24" spans="1:17" x14ac:dyDescent="0.3">
      <c r="A24" t="s">
        <v>1154</v>
      </c>
      <c r="B24" s="17">
        <v>43284</v>
      </c>
      <c r="C24" t="s">
        <v>108</v>
      </c>
      <c r="D24" t="s">
        <v>104</v>
      </c>
      <c r="E24">
        <v>12</v>
      </c>
      <c r="F24">
        <v>16</v>
      </c>
      <c r="G24">
        <v>192</v>
      </c>
      <c r="H24">
        <v>0.11</v>
      </c>
      <c r="I24" t="s">
        <v>115</v>
      </c>
      <c r="J24">
        <v>21.12</v>
      </c>
      <c r="Q24" s="21"/>
    </row>
    <row r="25" spans="1:17" x14ac:dyDescent="0.3">
      <c r="A25" t="s">
        <v>1155</v>
      </c>
      <c r="B25" s="17">
        <v>43284</v>
      </c>
      <c r="C25" t="s">
        <v>111</v>
      </c>
      <c r="D25" t="s">
        <v>106</v>
      </c>
      <c r="E25">
        <v>6</v>
      </c>
      <c r="F25">
        <v>150</v>
      </c>
      <c r="G25">
        <v>900</v>
      </c>
      <c r="H25">
        <v>0.03</v>
      </c>
      <c r="I25" t="s">
        <v>116</v>
      </c>
      <c r="J25">
        <v>27</v>
      </c>
      <c r="L25" t="s">
        <v>2436</v>
      </c>
      <c r="Q25" s="22"/>
    </row>
    <row r="26" spans="1:17" x14ac:dyDescent="0.3">
      <c r="A26" t="s">
        <v>1156</v>
      </c>
      <c r="B26" s="17">
        <v>43284</v>
      </c>
      <c r="C26" t="s">
        <v>108</v>
      </c>
      <c r="D26" t="s">
        <v>104</v>
      </c>
      <c r="E26">
        <v>11</v>
      </c>
      <c r="F26">
        <v>16</v>
      </c>
      <c r="G26">
        <v>176</v>
      </c>
      <c r="H26">
        <v>0.04</v>
      </c>
      <c r="I26" t="s">
        <v>97</v>
      </c>
      <c r="J26">
        <v>7.04</v>
      </c>
      <c r="L26" s="32">
        <v>100157.03999999988</v>
      </c>
      <c r="Q26" s="21"/>
    </row>
    <row r="27" spans="1:17" x14ac:dyDescent="0.3">
      <c r="A27" t="s">
        <v>1157</v>
      </c>
      <c r="B27" s="17">
        <v>43284</v>
      </c>
      <c r="C27" t="s">
        <v>95</v>
      </c>
      <c r="D27" t="s">
        <v>106</v>
      </c>
      <c r="E27">
        <v>22</v>
      </c>
      <c r="F27">
        <v>80</v>
      </c>
      <c r="G27">
        <v>1760</v>
      </c>
      <c r="H27">
        <v>0.03</v>
      </c>
      <c r="I27" t="s">
        <v>100</v>
      </c>
      <c r="J27">
        <v>52.8</v>
      </c>
      <c r="Q27" s="22"/>
    </row>
    <row r="28" spans="1:17" x14ac:dyDescent="0.3">
      <c r="A28" t="s">
        <v>1158</v>
      </c>
      <c r="B28" s="17">
        <v>43284</v>
      </c>
      <c r="C28" t="s">
        <v>108</v>
      </c>
      <c r="D28" t="s">
        <v>99</v>
      </c>
      <c r="E28">
        <v>7</v>
      </c>
      <c r="F28">
        <v>16</v>
      </c>
      <c r="G28">
        <v>112</v>
      </c>
      <c r="H28">
        <v>0.08</v>
      </c>
      <c r="I28" t="s">
        <v>102</v>
      </c>
      <c r="J28">
        <v>8.9600000000000009</v>
      </c>
      <c r="Q28" s="21"/>
    </row>
    <row r="29" spans="1:17" x14ac:dyDescent="0.3">
      <c r="A29" t="s">
        <v>1159</v>
      </c>
      <c r="B29" s="17">
        <v>43284</v>
      </c>
      <c r="C29" t="s">
        <v>98</v>
      </c>
      <c r="D29" t="s">
        <v>106</v>
      </c>
      <c r="E29">
        <v>13</v>
      </c>
      <c r="F29">
        <v>40</v>
      </c>
      <c r="G29">
        <v>520</v>
      </c>
      <c r="H29">
        <v>0.09</v>
      </c>
      <c r="I29" t="s">
        <v>103</v>
      </c>
      <c r="J29">
        <v>46.8</v>
      </c>
      <c r="Q29" s="22"/>
    </row>
    <row r="30" spans="1:17" x14ac:dyDescent="0.3">
      <c r="A30" t="s">
        <v>1160</v>
      </c>
      <c r="B30" s="17">
        <v>43284</v>
      </c>
      <c r="C30" t="s">
        <v>101</v>
      </c>
      <c r="D30" t="s">
        <v>106</v>
      </c>
      <c r="E30">
        <v>8</v>
      </c>
      <c r="F30">
        <v>230</v>
      </c>
      <c r="G30">
        <v>1840</v>
      </c>
      <c r="H30">
        <v>0.05</v>
      </c>
      <c r="I30" t="s">
        <v>105</v>
      </c>
      <c r="J30">
        <v>92</v>
      </c>
      <c r="Q30" s="21"/>
    </row>
    <row r="31" spans="1:17" x14ac:dyDescent="0.3">
      <c r="A31" t="s">
        <v>1161</v>
      </c>
      <c r="B31" s="17">
        <v>43284</v>
      </c>
      <c r="C31" t="s">
        <v>108</v>
      </c>
      <c r="D31" t="s">
        <v>106</v>
      </c>
      <c r="E31">
        <v>14</v>
      </c>
      <c r="F31">
        <v>16</v>
      </c>
      <c r="G31">
        <v>224</v>
      </c>
      <c r="H31">
        <v>0.12</v>
      </c>
      <c r="I31" t="s">
        <v>107</v>
      </c>
      <c r="J31">
        <v>26.88</v>
      </c>
      <c r="Q31" s="22"/>
    </row>
    <row r="32" spans="1:17" x14ac:dyDescent="0.3">
      <c r="A32" t="s">
        <v>1162</v>
      </c>
      <c r="B32" s="17">
        <v>43284</v>
      </c>
      <c r="C32" t="s">
        <v>98</v>
      </c>
      <c r="D32" t="s">
        <v>109</v>
      </c>
      <c r="E32">
        <v>16</v>
      </c>
      <c r="F32">
        <v>40</v>
      </c>
      <c r="G32">
        <v>640</v>
      </c>
      <c r="H32">
        <v>0.09</v>
      </c>
      <c r="I32" t="s">
        <v>110</v>
      </c>
      <c r="J32">
        <v>57.599999999999994</v>
      </c>
      <c r="Q32" s="21"/>
    </row>
    <row r="33" spans="1:17" x14ac:dyDescent="0.3">
      <c r="A33" t="s">
        <v>1163</v>
      </c>
      <c r="B33" s="17">
        <v>43285</v>
      </c>
      <c r="C33" t="s">
        <v>111</v>
      </c>
      <c r="D33" t="s">
        <v>99</v>
      </c>
      <c r="E33">
        <v>16</v>
      </c>
      <c r="F33">
        <v>150</v>
      </c>
      <c r="G33">
        <v>2400</v>
      </c>
      <c r="H33">
        <v>0.05</v>
      </c>
      <c r="I33" t="s">
        <v>112</v>
      </c>
      <c r="J33">
        <v>120</v>
      </c>
      <c r="Q33" s="22"/>
    </row>
    <row r="34" spans="1:17" x14ac:dyDescent="0.3">
      <c r="A34" t="s">
        <v>1164</v>
      </c>
      <c r="B34" s="17">
        <v>43285</v>
      </c>
      <c r="C34" t="s">
        <v>98</v>
      </c>
      <c r="D34" t="s">
        <v>99</v>
      </c>
      <c r="E34">
        <v>12</v>
      </c>
      <c r="F34">
        <v>40</v>
      </c>
      <c r="G34">
        <v>480</v>
      </c>
      <c r="H34">
        <v>0.1</v>
      </c>
      <c r="I34" t="s">
        <v>113</v>
      </c>
      <c r="J34">
        <v>48</v>
      </c>
      <c r="Q34" s="21"/>
    </row>
    <row r="35" spans="1:17" x14ac:dyDescent="0.3">
      <c r="A35" t="s">
        <v>1165</v>
      </c>
      <c r="B35" s="17">
        <v>43285</v>
      </c>
      <c r="C35" t="s">
        <v>95</v>
      </c>
      <c r="D35" t="s">
        <v>109</v>
      </c>
      <c r="E35">
        <v>17</v>
      </c>
      <c r="F35">
        <v>80</v>
      </c>
      <c r="G35">
        <v>1360</v>
      </c>
      <c r="H35">
        <v>7.0000000000000007E-2</v>
      </c>
      <c r="I35" t="s">
        <v>114</v>
      </c>
      <c r="J35">
        <v>95.2</v>
      </c>
      <c r="Q35" s="22"/>
    </row>
    <row r="36" spans="1:17" x14ac:dyDescent="0.3">
      <c r="A36" t="s">
        <v>1166</v>
      </c>
      <c r="B36" s="17">
        <v>43285</v>
      </c>
      <c r="C36" t="s">
        <v>101</v>
      </c>
      <c r="D36" t="s">
        <v>106</v>
      </c>
      <c r="E36">
        <v>19</v>
      </c>
      <c r="F36">
        <v>230</v>
      </c>
      <c r="G36">
        <v>4370</v>
      </c>
      <c r="H36">
        <v>0.06</v>
      </c>
      <c r="I36" t="s">
        <v>115</v>
      </c>
      <c r="J36">
        <v>262.2</v>
      </c>
      <c r="Q36" s="21"/>
    </row>
    <row r="37" spans="1:17" x14ac:dyDescent="0.3">
      <c r="A37" t="s">
        <v>1167</v>
      </c>
      <c r="B37" s="17">
        <v>43285</v>
      </c>
      <c r="C37" t="s">
        <v>101</v>
      </c>
      <c r="D37" t="s">
        <v>109</v>
      </c>
      <c r="E37">
        <v>22</v>
      </c>
      <c r="F37">
        <v>230</v>
      </c>
      <c r="G37">
        <v>5060</v>
      </c>
      <c r="H37">
        <v>0.1</v>
      </c>
      <c r="I37" t="s">
        <v>116</v>
      </c>
      <c r="J37">
        <v>506</v>
      </c>
      <c r="Q37" s="22"/>
    </row>
    <row r="38" spans="1:17" x14ac:dyDescent="0.3">
      <c r="A38" t="s">
        <v>1168</v>
      </c>
      <c r="B38" s="17">
        <v>43285</v>
      </c>
      <c r="C38" t="s">
        <v>98</v>
      </c>
      <c r="D38" t="s">
        <v>106</v>
      </c>
      <c r="E38">
        <v>22</v>
      </c>
      <c r="F38">
        <v>40</v>
      </c>
      <c r="G38">
        <v>880</v>
      </c>
      <c r="H38">
        <v>0.01</v>
      </c>
      <c r="I38" t="s">
        <v>97</v>
      </c>
      <c r="J38">
        <v>8.8000000000000007</v>
      </c>
      <c r="Q38" s="21"/>
    </row>
    <row r="39" spans="1:17" x14ac:dyDescent="0.3">
      <c r="A39" t="s">
        <v>1169</v>
      </c>
      <c r="B39" s="17">
        <v>43285</v>
      </c>
      <c r="C39" t="s">
        <v>108</v>
      </c>
      <c r="D39" t="s">
        <v>106</v>
      </c>
      <c r="E39">
        <v>10</v>
      </c>
      <c r="F39">
        <v>16</v>
      </c>
      <c r="G39">
        <v>160</v>
      </c>
      <c r="H39">
        <v>0.04</v>
      </c>
      <c r="I39" t="s">
        <v>100</v>
      </c>
      <c r="J39">
        <v>6.4</v>
      </c>
      <c r="Q39" s="22"/>
    </row>
    <row r="40" spans="1:17" x14ac:dyDescent="0.3">
      <c r="A40" t="s">
        <v>1170</v>
      </c>
      <c r="B40" s="17">
        <v>43285</v>
      </c>
      <c r="C40" t="s">
        <v>98</v>
      </c>
      <c r="D40" t="s">
        <v>99</v>
      </c>
      <c r="E40">
        <v>4</v>
      </c>
      <c r="F40">
        <v>40</v>
      </c>
      <c r="G40">
        <v>160</v>
      </c>
      <c r="H40">
        <v>0.12</v>
      </c>
      <c r="I40" t="s">
        <v>102</v>
      </c>
      <c r="J40">
        <v>19.2</v>
      </c>
      <c r="Q40" s="21"/>
    </row>
    <row r="41" spans="1:17" x14ac:dyDescent="0.3">
      <c r="A41" t="s">
        <v>1171</v>
      </c>
      <c r="B41" s="17">
        <v>43285</v>
      </c>
      <c r="C41" t="s">
        <v>98</v>
      </c>
      <c r="D41" t="s">
        <v>109</v>
      </c>
      <c r="E41">
        <v>20</v>
      </c>
      <c r="F41">
        <v>40</v>
      </c>
      <c r="G41">
        <v>800</v>
      </c>
      <c r="H41">
        <v>0.05</v>
      </c>
      <c r="I41" t="s">
        <v>103</v>
      </c>
      <c r="J41">
        <v>40</v>
      </c>
      <c r="Q41" s="22"/>
    </row>
    <row r="42" spans="1:17" x14ac:dyDescent="0.3">
      <c r="A42" t="s">
        <v>1172</v>
      </c>
      <c r="B42" s="17">
        <v>43286</v>
      </c>
      <c r="C42" t="s">
        <v>101</v>
      </c>
      <c r="D42" t="s">
        <v>106</v>
      </c>
      <c r="E42">
        <v>23</v>
      </c>
      <c r="F42">
        <v>230</v>
      </c>
      <c r="G42">
        <v>5290</v>
      </c>
      <c r="H42">
        <v>0.06</v>
      </c>
      <c r="I42" t="s">
        <v>105</v>
      </c>
      <c r="J42">
        <v>317.39999999999998</v>
      </c>
      <c r="Q42" s="21"/>
    </row>
    <row r="43" spans="1:17" x14ac:dyDescent="0.3">
      <c r="A43" t="s">
        <v>1173</v>
      </c>
      <c r="B43" s="17">
        <v>43286</v>
      </c>
      <c r="C43" t="s">
        <v>98</v>
      </c>
      <c r="D43" t="s">
        <v>104</v>
      </c>
      <c r="E43">
        <v>20</v>
      </c>
      <c r="F43">
        <v>40</v>
      </c>
      <c r="G43">
        <v>800</v>
      </c>
      <c r="H43">
        <v>0.01</v>
      </c>
      <c r="I43" t="s">
        <v>107</v>
      </c>
      <c r="J43">
        <v>8</v>
      </c>
      <c r="Q43" s="22"/>
    </row>
    <row r="44" spans="1:17" x14ac:dyDescent="0.3">
      <c r="A44" t="s">
        <v>1174</v>
      </c>
      <c r="B44" s="17">
        <v>43286</v>
      </c>
      <c r="C44" t="s">
        <v>111</v>
      </c>
      <c r="D44" t="s">
        <v>104</v>
      </c>
      <c r="E44">
        <v>20</v>
      </c>
      <c r="F44">
        <v>150</v>
      </c>
      <c r="G44">
        <v>3000</v>
      </c>
      <c r="H44">
        <v>0.04</v>
      </c>
      <c r="I44" t="s">
        <v>110</v>
      </c>
      <c r="J44">
        <v>120</v>
      </c>
      <c r="Q44" s="21"/>
    </row>
    <row r="45" spans="1:17" x14ac:dyDescent="0.3">
      <c r="A45" t="s">
        <v>1175</v>
      </c>
      <c r="B45" s="17">
        <v>43286</v>
      </c>
      <c r="C45" t="s">
        <v>95</v>
      </c>
      <c r="D45" t="s">
        <v>99</v>
      </c>
      <c r="E45">
        <v>9</v>
      </c>
      <c r="F45">
        <v>80</v>
      </c>
      <c r="G45">
        <v>720</v>
      </c>
      <c r="H45">
        <v>0.03</v>
      </c>
      <c r="I45" t="s">
        <v>112</v>
      </c>
      <c r="J45">
        <v>21.599999999999998</v>
      </c>
      <c r="Q45" s="22"/>
    </row>
    <row r="46" spans="1:17" x14ac:dyDescent="0.3">
      <c r="A46" t="s">
        <v>1176</v>
      </c>
      <c r="B46" s="17">
        <v>43286</v>
      </c>
      <c r="C46" t="s">
        <v>101</v>
      </c>
      <c r="D46" t="s">
        <v>96</v>
      </c>
      <c r="E46">
        <v>7</v>
      </c>
      <c r="F46">
        <v>230</v>
      </c>
      <c r="G46">
        <v>1610</v>
      </c>
      <c r="H46">
        <v>0.02</v>
      </c>
      <c r="I46" t="s">
        <v>113</v>
      </c>
      <c r="J46">
        <v>32.200000000000003</v>
      </c>
      <c r="Q46" s="21"/>
    </row>
    <row r="47" spans="1:17" x14ac:dyDescent="0.3">
      <c r="A47" t="s">
        <v>1177</v>
      </c>
      <c r="B47" s="17">
        <v>43286</v>
      </c>
      <c r="C47" t="s">
        <v>101</v>
      </c>
      <c r="D47" t="s">
        <v>96</v>
      </c>
      <c r="E47">
        <v>3</v>
      </c>
      <c r="F47">
        <v>230</v>
      </c>
      <c r="G47">
        <v>690</v>
      </c>
      <c r="H47">
        <v>0.06</v>
      </c>
      <c r="I47" t="s">
        <v>114</v>
      </c>
      <c r="J47">
        <v>41.4</v>
      </c>
      <c r="Q47" s="22"/>
    </row>
    <row r="48" spans="1:17" x14ac:dyDescent="0.3">
      <c r="A48" t="s">
        <v>1178</v>
      </c>
      <c r="B48" s="17">
        <v>43286</v>
      </c>
      <c r="C48" t="s">
        <v>111</v>
      </c>
      <c r="D48" t="s">
        <v>96</v>
      </c>
      <c r="E48">
        <v>13</v>
      </c>
      <c r="F48">
        <v>150</v>
      </c>
      <c r="G48">
        <v>1950</v>
      </c>
      <c r="H48">
        <v>0.05</v>
      </c>
      <c r="I48" t="s">
        <v>115</v>
      </c>
      <c r="J48">
        <v>97.5</v>
      </c>
      <c r="Q48" s="21"/>
    </row>
    <row r="49" spans="1:17" x14ac:dyDescent="0.3">
      <c r="A49" t="s">
        <v>1179</v>
      </c>
      <c r="B49" s="17">
        <v>43286</v>
      </c>
      <c r="C49" t="s">
        <v>95</v>
      </c>
      <c r="D49" t="s">
        <v>96</v>
      </c>
      <c r="E49">
        <v>17</v>
      </c>
      <c r="F49">
        <v>80</v>
      </c>
      <c r="G49">
        <v>1360</v>
      </c>
      <c r="H49">
        <v>0.09</v>
      </c>
      <c r="I49" t="s">
        <v>116</v>
      </c>
      <c r="J49">
        <v>122.39999999999999</v>
      </c>
      <c r="Q49" s="22"/>
    </row>
    <row r="50" spans="1:17" x14ac:dyDescent="0.3">
      <c r="A50" t="s">
        <v>1180</v>
      </c>
      <c r="B50" s="17">
        <v>43287</v>
      </c>
      <c r="C50" t="s">
        <v>98</v>
      </c>
      <c r="D50" t="s">
        <v>106</v>
      </c>
      <c r="E50">
        <v>18</v>
      </c>
      <c r="F50">
        <v>40</v>
      </c>
      <c r="G50">
        <v>720</v>
      </c>
      <c r="H50">
        <v>0.06</v>
      </c>
      <c r="I50" t="s">
        <v>97</v>
      </c>
      <c r="J50">
        <v>43.199999999999996</v>
      </c>
      <c r="Q50" s="21"/>
    </row>
    <row r="51" spans="1:17" x14ac:dyDescent="0.3">
      <c r="A51" t="s">
        <v>1181</v>
      </c>
      <c r="B51" s="17">
        <v>43287</v>
      </c>
      <c r="C51" t="s">
        <v>108</v>
      </c>
      <c r="D51" t="s">
        <v>104</v>
      </c>
      <c r="E51">
        <v>23</v>
      </c>
      <c r="F51">
        <v>16</v>
      </c>
      <c r="G51">
        <v>368</v>
      </c>
      <c r="H51">
        <v>0.11</v>
      </c>
      <c r="I51" t="s">
        <v>100</v>
      </c>
      <c r="J51">
        <v>40.479999999999997</v>
      </c>
      <c r="Q51" s="22"/>
    </row>
    <row r="52" spans="1:17" x14ac:dyDescent="0.3">
      <c r="A52" t="s">
        <v>1182</v>
      </c>
      <c r="B52" s="17">
        <v>43287</v>
      </c>
      <c r="C52" t="s">
        <v>101</v>
      </c>
      <c r="D52" t="s">
        <v>104</v>
      </c>
      <c r="E52">
        <v>20</v>
      </c>
      <c r="F52">
        <v>230</v>
      </c>
      <c r="G52">
        <v>4600</v>
      </c>
      <c r="H52">
        <v>0.06</v>
      </c>
      <c r="I52" t="s">
        <v>102</v>
      </c>
      <c r="J52">
        <v>276</v>
      </c>
      <c r="Q52" s="21"/>
    </row>
    <row r="53" spans="1:17" x14ac:dyDescent="0.3">
      <c r="A53" t="s">
        <v>1183</v>
      </c>
      <c r="B53" s="17">
        <v>43287</v>
      </c>
      <c r="C53" t="s">
        <v>108</v>
      </c>
      <c r="D53" t="s">
        <v>96</v>
      </c>
      <c r="E53">
        <v>11</v>
      </c>
      <c r="F53">
        <v>16</v>
      </c>
      <c r="G53">
        <v>176</v>
      </c>
      <c r="H53">
        <v>0.09</v>
      </c>
      <c r="I53" t="s">
        <v>103</v>
      </c>
      <c r="J53">
        <v>15.84</v>
      </c>
      <c r="Q53" s="22"/>
    </row>
    <row r="54" spans="1:17" x14ac:dyDescent="0.3">
      <c r="A54" t="s">
        <v>1184</v>
      </c>
      <c r="B54" s="17">
        <v>43287</v>
      </c>
      <c r="C54" t="s">
        <v>111</v>
      </c>
      <c r="D54" t="s">
        <v>109</v>
      </c>
      <c r="E54">
        <v>15</v>
      </c>
      <c r="F54">
        <v>150</v>
      </c>
      <c r="G54">
        <v>2250</v>
      </c>
      <c r="H54">
        <v>7.0000000000000007E-2</v>
      </c>
      <c r="I54" t="s">
        <v>105</v>
      </c>
      <c r="J54">
        <v>157.50000000000003</v>
      </c>
      <c r="Q54" s="21"/>
    </row>
    <row r="55" spans="1:17" x14ac:dyDescent="0.3">
      <c r="A55" t="s">
        <v>1185</v>
      </c>
      <c r="B55" s="17">
        <v>43287</v>
      </c>
      <c r="C55" t="s">
        <v>101</v>
      </c>
      <c r="D55" t="s">
        <v>99</v>
      </c>
      <c r="E55">
        <v>6</v>
      </c>
      <c r="F55">
        <v>230</v>
      </c>
      <c r="G55">
        <v>1380</v>
      </c>
      <c r="H55">
        <v>0.1</v>
      </c>
      <c r="I55" t="s">
        <v>107</v>
      </c>
      <c r="J55">
        <v>138</v>
      </c>
      <c r="Q55" s="22"/>
    </row>
    <row r="56" spans="1:17" x14ac:dyDescent="0.3">
      <c r="A56" t="s">
        <v>1186</v>
      </c>
      <c r="B56" s="17">
        <v>43287</v>
      </c>
      <c r="C56" t="s">
        <v>98</v>
      </c>
      <c r="D56" t="s">
        <v>96</v>
      </c>
      <c r="E56">
        <v>22</v>
      </c>
      <c r="F56">
        <v>40</v>
      </c>
      <c r="G56">
        <v>880</v>
      </c>
      <c r="H56">
        <v>0.02</v>
      </c>
      <c r="I56" t="s">
        <v>110</v>
      </c>
      <c r="J56">
        <v>17.600000000000001</v>
      </c>
      <c r="Q56" s="21"/>
    </row>
    <row r="57" spans="1:17" x14ac:dyDescent="0.3">
      <c r="A57" t="s">
        <v>1187</v>
      </c>
      <c r="B57" s="17">
        <v>43287</v>
      </c>
      <c r="C57" t="s">
        <v>98</v>
      </c>
      <c r="D57" t="s">
        <v>96</v>
      </c>
      <c r="E57">
        <v>15</v>
      </c>
      <c r="F57">
        <v>40</v>
      </c>
      <c r="G57">
        <v>600</v>
      </c>
      <c r="H57">
        <v>0.06</v>
      </c>
      <c r="I57" t="s">
        <v>112</v>
      </c>
      <c r="J57">
        <v>36</v>
      </c>
      <c r="Q57" s="22"/>
    </row>
    <row r="58" spans="1:17" x14ac:dyDescent="0.3">
      <c r="A58" t="s">
        <v>1188</v>
      </c>
      <c r="B58" s="17">
        <v>43287</v>
      </c>
      <c r="C58" t="s">
        <v>108</v>
      </c>
      <c r="D58" t="s">
        <v>104</v>
      </c>
      <c r="E58">
        <v>12</v>
      </c>
      <c r="F58">
        <v>16</v>
      </c>
      <c r="G58">
        <v>192</v>
      </c>
      <c r="H58">
        <v>0.03</v>
      </c>
      <c r="I58" t="s">
        <v>113</v>
      </c>
      <c r="J58">
        <v>5.76</v>
      </c>
      <c r="Q58" s="21"/>
    </row>
    <row r="59" spans="1:17" x14ac:dyDescent="0.3">
      <c r="A59" t="s">
        <v>1189</v>
      </c>
      <c r="B59" s="17">
        <v>43287</v>
      </c>
      <c r="C59" t="s">
        <v>108</v>
      </c>
      <c r="D59" t="s">
        <v>109</v>
      </c>
      <c r="E59">
        <v>22</v>
      </c>
      <c r="F59">
        <v>16</v>
      </c>
      <c r="G59">
        <v>352</v>
      </c>
      <c r="H59">
        <v>0.12</v>
      </c>
      <c r="I59" t="s">
        <v>114</v>
      </c>
      <c r="J59">
        <v>42.239999999999995</v>
      </c>
      <c r="Q59" s="22"/>
    </row>
    <row r="60" spans="1:17" x14ac:dyDescent="0.3">
      <c r="A60" t="s">
        <v>1190</v>
      </c>
      <c r="B60" s="17">
        <v>43287</v>
      </c>
      <c r="C60" t="s">
        <v>95</v>
      </c>
      <c r="D60" t="s">
        <v>96</v>
      </c>
      <c r="E60">
        <v>21</v>
      </c>
      <c r="F60">
        <v>80</v>
      </c>
      <c r="G60">
        <v>1680</v>
      </c>
      <c r="H60">
        <v>0.04</v>
      </c>
      <c r="I60" t="s">
        <v>115</v>
      </c>
      <c r="J60">
        <v>67.2</v>
      </c>
      <c r="Q60" s="21"/>
    </row>
    <row r="61" spans="1:17" x14ac:dyDescent="0.3">
      <c r="A61" t="s">
        <v>1191</v>
      </c>
      <c r="B61" s="17">
        <v>43287</v>
      </c>
      <c r="C61" t="s">
        <v>111</v>
      </c>
      <c r="D61" t="s">
        <v>96</v>
      </c>
      <c r="E61">
        <v>22</v>
      </c>
      <c r="F61">
        <v>150</v>
      </c>
      <c r="G61">
        <v>3300</v>
      </c>
      <c r="H61">
        <v>0.05</v>
      </c>
      <c r="I61" t="s">
        <v>116</v>
      </c>
      <c r="J61">
        <v>165</v>
      </c>
      <c r="Q61" s="22"/>
    </row>
    <row r="62" spans="1:17" x14ac:dyDescent="0.3">
      <c r="A62" t="s">
        <v>1192</v>
      </c>
      <c r="B62" s="17">
        <v>43287</v>
      </c>
      <c r="C62" t="s">
        <v>95</v>
      </c>
      <c r="D62" t="s">
        <v>109</v>
      </c>
      <c r="E62">
        <v>21</v>
      </c>
      <c r="F62">
        <v>80</v>
      </c>
      <c r="G62">
        <v>1680</v>
      </c>
      <c r="H62">
        <v>0.09</v>
      </c>
      <c r="I62" t="s">
        <v>97</v>
      </c>
      <c r="J62">
        <v>151.19999999999999</v>
      </c>
      <c r="Q62" s="21"/>
    </row>
    <row r="63" spans="1:17" x14ac:dyDescent="0.3">
      <c r="A63" t="s">
        <v>1193</v>
      </c>
      <c r="B63" s="17">
        <v>43287</v>
      </c>
      <c r="C63" t="s">
        <v>95</v>
      </c>
      <c r="D63" t="s">
        <v>106</v>
      </c>
      <c r="E63">
        <v>10</v>
      </c>
      <c r="F63">
        <v>80</v>
      </c>
      <c r="G63">
        <v>800</v>
      </c>
      <c r="H63">
        <v>0.1</v>
      </c>
      <c r="I63" t="s">
        <v>100</v>
      </c>
      <c r="J63">
        <v>80</v>
      </c>
      <c r="Q63" s="22"/>
    </row>
    <row r="64" spans="1:17" x14ac:dyDescent="0.3">
      <c r="A64" t="s">
        <v>1194</v>
      </c>
      <c r="B64" s="17">
        <v>43287</v>
      </c>
      <c r="C64" t="s">
        <v>101</v>
      </c>
      <c r="D64" t="s">
        <v>99</v>
      </c>
      <c r="E64">
        <v>15</v>
      </c>
      <c r="F64">
        <v>230</v>
      </c>
      <c r="G64">
        <v>3450</v>
      </c>
      <c r="H64">
        <v>0.09</v>
      </c>
      <c r="I64" t="s">
        <v>102</v>
      </c>
      <c r="J64">
        <v>310.5</v>
      </c>
      <c r="Q64" s="21"/>
    </row>
    <row r="65" spans="1:17" x14ac:dyDescent="0.3">
      <c r="A65" t="s">
        <v>1195</v>
      </c>
      <c r="B65" s="17">
        <v>43288</v>
      </c>
      <c r="C65" t="s">
        <v>95</v>
      </c>
      <c r="D65" t="s">
        <v>96</v>
      </c>
      <c r="E65">
        <v>14</v>
      </c>
      <c r="F65">
        <v>80</v>
      </c>
      <c r="G65">
        <v>1120</v>
      </c>
      <c r="H65">
        <v>0.08</v>
      </c>
      <c r="I65" t="s">
        <v>103</v>
      </c>
      <c r="J65">
        <v>89.600000000000009</v>
      </c>
      <c r="Q65" s="22"/>
    </row>
    <row r="66" spans="1:17" x14ac:dyDescent="0.3">
      <c r="A66" t="s">
        <v>1196</v>
      </c>
      <c r="B66" s="17">
        <v>43288</v>
      </c>
      <c r="C66" t="s">
        <v>95</v>
      </c>
      <c r="D66" t="s">
        <v>109</v>
      </c>
      <c r="E66">
        <v>10</v>
      </c>
      <c r="F66">
        <v>80</v>
      </c>
      <c r="G66">
        <v>800</v>
      </c>
      <c r="H66">
        <v>0.06</v>
      </c>
      <c r="I66" t="s">
        <v>105</v>
      </c>
      <c r="J66">
        <v>48</v>
      </c>
      <c r="Q66" s="21"/>
    </row>
    <row r="67" spans="1:17" x14ac:dyDescent="0.3">
      <c r="A67" t="s">
        <v>1197</v>
      </c>
      <c r="B67" s="17">
        <v>43288</v>
      </c>
      <c r="C67" t="s">
        <v>111</v>
      </c>
      <c r="D67" t="s">
        <v>96</v>
      </c>
      <c r="E67">
        <v>5</v>
      </c>
      <c r="F67">
        <v>150</v>
      </c>
      <c r="G67">
        <v>750</v>
      </c>
      <c r="H67">
        <v>0.11</v>
      </c>
      <c r="I67" t="s">
        <v>107</v>
      </c>
      <c r="J67">
        <v>82.5</v>
      </c>
      <c r="Q67" s="22"/>
    </row>
    <row r="68" spans="1:17" x14ac:dyDescent="0.3">
      <c r="A68" t="s">
        <v>1198</v>
      </c>
      <c r="B68" s="17">
        <v>43288</v>
      </c>
      <c r="C68" t="s">
        <v>101</v>
      </c>
      <c r="D68" t="s">
        <v>106</v>
      </c>
      <c r="E68">
        <v>3</v>
      </c>
      <c r="F68">
        <v>230</v>
      </c>
      <c r="G68">
        <v>690</v>
      </c>
      <c r="H68">
        <v>0.01</v>
      </c>
      <c r="I68" t="s">
        <v>110</v>
      </c>
      <c r="J68">
        <v>6.9</v>
      </c>
      <c r="Q68" s="21"/>
    </row>
    <row r="69" spans="1:17" x14ac:dyDescent="0.3">
      <c r="A69" t="s">
        <v>1199</v>
      </c>
      <c r="B69" s="17">
        <v>43288</v>
      </c>
      <c r="C69" t="s">
        <v>98</v>
      </c>
      <c r="D69" t="s">
        <v>106</v>
      </c>
      <c r="E69">
        <v>4</v>
      </c>
      <c r="F69">
        <v>40</v>
      </c>
      <c r="G69">
        <v>160</v>
      </c>
      <c r="H69">
        <v>0.05</v>
      </c>
      <c r="I69" t="s">
        <v>112</v>
      </c>
      <c r="J69">
        <v>8</v>
      </c>
      <c r="Q69" s="22"/>
    </row>
    <row r="70" spans="1:17" x14ac:dyDescent="0.3">
      <c r="A70" t="s">
        <v>1200</v>
      </c>
      <c r="B70" s="17">
        <v>43288</v>
      </c>
      <c r="C70" t="s">
        <v>111</v>
      </c>
      <c r="D70" t="s">
        <v>104</v>
      </c>
      <c r="E70">
        <v>18</v>
      </c>
      <c r="F70">
        <v>150</v>
      </c>
      <c r="G70">
        <v>2700</v>
      </c>
      <c r="H70">
        <v>0.06</v>
      </c>
      <c r="I70" t="s">
        <v>113</v>
      </c>
      <c r="J70">
        <v>162</v>
      </c>
      <c r="Q70" s="21"/>
    </row>
    <row r="71" spans="1:17" x14ac:dyDescent="0.3">
      <c r="A71" t="s">
        <v>1201</v>
      </c>
      <c r="B71" s="17">
        <v>43288</v>
      </c>
      <c r="C71" t="s">
        <v>98</v>
      </c>
      <c r="D71" t="s">
        <v>109</v>
      </c>
      <c r="E71">
        <v>20</v>
      </c>
      <c r="F71">
        <v>40</v>
      </c>
      <c r="G71">
        <v>800</v>
      </c>
      <c r="H71">
        <v>0.1</v>
      </c>
      <c r="I71" t="s">
        <v>114</v>
      </c>
      <c r="J71">
        <v>80</v>
      </c>
      <c r="Q71" s="22"/>
    </row>
    <row r="72" spans="1:17" x14ac:dyDescent="0.3">
      <c r="A72" t="s">
        <v>1202</v>
      </c>
      <c r="B72" s="17">
        <v>43288</v>
      </c>
      <c r="C72" t="s">
        <v>95</v>
      </c>
      <c r="D72" t="s">
        <v>106</v>
      </c>
      <c r="E72">
        <v>16</v>
      </c>
      <c r="F72">
        <v>80</v>
      </c>
      <c r="G72">
        <v>1280</v>
      </c>
      <c r="H72">
        <v>0.05</v>
      </c>
      <c r="I72" t="s">
        <v>97</v>
      </c>
      <c r="J72">
        <v>64</v>
      </c>
      <c r="Q72" s="21"/>
    </row>
    <row r="73" spans="1:17" x14ac:dyDescent="0.3">
      <c r="A73" t="s">
        <v>1203</v>
      </c>
      <c r="B73" s="17">
        <v>43288</v>
      </c>
      <c r="C73" t="s">
        <v>98</v>
      </c>
      <c r="D73" t="s">
        <v>104</v>
      </c>
      <c r="E73">
        <v>4</v>
      </c>
      <c r="F73">
        <v>40</v>
      </c>
      <c r="G73">
        <v>160</v>
      </c>
      <c r="H73">
        <v>0.06</v>
      </c>
      <c r="I73" t="s">
        <v>100</v>
      </c>
      <c r="J73">
        <v>9.6</v>
      </c>
      <c r="Q73" s="22"/>
    </row>
    <row r="74" spans="1:17" x14ac:dyDescent="0.3">
      <c r="A74" t="s">
        <v>1204</v>
      </c>
      <c r="B74" s="17">
        <v>43288</v>
      </c>
      <c r="C74" t="s">
        <v>98</v>
      </c>
      <c r="D74" t="s">
        <v>99</v>
      </c>
      <c r="E74">
        <v>4</v>
      </c>
      <c r="F74">
        <v>40</v>
      </c>
      <c r="G74">
        <v>160</v>
      </c>
      <c r="H74">
        <v>0.03</v>
      </c>
      <c r="I74" t="s">
        <v>102</v>
      </c>
      <c r="J74">
        <v>4.8</v>
      </c>
      <c r="Q74" s="21"/>
    </row>
    <row r="75" spans="1:17" x14ac:dyDescent="0.3">
      <c r="A75" t="s">
        <v>1205</v>
      </c>
      <c r="B75" s="17">
        <v>43288</v>
      </c>
      <c r="C75" t="s">
        <v>98</v>
      </c>
      <c r="D75" t="s">
        <v>99</v>
      </c>
      <c r="E75">
        <v>15</v>
      </c>
      <c r="F75">
        <v>40</v>
      </c>
      <c r="G75">
        <v>600</v>
      </c>
      <c r="H75">
        <v>0.02</v>
      </c>
      <c r="I75" t="s">
        <v>103</v>
      </c>
      <c r="J75">
        <v>12</v>
      </c>
      <c r="Q75" s="22"/>
    </row>
    <row r="76" spans="1:17" x14ac:dyDescent="0.3">
      <c r="A76" t="s">
        <v>1206</v>
      </c>
      <c r="B76" s="17">
        <v>43288</v>
      </c>
      <c r="C76" t="s">
        <v>98</v>
      </c>
      <c r="D76" t="s">
        <v>104</v>
      </c>
      <c r="E76">
        <v>20</v>
      </c>
      <c r="F76">
        <v>40</v>
      </c>
      <c r="G76">
        <v>800</v>
      </c>
      <c r="H76">
        <v>0.01</v>
      </c>
      <c r="I76" t="s">
        <v>105</v>
      </c>
      <c r="J76">
        <v>8</v>
      </c>
      <c r="Q76" s="21"/>
    </row>
    <row r="77" spans="1:17" x14ac:dyDescent="0.3">
      <c r="A77" t="s">
        <v>1207</v>
      </c>
      <c r="B77" s="17">
        <v>43288</v>
      </c>
      <c r="C77" t="s">
        <v>108</v>
      </c>
      <c r="D77" t="s">
        <v>109</v>
      </c>
      <c r="E77">
        <v>14</v>
      </c>
      <c r="F77">
        <v>16</v>
      </c>
      <c r="G77">
        <v>224</v>
      </c>
      <c r="H77">
        <v>0.06</v>
      </c>
      <c r="I77" t="s">
        <v>107</v>
      </c>
      <c r="J77">
        <v>13.44</v>
      </c>
      <c r="Q77" s="22"/>
    </row>
    <row r="78" spans="1:17" x14ac:dyDescent="0.3">
      <c r="A78" t="s">
        <v>1208</v>
      </c>
      <c r="B78" s="17">
        <v>43289</v>
      </c>
      <c r="C78" t="s">
        <v>111</v>
      </c>
      <c r="D78" t="s">
        <v>104</v>
      </c>
      <c r="E78">
        <v>11</v>
      </c>
      <c r="F78">
        <v>150</v>
      </c>
      <c r="G78">
        <v>1650</v>
      </c>
      <c r="H78">
        <v>0.11</v>
      </c>
      <c r="I78" t="s">
        <v>110</v>
      </c>
      <c r="J78">
        <v>181.5</v>
      </c>
      <c r="Q78" s="21"/>
    </row>
    <row r="79" spans="1:17" x14ac:dyDescent="0.3">
      <c r="A79" t="s">
        <v>1209</v>
      </c>
      <c r="B79" s="17">
        <v>43289</v>
      </c>
      <c r="C79" t="s">
        <v>111</v>
      </c>
      <c r="D79" t="s">
        <v>104</v>
      </c>
      <c r="E79">
        <v>9</v>
      </c>
      <c r="F79">
        <v>150</v>
      </c>
      <c r="G79">
        <v>1350</v>
      </c>
      <c r="H79">
        <v>0.02</v>
      </c>
      <c r="I79" t="s">
        <v>112</v>
      </c>
      <c r="J79">
        <v>27</v>
      </c>
      <c r="Q79" s="22"/>
    </row>
    <row r="80" spans="1:17" x14ac:dyDescent="0.3">
      <c r="A80" t="s">
        <v>1210</v>
      </c>
      <c r="B80" s="17">
        <v>43289</v>
      </c>
      <c r="C80" t="s">
        <v>108</v>
      </c>
      <c r="D80" t="s">
        <v>109</v>
      </c>
      <c r="E80">
        <v>11</v>
      </c>
      <c r="F80">
        <v>16</v>
      </c>
      <c r="G80">
        <v>176</v>
      </c>
      <c r="H80">
        <v>0.12</v>
      </c>
      <c r="I80" t="s">
        <v>113</v>
      </c>
      <c r="J80">
        <v>21.119999999999997</v>
      </c>
      <c r="Q80" s="21"/>
    </row>
    <row r="81" spans="1:17" x14ac:dyDescent="0.3">
      <c r="A81" t="s">
        <v>1211</v>
      </c>
      <c r="B81" s="17">
        <v>43289</v>
      </c>
      <c r="C81" t="s">
        <v>98</v>
      </c>
      <c r="D81" t="s">
        <v>104</v>
      </c>
      <c r="E81">
        <v>13</v>
      </c>
      <c r="F81">
        <v>40</v>
      </c>
      <c r="G81">
        <v>520</v>
      </c>
      <c r="H81">
        <v>0.02</v>
      </c>
      <c r="I81" t="s">
        <v>114</v>
      </c>
      <c r="J81">
        <v>10.4</v>
      </c>
      <c r="Q81" s="22"/>
    </row>
    <row r="82" spans="1:17" x14ac:dyDescent="0.3">
      <c r="A82" t="s">
        <v>1212</v>
      </c>
      <c r="B82" s="17">
        <v>43289</v>
      </c>
      <c r="C82" t="s">
        <v>98</v>
      </c>
      <c r="D82" t="s">
        <v>104</v>
      </c>
      <c r="E82">
        <v>4</v>
      </c>
      <c r="F82">
        <v>40</v>
      </c>
      <c r="G82">
        <v>160</v>
      </c>
      <c r="H82">
        <v>0.1</v>
      </c>
      <c r="I82" t="s">
        <v>115</v>
      </c>
      <c r="J82">
        <v>16</v>
      </c>
      <c r="Q82" s="21"/>
    </row>
    <row r="83" spans="1:17" x14ac:dyDescent="0.3">
      <c r="A83" t="s">
        <v>1213</v>
      </c>
      <c r="B83" s="17">
        <v>43289</v>
      </c>
      <c r="C83" t="s">
        <v>101</v>
      </c>
      <c r="D83" t="s">
        <v>96</v>
      </c>
      <c r="E83">
        <v>3</v>
      </c>
      <c r="F83">
        <v>230</v>
      </c>
      <c r="G83">
        <v>690</v>
      </c>
      <c r="H83">
        <v>0.11</v>
      </c>
      <c r="I83" t="s">
        <v>116</v>
      </c>
      <c r="J83">
        <v>75.900000000000006</v>
      </c>
      <c r="Q83" s="22"/>
    </row>
    <row r="84" spans="1:17" x14ac:dyDescent="0.3">
      <c r="A84" t="s">
        <v>1214</v>
      </c>
      <c r="B84" s="17">
        <v>43289</v>
      </c>
      <c r="C84" t="s">
        <v>95</v>
      </c>
      <c r="D84" t="s">
        <v>104</v>
      </c>
      <c r="E84">
        <v>6</v>
      </c>
      <c r="F84">
        <v>80</v>
      </c>
      <c r="G84">
        <v>480</v>
      </c>
      <c r="H84">
        <v>0.09</v>
      </c>
      <c r="I84" t="s">
        <v>97</v>
      </c>
      <c r="J84">
        <v>43.199999999999996</v>
      </c>
      <c r="Q84" s="21"/>
    </row>
    <row r="85" spans="1:17" x14ac:dyDescent="0.3">
      <c r="A85" t="s">
        <v>1215</v>
      </c>
      <c r="B85" s="17">
        <v>43289</v>
      </c>
      <c r="C85" t="s">
        <v>111</v>
      </c>
      <c r="D85" t="s">
        <v>96</v>
      </c>
      <c r="E85">
        <v>9</v>
      </c>
      <c r="F85">
        <v>150</v>
      </c>
      <c r="G85">
        <v>1350</v>
      </c>
      <c r="H85">
        <v>0.1</v>
      </c>
      <c r="I85" t="s">
        <v>100</v>
      </c>
      <c r="J85">
        <v>135</v>
      </c>
      <c r="Q85" s="22"/>
    </row>
    <row r="86" spans="1:17" x14ac:dyDescent="0.3">
      <c r="A86" t="s">
        <v>1216</v>
      </c>
      <c r="B86" s="17">
        <v>43289</v>
      </c>
      <c r="C86" t="s">
        <v>95</v>
      </c>
      <c r="D86" t="s">
        <v>99</v>
      </c>
      <c r="E86">
        <v>14</v>
      </c>
      <c r="F86">
        <v>80</v>
      </c>
      <c r="G86">
        <v>1120</v>
      </c>
      <c r="H86">
        <v>0.11</v>
      </c>
      <c r="I86" t="s">
        <v>102</v>
      </c>
      <c r="J86">
        <v>123.2</v>
      </c>
      <c r="Q86" s="21"/>
    </row>
    <row r="87" spans="1:17" x14ac:dyDescent="0.3">
      <c r="A87" t="s">
        <v>1217</v>
      </c>
      <c r="B87" s="17">
        <v>43289</v>
      </c>
      <c r="C87" t="s">
        <v>95</v>
      </c>
      <c r="D87" t="s">
        <v>96</v>
      </c>
      <c r="E87">
        <v>18</v>
      </c>
      <c r="F87">
        <v>80</v>
      </c>
      <c r="G87">
        <v>1440</v>
      </c>
      <c r="H87">
        <v>0.02</v>
      </c>
      <c r="I87" t="s">
        <v>103</v>
      </c>
      <c r="J87">
        <v>28.8</v>
      </c>
      <c r="Q87" s="22"/>
    </row>
    <row r="88" spans="1:17" x14ac:dyDescent="0.3">
      <c r="A88" t="s">
        <v>1218</v>
      </c>
      <c r="B88" s="17">
        <v>43289</v>
      </c>
      <c r="C88" t="s">
        <v>98</v>
      </c>
      <c r="D88" t="s">
        <v>96</v>
      </c>
      <c r="E88">
        <v>20</v>
      </c>
      <c r="F88">
        <v>40</v>
      </c>
      <c r="G88">
        <v>800</v>
      </c>
      <c r="H88">
        <v>0.04</v>
      </c>
      <c r="I88" t="s">
        <v>105</v>
      </c>
      <c r="J88">
        <v>32</v>
      </c>
      <c r="Q88" s="21"/>
    </row>
    <row r="89" spans="1:17" x14ac:dyDescent="0.3">
      <c r="A89" t="s">
        <v>1219</v>
      </c>
      <c r="B89" s="17">
        <v>43290</v>
      </c>
      <c r="C89" t="s">
        <v>108</v>
      </c>
      <c r="D89" t="s">
        <v>104</v>
      </c>
      <c r="E89">
        <v>8</v>
      </c>
      <c r="F89">
        <v>16</v>
      </c>
      <c r="G89">
        <v>128</v>
      </c>
      <c r="H89">
        <v>0.03</v>
      </c>
      <c r="I89" t="s">
        <v>107</v>
      </c>
      <c r="J89">
        <v>3.84</v>
      </c>
      <c r="Q89" s="22"/>
    </row>
    <row r="90" spans="1:17" x14ac:dyDescent="0.3">
      <c r="A90" t="s">
        <v>1220</v>
      </c>
      <c r="B90" s="17">
        <v>43290</v>
      </c>
      <c r="C90" t="s">
        <v>95</v>
      </c>
      <c r="D90" t="s">
        <v>99</v>
      </c>
      <c r="E90">
        <v>14</v>
      </c>
      <c r="F90">
        <v>80</v>
      </c>
      <c r="G90">
        <v>1120</v>
      </c>
      <c r="H90">
        <v>0.06</v>
      </c>
      <c r="I90" t="s">
        <v>110</v>
      </c>
      <c r="J90">
        <v>67.2</v>
      </c>
      <c r="Q90" s="21"/>
    </row>
    <row r="91" spans="1:17" x14ac:dyDescent="0.3">
      <c r="A91" t="s">
        <v>1221</v>
      </c>
      <c r="B91" s="17">
        <v>43290</v>
      </c>
      <c r="C91" t="s">
        <v>111</v>
      </c>
      <c r="D91" t="s">
        <v>96</v>
      </c>
      <c r="E91">
        <v>20</v>
      </c>
      <c r="F91">
        <v>150</v>
      </c>
      <c r="G91">
        <v>3000</v>
      </c>
      <c r="H91">
        <v>0.01</v>
      </c>
      <c r="I91" t="s">
        <v>112</v>
      </c>
      <c r="J91">
        <v>30</v>
      </c>
      <c r="Q91" s="22"/>
    </row>
    <row r="92" spans="1:17" x14ac:dyDescent="0.3">
      <c r="A92" t="s">
        <v>1222</v>
      </c>
      <c r="B92" s="17">
        <v>43290</v>
      </c>
      <c r="C92" t="s">
        <v>98</v>
      </c>
      <c r="D92" t="s">
        <v>106</v>
      </c>
      <c r="E92">
        <v>15</v>
      </c>
      <c r="F92">
        <v>40</v>
      </c>
      <c r="G92">
        <v>600</v>
      </c>
      <c r="H92">
        <v>0.03</v>
      </c>
      <c r="I92" t="s">
        <v>113</v>
      </c>
      <c r="J92">
        <v>18</v>
      </c>
      <c r="Q92" s="21"/>
    </row>
    <row r="93" spans="1:17" x14ac:dyDescent="0.3">
      <c r="A93" t="s">
        <v>1223</v>
      </c>
      <c r="B93" s="17">
        <v>43290</v>
      </c>
      <c r="C93" t="s">
        <v>98</v>
      </c>
      <c r="D93" t="s">
        <v>99</v>
      </c>
      <c r="E93">
        <v>18</v>
      </c>
      <c r="F93">
        <v>40</v>
      </c>
      <c r="G93">
        <v>720</v>
      </c>
      <c r="H93">
        <v>0.08</v>
      </c>
      <c r="I93" t="s">
        <v>114</v>
      </c>
      <c r="J93">
        <v>57.6</v>
      </c>
      <c r="Q93" s="22"/>
    </row>
    <row r="94" spans="1:17" x14ac:dyDescent="0.3">
      <c r="A94" t="s">
        <v>1224</v>
      </c>
      <c r="B94" s="17">
        <v>43290</v>
      </c>
      <c r="C94" t="s">
        <v>98</v>
      </c>
      <c r="D94" t="s">
        <v>109</v>
      </c>
      <c r="E94">
        <v>11</v>
      </c>
      <c r="F94">
        <v>40</v>
      </c>
      <c r="G94">
        <v>440</v>
      </c>
      <c r="H94">
        <v>0.05</v>
      </c>
      <c r="I94" t="s">
        <v>115</v>
      </c>
      <c r="J94">
        <v>22</v>
      </c>
      <c r="Q94" s="21"/>
    </row>
    <row r="95" spans="1:17" x14ac:dyDescent="0.3">
      <c r="A95" t="s">
        <v>1225</v>
      </c>
      <c r="B95" s="17">
        <v>43291</v>
      </c>
      <c r="C95" t="s">
        <v>98</v>
      </c>
      <c r="D95" t="s">
        <v>109</v>
      </c>
      <c r="E95">
        <v>23</v>
      </c>
      <c r="F95">
        <v>40</v>
      </c>
      <c r="G95">
        <v>920</v>
      </c>
      <c r="H95">
        <v>0.04</v>
      </c>
      <c r="I95" t="s">
        <v>116</v>
      </c>
      <c r="J95">
        <v>36.800000000000004</v>
      </c>
      <c r="Q95" s="22"/>
    </row>
    <row r="96" spans="1:17" x14ac:dyDescent="0.3">
      <c r="A96" t="s">
        <v>1226</v>
      </c>
      <c r="B96" s="17">
        <v>43291</v>
      </c>
      <c r="C96" t="s">
        <v>108</v>
      </c>
      <c r="D96" t="s">
        <v>109</v>
      </c>
      <c r="E96">
        <v>17</v>
      </c>
      <c r="F96">
        <v>16</v>
      </c>
      <c r="G96">
        <v>272</v>
      </c>
      <c r="H96">
        <v>0.1</v>
      </c>
      <c r="I96" t="s">
        <v>97</v>
      </c>
      <c r="J96">
        <v>27.200000000000003</v>
      </c>
      <c r="Q96" s="21"/>
    </row>
    <row r="97" spans="1:17" x14ac:dyDescent="0.3">
      <c r="A97" t="s">
        <v>1227</v>
      </c>
      <c r="B97" s="17">
        <v>43291</v>
      </c>
      <c r="C97" t="s">
        <v>108</v>
      </c>
      <c r="D97" t="s">
        <v>99</v>
      </c>
      <c r="E97">
        <v>4</v>
      </c>
      <c r="F97">
        <v>16</v>
      </c>
      <c r="G97">
        <v>64</v>
      </c>
      <c r="H97">
        <v>7.0000000000000007E-2</v>
      </c>
      <c r="I97" t="s">
        <v>100</v>
      </c>
      <c r="J97">
        <v>4.4800000000000004</v>
      </c>
      <c r="Q97" s="22"/>
    </row>
    <row r="98" spans="1:17" x14ac:dyDescent="0.3">
      <c r="A98" t="s">
        <v>1228</v>
      </c>
      <c r="B98" s="17">
        <v>43291</v>
      </c>
      <c r="C98" t="s">
        <v>95</v>
      </c>
      <c r="D98" t="s">
        <v>104</v>
      </c>
      <c r="E98">
        <v>23</v>
      </c>
      <c r="F98">
        <v>80</v>
      </c>
      <c r="G98">
        <v>1840</v>
      </c>
      <c r="H98">
        <v>0.05</v>
      </c>
      <c r="I98" t="s">
        <v>102</v>
      </c>
      <c r="J98">
        <v>92</v>
      </c>
      <c r="Q98" s="21"/>
    </row>
    <row r="99" spans="1:17" x14ac:dyDescent="0.3">
      <c r="A99" t="s">
        <v>1229</v>
      </c>
      <c r="B99" s="17">
        <v>43291</v>
      </c>
      <c r="C99" t="s">
        <v>101</v>
      </c>
      <c r="D99" t="s">
        <v>104</v>
      </c>
      <c r="E99">
        <v>10</v>
      </c>
      <c r="F99">
        <v>230</v>
      </c>
      <c r="G99">
        <v>2300</v>
      </c>
      <c r="H99">
        <v>0.02</v>
      </c>
      <c r="I99" t="s">
        <v>103</v>
      </c>
      <c r="J99">
        <v>46</v>
      </c>
      <c r="Q99" s="22"/>
    </row>
    <row r="100" spans="1:17" x14ac:dyDescent="0.3">
      <c r="A100" t="s">
        <v>1230</v>
      </c>
      <c r="B100" s="17">
        <v>43291</v>
      </c>
      <c r="C100" t="s">
        <v>108</v>
      </c>
      <c r="D100" t="s">
        <v>104</v>
      </c>
      <c r="E100">
        <v>14</v>
      </c>
      <c r="F100">
        <v>16</v>
      </c>
      <c r="G100">
        <v>224</v>
      </c>
      <c r="H100">
        <v>0.01</v>
      </c>
      <c r="I100" t="s">
        <v>105</v>
      </c>
      <c r="J100">
        <v>2.2400000000000002</v>
      </c>
      <c r="Q100" s="21"/>
    </row>
    <row r="101" spans="1:17" x14ac:dyDescent="0.3">
      <c r="A101" t="s">
        <v>1231</v>
      </c>
      <c r="B101" s="17">
        <v>43291</v>
      </c>
      <c r="C101" t="s">
        <v>98</v>
      </c>
      <c r="D101" t="s">
        <v>99</v>
      </c>
      <c r="E101">
        <v>19</v>
      </c>
      <c r="F101">
        <v>40</v>
      </c>
      <c r="G101">
        <v>760</v>
      </c>
      <c r="H101">
        <v>0.1</v>
      </c>
      <c r="I101" t="s">
        <v>107</v>
      </c>
      <c r="J101">
        <v>76</v>
      </c>
      <c r="Q101" s="22"/>
    </row>
    <row r="102" spans="1:17" x14ac:dyDescent="0.3">
      <c r="A102" t="s">
        <v>1232</v>
      </c>
      <c r="B102" s="17">
        <v>43291</v>
      </c>
      <c r="C102" t="s">
        <v>95</v>
      </c>
      <c r="D102" t="s">
        <v>109</v>
      </c>
      <c r="E102">
        <v>22</v>
      </c>
      <c r="F102">
        <v>80</v>
      </c>
      <c r="G102">
        <v>1760</v>
      </c>
      <c r="H102">
        <v>0.09</v>
      </c>
      <c r="I102" t="s">
        <v>110</v>
      </c>
      <c r="J102">
        <v>158.4</v>
      </c>
      <c r="Q102" s="21"/>
    </row>
    <row r="103" spans="1:17" x14ac:dyDescent="0.3">
      <c r="A103" t="s">
        <v>1233</v>
      </c>
      <c r="B103" s="17">
        <v>43291</v>
      </c>
      <c r="C103" t="s">
        <v>108</v>
      </c>
      <c r="D103" t="s">
        <v>96</v>
      </c>
      <c r="E103">
        <v>18</v>
      </c>
      <c r="F103">
        <v>16</v>
      </c>
      <c r="G103">
        <v>288</v>
      </c>
      <c r="H103">
        <v>0.05</v>
      </c>
      <c r="I103" t="s">
        <v>112</v>
      </c>
      <c r="J103">
        <v>14.4</v>
      </c>
      <c r="Q103" s="22"/>
    </row>
    <row r="104" spans="1:17" x14ac:dyDescent="0.3">
      <c r="A104" t="s">
        <v>1234</v>
      </c>
      <c r="B104" s="17">
        <v>43291</v>
      </c>
      <c r="C104" t="s">
        <v>98</v>
      </c>
      <c r="D104" t="s">
        <v>96</v>
      </c>
      <c r="E104">
        <v>18</v>
      </c>
      <c r="F104">
        <v>40</v>
      </c>
      <c r="G104">
        <v>720</v>
      </c>
      <c r="H104">
        <v>0.11</v>
      </c>
      <c r="I104" t="s">
        <v>113</v>
      </c>
      <c r="J104">
        <v>79.2</v>
      </c>
      <c r="Q104" s="21"/>
    </row>
    <row r="105" spans="1:17" x14ac:dyDescent="0.3">
      <c r="A105" t="s">
        <v>1235</v>
      </c>
      <c r="B105" s="17">
        <v>43291</v>
      </c>
      <c r="C105" t="s">
        <v>98</v>
      </c>
      <c r="D105" t="s">
        <v>109</v>
      </c>
      <c r="E105">
        <v>21</v>
      </c>
      <c r="F105">
        <v>40</v>
      </c>
      <c r="G105">
        <v>840</v>
      </c>
      <c r="H105">
        <v>0.01</v>
      </c>
      <c r="I105" t="s">
        <v>114</v>
      </c>
      <c r="J105">
        <v>8.4</v>
      </c>
      <c r="Q105" s="22"/>
    </row>
    <row r="106" spans="1:17" x14ac:dyDescent="0.3">
      <c r="A106" t="s">
        <v>1236</v>
      </c>
      <c r="B106" s="17">
        <v>43291</v>
      </c>
      <c r="C106" t="s">
        <v>95</v>
      </c>
      <c r="D106" t="s">
        <v>96</v>
      </c>
      <c r="E106">
        <v>6</v>
      </c>
      <c r="F106">
        <v>80</v>
      </c>
      <c r="G106">
        <v>480</v>
      </c>
      <c r="H106">
        <v>7.0000000000000007E-2</v>
      </c>
      <c r="I106" t="s">
        <v>115</v>
      </c>
      <c r="J106">
        <v>33.6</v>
      </c>
      <c r="Q106" s="21"/>
    </row>
    <row r="107" spans="1:17" x14ac:dyDescent="0.3">
      <c r="A107" t="s">
        <v>1237</v>
      </c>
      <c r="B107" s="17">
        <v>43291</v>
      </c>
      <c r="C107" t="s">
        <v>111</v>
      </c>
      <c r="D107" t="s">
        <v>109</v>
      </c>
      <c r="E107">
        <v>17</v>
      </c>
      <c r="F107">
        <v>150</v>
      </c>
      <c r="G107">
        <v>2550</v>
      </c>
      <c r="H107">
        <v>0.02</v>
      </c>
      <c r="I107" t="s">
        <v>116</v>
      </c>
      <c r="J107">
        <v>51</v>
      </c>
      <c r="Q107" s="22"/>
    </row>
    <row r="108" spans="1:17" x14ac:dyDescent="0.3">
      <c r="A108" t="s">
        <v>1238</v>
      </c>
      <c r="B108" s="17">
        <v>43291</v>
      </c>
      <c r="C108" t="s">
        <v>95</v>
      </c>
      <c r="D108" t="s">
        <v>104</v>
      </c>
      <c r="E108">
        <v>16</v>
      </c>
      <c r="F108">
        <v>80</v>
      </c>
      <c r="G108">
        <v>1280</v>
      </c>
      <c r="H108">
        <v>0.02</v>
      </c>
      <c r="I108" t="s">
        <v>97</v>
      </c>
      <c r="J108">
        <v>25.6</v>
      </c>
      <c r="Q108" s="21"/>
    </row>
    <row r="109" spans="1:17" x14ac:dyDescent="0.3">
      <c r="A109" t="s">
        <v>1239</v>
      </c>
      <c r="B109" s="17">
        <v>43291</v>
      </c>
      <c r="C109" t="s">
        <v>98</v>
      </c>
      <c r="D109" t="s">
        <v>99</v>
      </c>
      <c r="E109">
        <v>15</v>
      </c>
      <c r="F109">
        <v>40</v>
      </c>
      <c r="G109">
        <v>600</v>
      </c>
      <c r="H109">
        <v>0.04</v>
      </c>
      <c r="I109" t="s">
        <v>100</v>
      </c>
      <c r="J109">
        <v>24</v>
      </c>
      <c r="Q109" s="22"/>
    </row>
    <row r="110" spans="1:17" x14ac:dyDescent="0.3">
      <c r="A110" t="s">
        <v>1240</v>
      </c>
      <c r="B110" s="17">
        <v>43291</v>
      </c>
      <c r="C110" t="s">
        <v>101</v>
      </c>
      <c r="D110" t="s">
        <v>106</v>
      </c>
      <c r="E110">
        <v>2</v>
      </c>
      <c r="F110">
        <v>230</v>
      </c>
      <c r="G110">
        <v>460</v>
      </c>
      <c r="H110">
        <v>0.08</v>
      </c>
      <c r="I110" t="s">
        <v>102</v>
      </c>
      <c r="J110">
        <v>36.800000000000004</v>
      </c>
      <c r="Q110" s="21"/>
    </row>
    <row r="111" spans="1:17" x14ac:dyDescent="0.3">
      <c r="A111" t="s">
        <v>1241</v>
      </c>
      <c r="B111" s="17">
        <v>43291</v>
      </c>
      <c r="C111" t="s">
        <v>98</v>
      </c>
      <c r="D111" t="s">
        <v>109</v>
      </c>
      <c r="E111">
        <v>3</v>
      </c>
      <c r="F111">
        <v>40</v>
      </c>
      <c r="G111">
        <v>120</v>
      </c>
      <c r="H111">
        <v>0.03</v>
      </c>
      <c r="I111" t="s">
        <v>103</v>
      </c>
      <c r="J111">
        <v>3.5999999999999996</v>
      </c>
      <c r="Q111" s="22"/>
    </row>
    <row r="112" spans="1:17" x14ac:dyDescent="0.3">
      <c r="A112" t="s">
        <v>1242</v>
      </c>
      <c r="B112" s="17">
        <v>43291</v>
      </c>
      <c r="C112" t="s">
        <v>101</v>
      </c>
      <c r="D112" t="s">
        <v>109</v>
      </c>
      <c r="E112">
        <v>21</v>
      </c>
      <c r="F112">
        <v>230</v>
      </c>
      <c r="G112">
        <v>4830</v>
      </c>
      <c r="H112">
        <v>0.05</v>
      </c>
      <c r="I112" t="s">
        <v>105</v>
      </c>
      <c r="J112">
        <v>241.5</v>
      </c>
      <c r="Q112" s="21"/>
    </row>
    <row r="113" spans="1:17" x14ac:dyDescent="0.3">
      <c r="A113" t="s">
        <v>1243</v>
      </c>
      <c r="B113" s="17">
        <v>43291</v>
      </c>
      <c r="C113" t="s">
        <v>111</v>
      </c>
      <c r="D113" t="s">
        <v>96</v>
      </c>
      <c r="E113">
        <v>11</v>
      </c>
      <c r="F113">
        <v>150</v>
      </c>
      <c r="G113">
        <v>1650</v>
      </c>
      <c r="H113">
        <v>0.05</v>
      </c>
      <c r="I113" t="s">
        <v>107</v>
      </c>
      <c r="J113">
        <v>82.5</v>
      </c>
      <c r="Q113" s="22"/>
    </row>
    <row r="114" spans="1:17" x14ac:dyDescent="0.3">
      <c r="A114" t="s">
        <v>1244</v>
      </c>
      <c r="B114" s="17">
        <v>43292</v>
      </c>
      <c r="C114" t="s">
        <v>111</v>
      </c>
      <c r="D114" t="s">
        <v>99</v>
      </c>
      <c r="E114">
        <v>15</v>
      </c>
      <c r="F114">
        <v>150</v>
      </c>
      <c r="G114">
        <v>2250</v>
      </c>
      <c r="H114">
        <v>0.02</v>
      </c>
      <c r="I114" t="s">
        <v>110</v>
      </c>
      <c r="J114">
        <v>45</v>
      </c>
      <c r="Q114" s="21"/>
    </row>
    <row r="115" spans="1:17" x14ac:dyDescent="0.3">
      <c r="A115" t="s">
        <v>1245</v>
      </c>
      <c r="B115" s="17">
        <v>43292</v>
      </c>
      <c r="C115" t="s">
        <v>95</v>
      </c>
      <c r="D115" t="s">
        <v>106</v>
      </c>
      <c r="E115">
        <v>16</v>
      </c>
      <c r="F115">
        <v>80</v>
      </c>
      <c r="G115">
        <v>1280</v>
      </c>
      <c r="H115">
        <v>0.1</v>
      </c>
      <c r="I115" t="s">
        <v>112</v>
      </c>
      <c r="J115">
        <v>128</v>
      </c>
      <c r="Q115" s="22"/>
    </row>
    <row r="116" spans="1:17" x14ac:dyDescent="0.3">
      <c r="A116" t="s">
        <v>1246</v>
      </c>
      <c r="B116" s="17">
        <v>43292</v>
      </c>
      <c r="C116" t="s">
        <v>101</v>
      </c>
      <c r="D116" t="s">
        <v>109</v>
      </c>
      <c r="E116">
        <v>17</v>
      </c>
      <c r="F116">
        <v>230</v>
      </c>
      <c r="G116">
        <v>3910</v>
      </c>
      <c r="H116">
        <v>0.11</v>
      </c>
      <c r="I116" t="s">
        <v>113</v>
      </c>
      <c r="J116">
        <v>430.1</v>
      </c>
      <c r="Q116" s="21"/>
    </row>
    <row r="117" spans="1:17" x14ac:dyDescent="0.3">
      <c r="A117" t="s">
        <v>1247</v>
      </c>
      <c r="B117" s="17">
        <v>43292</v>
      </c>
      <c r="C117" t="s">
        <v>98</v>
      </c>
      <c r="D117" t="s">
        <v>109</v>
      </c>
      <c r="E117">
        <v>16</v>
      </c>
      <c r="F117">
        <v>40</v>
      </c>
      <c r="G117">
        <v>640</v>
      </c>
      <c r="H117">
        <v>0.11</v>
      </c>
      <c r="I117" t="s">
        <v>114</v>
      </c>
      <c r="J117">
        <v>70.400000000000006</v>
      </c>
      <c r="Q117" s="22"/>
    </row>
    <row r="118" spans="1:17" x14ac:dyDescent="0.3">
      <c r="A118" t="s">
        <v>1248</v>
      </c>
      <c r="B118" s="17">
        <v>43292</v>
      </c>
      <c r="C118" t="s">
        <v>95</v>
      </c>
      <c r="D118" t="s">
        <v>106</v>
      </c>
      <c r="E118">
        <v>2</v>
      </c>
      <c r="F118">
        <v>80</v>
      </c>
      <c r="G118">
        <v>160</v>
      </c>
      <c r="H118">
        <v>0.08</v>
      </c>
      <c r="I118" t="s">
        <v>115</v>
      </c>
      <c r="J118">
        <v>12.8</v>
      </c>
      <c r="Q118" s="21"/>
    </row>
    <row r="119" spans="1:17" x14ac:dyDescent="0.3">
      <c r="A119" t="s">
        <v>1249</v>
      </c>
      <c r="B119" s="17">
        <v>43292</v>
      </c>
      <c r="C119" t="s">
        <v>111</v>
      </c>
      <c r="D119" t="s">
        <v>99</v>
      </c>
      <c r="E119">
        <v>22</v>
      </c>
      <c r="F119">
        <v>150</v>
      </c>
      <c r="G119">
        <v>3300</v>
      </c>
      <c r="H119">
        <v>0.02</v>
      </c>
      <c r="I119" t="s">
        <v>116</v>
      </c>
      <c r="J119">
        <v>66</v>
      </c>
      <c r="Q119" s="22"/>
    </row>
    <row r="120" spans="1:17" x14ac:dyDescent="0.3">
      <c r="A120" t="s">
        <v>1250</v>
      </c>
      <c r="B120" s="17">
        <v>43292</v>
      </c>
      <c r="C120" t="s">
        <v>95</v>
      </c>
      <c r="D120" t="s">
        <v>96</v>
      </c>
      <c r="E120">
        <v>16</v>
      </c>
      <c r="F120">
        <v>80</v>
      </c>
      <c r="G120">
        <v>1280</v>
      </c>
      <c r="H120">
        <v>0.03</v>
      </c>
      <c r="I120" t="s">
        <v>97</v>
      </c>
      <c r="J120">
        <v>38.4</v>
      </c>
      <c r="Q120" s="21"/>
    </row>
    <row r="121" spans="1:17" x14ac:dyDescent="0.3">
      <c r="A121" t="s">
        <v>1251</v>
      </c>
      <c r="B121" s="17">
        <v>43293</v>
      </c>
      <c r="C121" t="s">
        <v>108</v>
      </c>
      <c r="D121" t="s">
        <v>96</v>
      </c>
      <c r="E121">
        <v>20</v>
      </c>
      <c r="F121">
        <v>16</v>
      </c>
      <c r="G121">
        <v>320</v>
      </c>
      <c r="H121">
        <v>0.11</v>
      </c>
      <c r="I121" t="s">
        <v>100</v>
      </c>
      <c r="J121">
        <v>35.200000000000003</v>
      </c>
      <c r="Q121" s="22"/>
    </row>
    <row r="122" spans="1:17" x14ac:dyDescent="0.3">
      <c r="A122" t="s">
        <v>1252</v>
      </c>
      <c r="B122" s="17">
        <v>43293</v>
      </c>
      <c r="C122" t="s">
        <v>95</v>
      </c>
      <c r="D122" t="s">
        <v>109</v>
      </c>
      <c r="E122">
        <v>9</v>
      </c>
      <c r="F122">
        <v>80</v>
      </c>
      <c r="G122">
        <v>720</v>
      </c>
      <c r="H122">
        <v>7.0000000000000007E-2</v>
      </c>
      <c r="I122" t="s">
        <v>102</v>
      </c>
      <c r="J122">
        <v>50.400000000000006</v>
      </c>
      <c r="Q122" s="21"/>
    </row>
    <row r="123" spans="1:17" x14ac:dyDescent="0.3">
      <c r="A123" t="s">
        <v>1253</v>
      </c>
      <c r="B123" s="17">
        <v>43293</v>
      </c>
      <c r="C123" t="s">
        <v>101</v>
      </c>
      <c r="D123" t="s">
        <v>109</v>
      </c>
      <c r="E123">
        <v>5</v>
      </c>
      <c r="F123">
        <v>230</v>
      </c>
      <c r="G123">
        <v>1150</v>
      </c>
      <c r="H123">
        <v>0.12</v>
      </c>
      <c r="I123" t="s">
        <v>103</v>
      </c>
      <c r="J123">
        <v>138</v>
      </c>
      <c r="Q123" s="22"/>
    </row>
    <row r="124" spans="1:17" x14ac:dyDescent="0.3">
      <c r="A124" t="s">
        <v>1254</v>
      </c>
      <c r="B124" s="17">
        <v>43293</v>
      </c>
      <c r="C124" t="s">
        <v>108</v>
      </c>
      <c r="D124" t="s">
        <v>96</v>
      </c>
      <c r="E124">
        <v>20</v>
      </c>
      <c r="F124">
        <v>16</v>
      </c>
      <c r="G124">
        <v>320</v>
      </c>
      <c r="H124">
        <v>0.01</v>
      </c>
      <c r="I124" t="s">
        <v>105</v>
      </c>
      <c r="J124">
        <v>3.2</v>
      </c>
      <c r="Q124" s="21"/>
    </row>
    <row r="125" spans="1:17" x14ac:dyDescent="0.3">
      <c r="A125" t="s">
        <v>1255</v>
      </c>
      <c r="B125" s="17">
        <v>43293</v>
      </c>
      <c r="C125" t="s">
        <v>108</v>
      </c>
      <c r="D125" t="s">
        <v>96</v>
      </c>
      <c r="E125">
        <v>16</v>
      </c>
      <c r="F125">
        <v>16</v>
      </c>
      <c r="G125">
        <v>256</v>
      </c>
      <c r="H125">
        <v>0.03</v>
      </c>
      <c r="I125" t="s">
        <v>107</v>
      </c>
      <c r="J125">
        <v>7.68</v>
      </c>
      <c r="Q125" s="22"/>
    </row>
    <row r="126" spans="1:17" x14ac:dyDescent="0.3">
      <c r="A126" t="s">
        <v>1256</v>
      </c>
      <c r="B126" s="17">
        <v>43293</v>
      </c>
      <c r="C126" t="s">
        <v>111</v>
      </c>
      <c r="D126" t="s">
        <v>106</v>
      </c>
      <c r="E126">
        <v>15</v>
      </c>
      <c r="F126">
        <v>150</v>
      </c>
      <c r="G126">
        <v>2250</v>
      </c>
      <c r="H126">
        <v>0.05</v>
      </c>
      <c r="I126" t="s">
        <v>110</v>
      </c>
      <c r="J126">
        <v>112.5</v>
      </c>
      <c r="Q126" s="21"/>
    </row>
    <row r="127" spans="1:17" x14ac:dyDescent="0.3">
      <c r="A127" t="s">
        <v>1257</v>
      </c>
      <c r="B127" s="17">
        <v>43293</v>
      </c>
      <c r="C127" t="s">
        <v>101</v>
      </c>
      <c r="D127" t="s">
        <v>99</v>
      </c>
      <c r="E127">
        <v>19</v>
      </c>
      <c r="F127">
        <v>230</v>
      </c>
      <c r="G127">
        <v>4370</v>
      </c>
      <c r="H127">
        <v>0.11</v>
      </c>
      <c r="I127" t="s">
        <v>112</v>
      </c>
      <c r="J127">
        <v>480.7</v>
      </c>
      <c r="Q127" s="22"/>
    </row>
    <row r="128" spans="1:17" x14ac:dyDescent="0.3">
      <c r="A128" t="s">
        <v>1258</v>
      </c>
      <c r="B128" s="17">
        <v>43294</v>
      </c>
      <c r="C128" t="s">
        <v>111</v>
      </c>
      <c r="D128" t="s">
        <v>104</v>
      </c>
      <c r="E128">
        <v>2</v>
      </c>
      <c r="F128">
        <v>150</v>
      </c>
      <c r="G128">
        <v>300</v>
      </c>
      <c r="H128">
        <v>0.02</v>
      </c>
      <c r="I128" t="s">
        <v>113</v>
      </c>
      <c r="J128">
        <v>6</v>
      </c>
      <c r="Q128" s="21"/>
    </row>
    <row r="129" spans="1:17" x14ac:dyDescent="0.3">
      <c r="A129" t="s">
        <v>1259</v>
      </c>
      <c r="B129" s="17">
        <v>43294</v>
      </c>
      <c r="C129" t="s">
        <v>95</v>
      </c>
      <c r="D129" t="s">
        <v>109</v>
      </c>
      <c r="E129">
        <v>16</v>
      </c>
      <c r="F129">
        <v>80</v>
      </c>
      <c r="G129">
        <v>1280</v>
      </c>
      <c r="H129">
        <v>0.05</v>
      </c>
      <c r="I129" t="s">
        <v>114</v>
      </c>
      <c r="J129">
        <v>64</v>
      </c>
      <c r="Q129" s="22"/>
    </row>
    <row r="130" spans="1:17" x14ac:dyDescent="0.3">
      <c r="A130" t="s">
        <v>1260</v>
      </c>
      <c r="B130" s="17">
        <v>43294</v>
      </c>
      <c r="C130" t="s">
        <v>98</v>
      </c>
      <c r="D130" t="s">
        <v>104</v>
      </c>
      <c r="E130">
        <v>2</v>
      </c>
      <c r="F130">
        <v>40</v>
      </c>
      <c r="G130">
        <v>80</v>
      </c>
      <c r="H130">
        <v>0.03</v>
      </c>
      <c r="I130" t="s">
        <v>115</v>
      </c>
      <c r="J130">
        <v>2.4</v>
      </c>
      <c r="Q130" s="21"/>
    </row>
    <row r="131" spans="1:17" x14ac:dyDescent="0.3">
      <c r="A131" t="s">
        <v>1261</v>
      </c>
      <c r="B131" s="17">
        <v>43294</v>
      </c>
      <c r="C131" t="s">
        <v>95</v>
      </c>
      <c r="D131" t="s">
        <v>99</v>
      </c>
      <c r="E131">
        <v>5</v>
      </c>
      <c r="F131">
        <v>80</v>
      </c>
      <c r="G131">
        <v>400</v>
      </c>
      <c r="H131">
        <v>0.04</v>
      </c>
      <c r="I131" t="s">
        <v>116</v>
      </c>
      <c r="J131">
        <v>16</v>
      </c>
      <c r="Q131" s="22"/>
    </row>
    <row r="132" spans="1:17" x14ac:dyDescent="0.3">
      <c r="A132" t="s">
        <v>1262</v>
      </c>
      <c r="B132" s="17">
        <v>43294</v>
      </c>
      <c r="C132" t="s">
        <v>101</v>
      </c>
      <c r="D132" t="s">
        <v>106</v>
      </c>
      <c r="E132">
        <v>17</v>
      </c>
      <c r="F132">
        <v>230</v>
      </c>
      <c r="G132">
        <v>3910</v>
      </c>
      <c r="H132">
        <v>0.12</v>
      </c>
      <c r="I132" t="s">
        <v>97</v>
      </c>
      <c r="J132">
        <v>469.2</v>
      </c>
      <c r="Q132" s="21"/>
    </row>
    <row r="133" spans="1:17" x14ac:dyDescent="0.3">
      <c r="A133" t="s">
        <v>1263</v>
      </c>
      <c r="B133" s="17">
        <v>43294</v>
      </c>
      <c r="C133" t="s">
        <v>95</v>
      </c>
      <c r="D133" t="s">
        <v>96</v>
      </c>
      <c r="E133">
        <v>8</v>
      </c>
      <c r="F133">
        <v>80</v>
      </c>
      <c r="G133">
        <v>640</v>
      </c>
      <c r="H133">
        <v>0.08</v>
      </c>
      <c r="I133" t="s">
        <v>100</v>
      </c>
      <c r="J133">
        <v>51.2</v>
      </c>
      <c r="Q133" s="22"/>
    </row>
    <row r="134" spans="1:17" x14ac:dyDescent="0.3">
      <c r="A134" t="s">
        <v>1264</v>
      </c>
      <c r="B134" s="17">
        <v>43294</v>
      </c>
      <c r="C134" t="s">
        <v>98</v>
      </c>
      <c r="D134" t="s">
        <v>99</v>
      </c>
      <c r="E134">
        <v>4</v>
      </c>
      <c r="F134">
        <v>40</v>
      </c>
      <c r="G134">
        <v>160</v>
      </c>
      <c r="H134">
        <v>0.06</v>
      </c>
      <c r="I134" t="s">
        <v>102</v>
      </c>
      <c r="J134">
        <v>9.6</v>
      </c>
      <c r="Q134" s="21"/>
    </row>
    <row r="135" spans="1:17" x14ac:dyDescent="0.3">
      <c r="A135" t="s">
        <v>1265</v>
      </c>
      <c r="B135" s="17">
        <v>43294</v>
      </c>
      <c r="C135" t="s">
        <v>108</v>
      </c>
      <c r="D135" t="s">
        <v>104</v>
      </c>
      <c r="E135">
        <v>17</v>
      </c>
      <c r="F135">
        <v>16</v>
      </c>
      <c r="G135">
        <v>272</v>
      </c>
      <c r="H135">
        <v>0.05</v>
      </c>
      <c r="I135" t="s">
        <v>103</v>
      </c>
      <c r="J135">
        <v>13.600000000000001</v>
      </c>
      <c r="Q135" s="22"/>
    </row>
    <row r="136" spans="1:17" x14ac:dyDescent="0.3">
      <c r="A136" t="s">
        <v>1266</v>
      </c>
      <c r="B136" s="17">
        <v>43294</v>
      </c>
      <c r="C136" t="s">
        <v>101</v>
      </c>
      <c r="D136" t="s">
        <v>106</v>
      </c>
      <c r="E136">
        <v>8</v>
      </c>
      <c r="F136">
        <v>230</v>
      </c>
      <c r="G136">
        <v>1840</v>
      </c>
      <c r="H136">
        <v>0.01</v>
      </c>
      <c r="I136" t="s">
        <v>105</v>
      </c>
      <c r="J136">
        <v>18.400000000000002</v>
      </c>
      <c r="Q136" s="21"/>
    </row>
    <row r="137" spans="1:17" x14ac:dyDescent="0.3">
      <c r="A137" t="s">
        <v>1267</v>
      </c>
      <c r="B137" s="17">
        <v>43294</v>
      </c>
      <c r="C137" t="s">
        <v>108</v>
      </c>
      <c r="D137" t="s">
        <v>109</v>
      </c>
      <c r="E137">
        <v>19</v>
      </c>
      <c r="F137">
        <v>16</v>
      </c>
      <c r="G137">
        <v>304</v>
      </c>
      <c r="H137">
        <v>0.02</v>
      </c>
      <c r="I137" t="s">
        <v>107</v>
      </c>
      <c r="J137">
        <v>6.08</v>
      </c>
      <c r="Q137" s="22"/>
    </row>
    <row r="138" spans="1:17" x14ac:dyDescent="0.3">
      <c r="A138" t="s">
        <v>1268</v>
      </c>
      <c r="B138" s="17">
        <v>43295</v>
      </c>
      <c r="C138" t="s">
        <v>98</v>
      </c>
      <c r="D138" t="s">
        <v>96</v>
      </c>
      <c r="E138">
        <v>18</v>
      </c>
      <c r="F138">
        <v>40</v>
      </c>
      <c r="G138">
        <v>720</v>
      </c>
      <c r="H138">
        <v>0.06</v>
      </c>
      <c r="I138" t="s">
        <v>110</v>
      </c>
      <c r="J138">
        <v>43.199999999999996</v>
      </c>
      <c r="Q138" s="21"/>
    </row>
    <row r="139" spans="1:17" x14ac:dyDescent="0.3">
      <c r="A139" t="s">
        <v>1269</v>
      </c>
      <c r="B139" s="17">
        <v>43295</v>
      </c>
      <c r="C139" t="s">
        <v>111</v>
      </c>
      <c r="D139" t="s">
        <v>109</v>
      </c>
      <c r="E139">
        <v>23</v>
      </c>
      <c r="F139">
        <v>150</v>
      </c>
      <c r="G139">
        <v>3450</v>
      </c>
      <c r="H139">
        <v>0.08</v>
      </c>
      <c r="I139" t="s">
        <v>112</v>
      </c>
      <c r="J139">
        <v>276</v>
      </c>
      <c r="Q139" s="22"/>
    </row>
    <row r="140" spans="1:17" x14ac:dyDescent="0.3">
      <c r="A140" t="s">
        <v>1270</v>
      </c>
      <c r="B140" s="17">
        <v>43295</v>
      </c>
      <c r="C140" t="s">
        <v>101</v>
      </c>
      <c r="D140" t="s">
        <v>96</v>
      </c>
      <c r="E140">
        <v>5</v>
      </c>
      <c r="F140">
        <v>230</v>
      </c>
      <c r="G140">
        <v>1150</v>
      </c>
      <c r="H140">
        <v>0.1</v>
      </c>
      <c r="I140" t="s">
        <v>113</v>
      </c>
      <c r="J140">
        <v>115</v>
      </c>
      <c r="Q140" s="21"/>
    </row>
    <row r="141" spans="1:17" x14ac:dyDescent="0.3">
      <c r="A141" t="s">
        <v>1271</v>
      </c>
      <c r="B141" s="17">
        <v>43295</v>
      </c>
      <c r="C141" t="s">
        <v>95</v>
      </c>
      <c r="D141" t="s">
        <v>106</v>
      </c>
      <c r="E141">
        <v>21</v>
      </c>
      <c r="F141">
        <v>80</v>
      </c>
      <c r="G141">
        <v>1680</v>
      </c>
      <c r="H141">
        <v>0.02</v>
      </c>
      <c r="I141" t="s">
        <v>114</v>
      </c>
      <c r="J141">
        <v>33.6</v>
      </c>
      <c r="Q141" s="22"/>
    </row>
    <row r="142" spans="1:17" x14ac:dyDescent="0.3">
      <c r="A142" t="s">
        <v>1272</v>
      </c>
      <c r="B142" s="17">
        <v>43295</v>
      </c>
      <c r="C142" t="s">
        <v>108</v>
      </c>
      <c r="D142" t="s">
        <v>104</v>
      </c>
      <c r="E142">
        <v>6</v>
      </c>
      <c r="F142">
        <v>16</v>
      </c>
      <c r="G142">
        <v>96</v>
      </c>
      <c r="H142">
        <v>7.0000000000000007E-2</v>
      </c>
      <c r="I142" t="s">
        <v>97</v>
      </c>
      <c r="J142">
        <v>6.7200000000000006</v>
      </c>
      <c r="Q142" s="21"/>
    </row>
    <row r="143" spans="1:17" x14ac:dyDescent="0.3">
      <c r="A143" t="s">
        <v>1273</v>
      </c>
      <c r="B143" s="17">
        <v>43295</v>
      </c>
      <c r="C143" t="s">
        <v>98</v>
      </c>
      <c r="D143" t="s">
        <v>96</v>
      </c>
      <c r="E143">
        <v>9</v>
      </c>
      <c r="F143">
        <v>40</v>
      </c>
      <c r="G143">
        <v>360</v>
      </c>
      <c r="H143">
        <v>0.01</v>
      </c>
      <c r="I143" t="s">
        <v>100</v>
      </c>
      <c r="J143">
        <v>3.6</v>
      </c>
      <c r="Q143" s="22"/>
    </row>
    <row r="144" spans="1:17" x14ac:dyDescent="0.3">
      <c r="A144" t="s">
        <v>1274</v>
      </c>
      <c r="B144" s="17">
        <v>43295</v>
      </c>
      <c r="C144" t="s">
        <v>101</v>
      </c>
      <c r="D144" t="s">
        <v>99</v>
      </c>
      <c r="E144">
        <v>9</v>
      </c>
      <c r="F144">
        <v>230</v>
      </c>
      <c r="G144">
        <v>2070</v>
      </c>
      <c r="H144">
        <v>0.03</v>
      </c>
      <c r="I144" t="s">
        <v>102</v>
      </c>
      <c r="J144">
        <v>62.099999999999994</v>
      </c>
      <c r="Q144" s="21"/>
    </row>
    <row r="145" spans="1:17" x14ac:dyDescent="0.3">
      <c r="A145" t="s">
        <v>1275</v>
      </c>
      <c r="B145" s="17">
        <v>43295</v>
      </c>
      <c r="C145" t="s">
        <v>101</v>
      </c>
      <c r="D145" t="s">
        <v>104</v>
      </c>
      <c r="E145">
        <v>5</v>
      </c>
      <c r="F145">
        <v>230</v>
      </c>
      <c r="G145">
        <v>1150</v>
      </c>
      <c r="H145">
        <v>0.1</v>
      </c>
      <c r="I145" t="s">
        <v>103</v>
      </c>
      <c r="J145">
        <v>115</v>
      </c>
      <c r="Q145" s="22"/>
    </row>
    <row r="146" spans="1:17" x14ac:dyDescent="0.3">
      <c r="A146" t="s">
        <v>1276</v>
      </c>
      <c r="B146" s="17">
        <v>43295</v>
      </c>
      <c r="C146" t="s">
        <v>98</v>
      </c>
      <c r="D146" t="s">
        <v>106</v>
      </c>
      <c r="E146">
        <v>7</v>
      </c>
      <c r="F146">
        <v>40</v>
      </c>
      <c r="G146">
        <v>280</v>
      </c>
      <c r="H146">
        <v>0.11</v>
      </c>
      <c r="I146" t="s">
        <v>105</v>
      </c>
      <c r="J146">
        <v>30.8</v>
      </c>
      <c r="Q146" s="21"/>
    </row>
    <row r="147" spans="1:17" x14ac:dyDescent="0.3">
      <c r="A147" t="s">
        <v>1277</v>
      </c>
      <c r="B147" s="17">
        <v>43295</v>
      </c>
      <c r="C147" t="s">
        <v>101</v>
      </c>
      <c r="D147" t="s">
        <v>96</v>
      </c>
      <c r="E147">
        <v>20</v>
      </c>
      <c r="F147">
        <v>230</v>
      </c>
      <c r="G147">
        <v>4600</v>
      </c>
      <c r="H147">
        <v>0.04</v>
      </c>
      <c r="I147" t="s">
        <v>107</v>
      </c>
      <c r="J147">
        <v>184</v>
      </c>
      <c r="Q147" s="22"/>
    </row>
    <row r="148" spans="1:17" x14ac:dyDescent="0.3">
      <c r="A148" t="s">
        <v>1278</v>
      </c>
      <c r="B148" s="17">
        <v>43295</v>
      </c>
      <c r="C148" t="s">
        <v>111</v>
      </c>
      <c r="D148" t="s">
        <v>96</v>
      </c>
      <c r="E148">
        <v>22</v>
      </c>
      <c r="F148">
        <v>150</v>
      </c>
      <c r="G148">
        <v>3300</v>
      </c>
      <c r="H148">
        <v>7.0000000000000007E-2</v>
      </c>
      <c r="I148" t="s">
        <v>110</v>
      </c>
      <c r="J148">
        <v>231.00000000000003</v>
      </c>
      <c r="Q148" s="21"/>
    </row>
    <row r="149" spans="1:17" x14ac:dyDescent="0.3">
      <c r="A149" t="s">
        <v>1279</v>
      </c>
      <c r="B149" s="17">
        <v>43296</v>
      </c>
      <c r="C149" t="s">
        <v>101</v>
      </c>
      <c r="D149" t="s">
        <v>104</v>
      </c>
      <c r="E149">
        <v>6</v>
      </c>
      <c r="F149">
        <v>230</v>
      </c>
      <c r="G149">
        <v>1380</v>
      </c>
      <c r="H149">
        <v>0.05</v>
      </c>
      <c r="I149" t="s">
        <v>112</v>
      </c>
      <c r="J149">
        <v>69</v>
      </c>
      <c r="Q149" s="22"/>
    </row>
    <row r="150" spans="1:17" x14ac:dyDescent="0.3">
      <c r="A150" t="s">
        <v>1280</v>
      </c>
      <c r="B150" s="17">
        <v>43296</v>
      </c>
      <c r="C150" t="s">
        <v>101</v>
      </c>
      <c r="D150" t="s">
        <v>104</v>
      </c>
      <c r="E150">
        <v>15</v>
      </c>
      <c r="F150">
        <v>230</v>
      </c>
      <c r="G150">
        <v>3450</v>
      </c>
      <c r="H150">
        <v>0.11</v>
      </c>
      <c r="I150" t="s">
        <v>113</v>
      </c>
      <c r="J150">
        <v>379.5</v>
      </c>
      <c r="Q150" s="21"/>
    </row>
    <row r="151" spans="1:17" x14ac:dyDescent="0.3">
      <c r="A151" t="s">
        <v>1281</v>
      </c>
      <c r="B151" s="17">
        <v>43296</v>
      </c>
      <c r="C151" t="s">
        <v>98</v>
      </c>
      <c r="D151" t="s">
        <v>99</v>
      </c>
      <c r="E151">
        <v>8</v>
      </c>
      <c r="F151">
        <v>40</v>
      </c>
      <c r="G151">
        <v>320</v>
      </c>
      <c r="H151">
        <v>0.09</v>
      </c>
      <c r="I151" t="s">
        <v>114</v>
      </c>
      <c r="J151">
        <v>28.799999999999997</v>
      </c>
      <c r="Q151" s="22"/>
    </row>
    <row r="152" spans="1:17" x14ac:dyDescent="0.3">
      <c r="A152" t="s">
        <v>1282</v>
      </c>
      <c r="B152" s="17">
        <v>43296</v>
      </c>
      <c r="C152" t="s">
        <v>98</v>
      </c>
      <c r="D152" t="s">
        <v>96</v>
      </c>
      <c r="E152">
        <v>5</v>
      </c>
      <c r="F152">
        <v>40</v>
      </c>
      <c r="G152">
        <v>200</v>
      </c>
      <c r="H152">
        <v>0.06</v>
      </c>
      <c r="I152" t="s">
        <v>115</v>
      </c>
      <c r="J152">
        <v>12</v>
      </c>
      <c r="Q152" s="21"/>
    </row>
    <row r="153" spans="1:17" x14ac:dyDescent="0.3">
      <c r="A153" t="s">
        <v>1283</v>
      </c>
      <c r="B153" s="17">
        <v>43296</v>
      </c>
      <c r="C153" t="s">
        <v>95</v>
      </c>
      <c r="D153" t="s">
        <v>109</v>
      </c>
      <c r="E153">
        <v>6</v>
      </c>
      <c r="F153">
        <v>80</v>
      </c>
      <c r="G153">
        <v>480</v>
      </c>
      <c r="H153">
        <v>0.09</v>
      </c>
      <c r="I153" t="s">
        <v>116</v>
      </c>
      <c r="J153">
        <v>43.199999999999996</v>
      </c>
      <c r="Q153" s="22"/>
    </row>
    <row r="154" spans="1:17" x14ac:dyDescent="0.3">
      <c r="A154" t="s">
        <v>1284</v>
      </c>
      <c r="B154" s="17">
        <v>43296</v>
      </c>
      <c r="C154" t="s">
        <v>98</v>
      </c>
      <c r="D154" t="s">
        <v>106</v>
      </c>
      <c r="E154">
        <v>22</v>
      </c>
      <c r="F154">
        <v>40</v>
      </c>
      <c r="G154">
        <v>880</v>
      </c>
      <c r="H154">
        <v>0.01</v>
      </c>
      <c r="I154" t="s">
        <v>97</v>
      </c>
      <c r="J154">
        <v>8.8000000000000007</v>
      </c>
      <c r="Q154" s="21"/>
    </row>
    <row r="155" spans="1:17" x14ac:dyDescent="0.3">
      <c r="A155" t="s">
        <v>1285</v>
      </c>
      <c r="B155" s="17">
        <v>43296</v>
      </c>
      <c r="C155" t="s">
        <v>108</v>
      </c>
      <c r="D155" t="s">
        <v>96</v>
      </c>
      <c r="E155">
        <v>7</v>
      </c>
      <c r="F155">
        <v>16</v>
      </c>
      <c r="G155">
        <v>112</v>
      </c>
      <c r="H155">
        <v>0.08</v>
      </c>
      <c r="I155" t="s">
        <v>100</v>
      </c>
      <c r="J155">
        <v>8.9600000000000009</v>
      </c>
      <c r="Q155" s="22"/>
    </row>
    <row r="156" spans="1:17" x14ac:dyDescent="0.3">
      <c r="A156" t="s">
        <v>1286</v>
      </c>
      <c r="B156" s="17">
        <v>43296</v>
      </c>
      <c r="C156" t="s">
        <v>111</v>
      </c>
      <c r="D156" t="s">
        <v>104</v>
      </c>
      <c r="E156">
        <v>22</v>
      </c>
      <c r="F156">
        <v>150</v>
      </c>
      <c r="G156">
        <v>3300</v>
      </c>
      <c r="H156">
        <v>0.04</v>
      </c>
      <c r="I156" t="s">
        <v>102</v>
      </c>
      <c r="J156">
        <v>132</v>
      </c>
      <c r="Q156" s="21"/>
    </row>
    <row r="157" spans="1:17" x14ac:dyDescent="0.3">
      <c r="A157" t="s">
        <v>1287</v>
      </c>
      <c r="B157" s="17">
        <v>43296</v>
      </c>
      <c r="C157" t="s">
        <v>108</v>
      </c>
      <c r="D157" t="s">
        <v>106</v>
      </c>
      <c r="E157">
        <v>15</v>
      </c>
      <c r="F157">
        <v>16</v>
      </c>
      <c r="G157">
        <v>240</v>
      </c>
      <c r="H157">
        <v>0.12</v>
      </c>
      <c r="I157" t="s">
        <v>103</v>
      </c>
      <c r="J157">
        <v>28.799999999999997</v>
      </c>
      <c r="Q157" s="22"/>
    </row>
    <row r="158" spans="1:17" x14ac:dyDescent="0.3">
      <c r="A158" t="s">
        <v>1288</v>
      </c>
      <c r="B158" s="17">
        <v>43296</v>
      </c>
      <c r="C158" t="s">
        <v>95</v>
      </c>
      <c r="D158" t="s">
        <v>104</v>
      </c>
      <c r="E158">
        <v>20</v>
      </c>
      <c r="F158">
        <v>80</v>
      </c>
      <c r="G158">
        <v>1600</v>
      </c>
      <c r="H158">
        <v>7.0000000000000007E-2</v>
      </c>
      <c r="I158" t="s">
        <v>105</v>
      </c>
      <c r="J158">
        <v>112.00000000000001</v>
      </c>
      <c r="Q158" s="21"/>
    </row>
    <row r="159" spans="1:17" x14ac:dyDescent="0.3">
      <c r="A159" t="s">
        <v>1289</v>
      </c>
      <c r="B159" s="17">
        <v>43296</v>
      </c>
      <c r="C159" t="s">
        <v>95</v>
      </c>
      <c r="D159" t="s">
        <v>104</v>
      </c>
      <c r="E159">
        <v>7</v>
      </c>
      <c r="F159">
        <v>80</v>
      </c>
      <c r="G159">
        <v>560</v>
      </c>
      <c r="H159">
        <v>0.05</v>
      </c>
      <c r="I159" t="s">
        <v>107</v>
      </c>
      <c r="J159">
        <v>28</v>
      </c>
      <c r="Q159" s="22"/>
    </row>
    <row r="160" spans="1:17" x14ac:dyDescent="0.3">
      <c r="A160" t="s">
        <v>1290</v>
      </c>
      <c r="B160" s="17">
        <v>43296</v>
      </c>
      <c r="C160" t="s">
        <v>95</v>
      </c>
      <c r="D160" t="s">
        <v>99</v>
      </c>
      <c r="E160">
        <v>10</v>
      </c>
      <c r="F160">
        <v>80</v>
      </c>
      <c r="G160">
        <v>800</v>
      </c>
      <c r="H160">
        <v>0.11</v>
      </c>
      <c r="I160" t="s">
        <v>110</v>
      </c>
      <c r="J160">
        <v>88</v>
      </c>
      <c r="Q160" s="21"/>
    </row>
    <row r="161" spans="1:17" x14ac:dyDescent="0.3">
      <c r="A161" t="s">
        <v>1291</v>
      </c>
      <c r="B161" s="17">
        <v>43296</v>
      </c>
      <c r="C161" t="s">
        <v>95</v>
      </c>
      <c r="D161" t="s">
        <v>99</v>
      </c>
      <c r="E161">
        <v>2</v>
      </c>
      <c r="F161">
        <v>80</v>
      </c>
      <c r="G161">
        <v>160</v>
      </c>
      <c r="H161">
        <v>7.0000000000000007E-2</v>
      </c>
      <c r="I161" t="s">
        <v>112</v>
      </c>
      <c r="J161">
        <v>11.200000000000001</v>
      </c>
      <c r="Q161" s="22"/>
    </row>
    <row r="162" spans="1:17" x14ac:dyDescent="0.3">
      <c r="A162" t="s">
        <v>1292</v>
      </c>
      <c r="B162" s="17">
        <v>43296</v>
      </c>
      <c r="C162" t="s">
        <v>108</v>
      </c>
      <c r="D162" t="s">
        <v>109</v>
      </c>
      <c r="E162">
        <v>23</v>
      </c>
      <c r="F162">
        <v>16</v>
      </c>
      <c r="G162">
        <v>368</v>
      </c>
      <c r="H162">
        <v>0.01</v>
      </c>
      <c r="I162" t="s">
        <v>113</v>
      </c>
      <c r="J162">
        <v>3.68</v>
      </c>
      <c r="Q162" s="21"/>
    </row>
    <row r="163" spans="1:17" x14ac:dyDescent="0.3">
      <c r="A163" t="s">
        <v>1293</v>
      </c>
      <c r="B163" s="17">
        <v>43296</v>
      </c>
      <c r="C163" t="s">
        <v>101</v>
      </c>
      <c r="D163" t="s">
        <v>99</v>
      </c>
      <c r="E163">
        <v>12</v>
      </c>
      <c r="F163">
        <v>230</v>
      </c>
      <c r="G163">
        <v>2760</v>
      </c>
      <c r="H163">
        <v>0.03</v>
      </c>
      <c r="I163" t="s">
        <v>114</v>
      </c>
      <c r="J163">
        <v>82.8</v>
      </c>
      <c r="Q163" s="22"/>
    </row>
    <row r="164" spans="1:17" x14ac:dyDescent="0.3">
      <c r="A164" t="s">
        <v>1294</v>
      </c>
      <c r="B164" s="17">
        <v>43297</v>
      </c>
      <c r="C164" t="s">
        <v>101</v>
      </c>
      <c r="D164" t="s">
        <v>96</v>
      </c>
      <c r="E164">
        <v>7</v>
      </c>
      <c r="F164">
        <v>230</v>
      </c>
      <c r="G164">
        <v>1610</v>
      </c>
      <c r="H164">
        <v>0.08</v>
      </c>
      <c r="I164" t="s">
        <v>115</v>
      </c>
      <c r="J164">
        <v>128.80000000000001</v>
      </c>
      <c r="Q164" s="21"/>
    </row>
    <row r="165" spans="1:17" x14ac:dyDescent="0.3">
      <c r="A165" t="s">
        <v>1295</v>
      </c>
      <c r="B165" s="17">
        <v>43297</v>
      </c>
      <c r="C165" t="s">
        <v>98</v>
      </c>
      <c r="D165" t="s">
        <v>106</v>
      </c>
      <c r="E165">
        <v>11</v>
      </c>
      <c r="F165">
        <v>40</v>
      </c>
      <c r="G165">
        <v>440</v>
      </c>
      <c r="H165">
        <v>0.06</v>
      </c>
      <c r="I165" t="s">
        <v>116</v>
      </c>
      <c r="J165">
        <v>26.4</v>
      </c>
      <c r="Q165" s="22"/>
    </row>
    <row r="166" spans="1:17" x14ac:dyDescent="0.3">
      <c r="A166" t="s">
        <v>1296</v>
      </c>
      <c r="B166" s="17">
        <v>43297</v>
      </c>
      <c r="C166" t="s">
        <v>101</v>
      </c>
      <c r="D166" t="s">
        <v>99</v>
      </c>
      <c r="E166">
        <v>7</v>
      </c>
      <c r="F166">
        <v>230</v>
      </c>
      <c r="G166">
        <v>1610</v>
      </c>
      <c r="H166">
        <v>0.08</v>
      </c>
      <c r="I166" t="s">
        <v>97</v>
      </c>
      <c r="J166">
        <v>128.80000000000001</v>
      </c>
      <c r="Q166" s="21"/>
    </row>
    <row r="167" spans="1:17" x14ac:dyDescent="0.3">
      <c r="A167" t="s">
        <v>1297</v>
      </c>
      <c r="B167" s="17">
        <v>43297</v>
      </c>
      <c r="C167" t="s">
        <v>95</v>
      </c>
      <c r="D167" t="s">
        <v>96</v>
      </c>
      <c r="E167">
        <v>8</v>
      </c>
      <c r="F167">
        <v>80</v>
      </c>
      <c r="G167">
        <v>640</v>
      </c>
      <c r="H167">
        <v>0.09</v>
      </c>
      <c r="I167" t="s">
        <v>100</v>
      </c>
      <c r="J167">
        <v>57.599999999999994</v>
      </c>
      <c r="Q167" s="22"/>
    </row>
    <row r="168" spans="1:17" x14ac:dyDescent="0.3">
      <c r="A168" t="s">
        <v>1298</v>
      </c>
      <c r="B168" s="17">
        <v>43297</v>
      </c>
      <c r="C168" t="s">
        <v>95</v>
      </c>
      <c r="D168" t="s">
        <v>106</v>
      </c>
      <c r="E168">
        <v>16</v>
      </c>
      <c r="F168">
        <v>80</v>
      </c>
      <c r="G168">
        <v>1280</v>
      </c>
      <c r="H168">
        <v>7.0000000000000007E-2</v>
      </c>
      <c r="I168" t="s">
        <v>102</v>
      </c>
      <c r="J168">
        <v>89.600000000000009</v>
      </c>
      <c r="Q168" s="21"/>
    </row>
    <row r="169" spans="1:17" x14ac:dyDescent="0.3">
      <c r="A169" t="s">
        <v>1299</v>
      </c>
      <c r="B169" s="17">
        <v>43297</v>
      </c>
      <c r="C169" t="s">
        <v>95</v>
      </c>
      <c r="D169" t="s">
        <v>104</v>
      </c>
      <c r="E169">
        <v>16</v>
      </c>
      <c r="F169">
        <v>80</v>
      </c>
      <c r="G169">
        <v>1280</v>
      </c>
      <c r="H169">
        <v>0.04</v>
      </c>
      <c r="I169" t="s">
        <v>103</v>
      </c>
      <c r="J169">
        <v>51.2</v>
      </c>
      <c r="Q169" s="22"/>
    </row>
    <row r="170" spans="1:17" x14ac:dyDescent="0.3">
      <c r="A170" t="s">
        <v>1300</v>
      </c>
      <c r="B170" s="17">
        <v>43297</v>
      </c>
      <c r="C170" t="s">
        <v>108</v>
      </c>
      <c r="D170" t="s">
        <v>104</v>
      </c>
      <c r="E170">
        <v>9</v>
      </c>
      <c r="F170">
        <v>16</v>
      </c>
      <c r="G170">
        <v>144</v>
      </c>
      <c r="H170">
        <v>0.05</v>
      </c>
      <c r="I170" t="s">
        <v>105</v>
      </c>
      <c r="J170">
        <v>7.2</v>
      </c>
      <c r="Q170" s="21"/>
    </row>
    <row r="171" spans="1:17" x14ac:dyDescent="0.3">
      <c r="A171" t="s">
        <v>1301</v>
      </c>
      <c r="B171" s="17">
        <v>43297</v>
      </c>
      <c r="C171" t="s">
        <v>111</v>
      </c>
      <c r="D171" t="s">
        <v>109</v>
      </c>
      <c r="E171">
        <v>11</v>
      </c>
      <c r="F171">
        <v>150</v>
      </c>
      <c r="G171">
        <v>1650</v>
      </c>
      <c r="H171">
        <v>0.09</v>
      </c>
      <c r="I171" t="s">
        <v>107</v>
      </c>
      <c r="J171">
        <v>148.5</v>
      </c>
      <c r="Q171" s="22"/>
    </row>
    <row r="172" spans="1:17" x14ac:dyDescent="0.3">
      <c r="A172" t="s">
        <v>1302</v>
      </c>
      <c r="B172" s="17">
        <v>43297</v>
      </c>
      <c r="C172" t="s">
        <v>108</v>
      </c>
      <c r="D172" t="s">
        <v>96</v>
      </c>
      <c r="E172">
        <v>4</v>
      </c>
      <c r="F172">
        <v>16</v>
      </c>
      <c r="G172">
        <v>64</v>
      </c>
      <c r="H172">
        <v>0.12</v>
      </c>
      <c r="I172" t="s">
        <v>110</v>
      </c>
      <c r="J172">
        <v>7.68</v>
      </c>
      <c r="Q172" s="21"/>
    </row>
    <row r="173" spans="1:17" x14ac:dyDescent="0.3">
      <c r="A173" t="s">
        <v>1303</v>
      </c>
      <c r="B173" s="17">
        <v>43297</v>
      </c>
      <c r="C173" t="s">
        <v>98</v>
      </c>
      <c r="D173" t="s">
        <v>106</v>
      </c>
      <c r="E173">
        <v>15</v>
      </c>
      <c r="F173">
        <v>40</v>
      </c>
      <c r="G173">
        <v>600</v>
      </c>
      <c r="H173">
        <v>0.03</v>
      </c>
      <c r="I173" t="s">
        <v>112</v>
      </c>
      <c r="J173">
        <v>18</v>
      </c>
      <c r="Q173" s="22"/>
    </row>
    <row r="174" spans="1:17" x14ac:dyDescent="0.3">
      <c r="A174" t="s">
        <v>1304</v>
      </c>
      <c r="B174" s="17">
        <v>43297</v>
      </c>
      <c r="C174" t="s">
        <v>98</v>
      </c>
      <c r="D174" t="s">
        <v>109</v>
      </c>
      <c r="E174">
        <v>20</v>
      </c>
      <c r="F174">
        <v>40</v>
      </c>
      <c r="G174">
        <v>800</v>
      </c>
      <c r="H174">
        <v>0.03</v>
      </c>
      <c r="I174" t="s">
        <v>113</v>
      </c>
      <c r="J174">
        <v>24</v>
      </c>
      <c r="Q174" s="21"/>
    </row>
    <row r="175" spans="1:17" x14ac:dyDescent="0.3">
      <c r="A175" t="s">
        <v>1305</v>
      </c>
      <c r="B175" s="17">
        <v>43298</v>
      </c>
      <c r="C175" t="s">
        <v>111</v>
      </c>
      <c r="D175" t="s">
        <v>104</v>
      </c>
      <c r="E175">
        <v>9</v>
      </c>
      <c r="F175">
        <v>150</v>
      </c>
      <c r="G175">
        <v>1350</v>
      </c>
      <c r="H175">
        <v>0.06</v>
      </c>
      <c r="I175" t="s">
        <v>114</v>
      </c>
      <c r="J175">
        <v>81</v>
      </c>
      <c r="Q175" s="22"/>
    </row>
    <row r="176" spans="1:17" x14ac:dyDescent="0.3">
      <c r="A176" t="s">
        <v>1306</v>
      </c>
      <c r="B176" s="17">
        <v>43298</v>
      </c>
      <c r="C176" t="s">
        <v>98</v>
      </c>
      <c r="D176" t="s">
        <v>99</v>
      </c>
      <c r="E176">
        <v>23</v>
      </c>
      <c r="F176">
        <v>40</v>
      </c>
      <c r="G176">
        <v>920</v>
      </c>
      <c r="H176">
        <v>0.06</v>
      </c>
      <c r="I176" t="s">
        <v>115</v>
      </c>
      <c r="J176">
        <v>55.199999999999996</v>
      </c>
      <c r="Q176" s="21"/>
    </row>
    <row r="177" spans="1:17" x14ac:dyDescent="0.3">
      <c r="A177" t="s">
        <v>1307</v>
      </c>
      <c r="B177" s="17">
        <v>43298</v>
      </c>
      <c r="C177" t="s">
        <v>95</v>
      </c>
      <c r="D177" t="s">
        <v>109</v>
      </c>
      <c r="E177">
        <v>13</v>
      </c>
      <c r="F177">
        <v>80</v>
      </c>
      <c r="G177">
        <v>1040</v>
      </c>
      <c r="H177">
        <v>0.05</v>
      </c>
      <c r="I177" t="s">
        <v>116</v>
      </c>
      <c r="J177">
        <v>52</v>
      </c>
      <c r="Q177" s="22"/>
    </row>
    <row r="178" spans="1:17" x14ac:dyDescent="0.3">
      <c r="A178" t="s">
        <v>1308</v>
      </c>
      <c r="B178" s="17">
        <v>43298</v>
      </c>
      <c r="C178" t="s">
        <v>108</v>
      </c>
      <c r="D178" t="s">
        <v>96</v>
      </c>
      <c r="E178">
        <v>22</v>
      </c>
      <c r="F178">
        <v>16</v>
      </c>
      <c r="G178">
        <v>352</v>
      </c>
      <c r="H178">
        <v>0.01</v>
      </c>
      <c r="I178" t="s">
        <v>97</v>
      </c>
      <c r="J178">
        <v>3.52</v>
      </c>
      <c r="Q178" s="21"/>
    </row>
    <row r="179" spans="1:17" x14ac:dyDescent="0.3">
      <c r="A179" t="s">
        <v>1309</v>
      </c>
      <c r="B179" s="17">
        <v>43298</v>
      </c>
      <c r="C179" t="s">
        <v>98</v>
      </c>
      <c r="D179" t="s">
        <v>96</v>
      </c>
      <c r="E179">
        <v>19</v>
      </c>
      <c r="F179">
        <v>40</v>
      </c>
      <c r="G179">
        <v>760</v>
      </c>
      <c r="H179">
        <v>0.04</v>
      </c>
      <c r="I179" t="s">
        <v>100</v>
      </c>
      <c r="J179">
        <v>30.400000000000002</v>
      </c>
      <c r="Q179" s="22"/>
    </row>
    <row r="180" spans="1:17" x14ac:dyDescent="0.3">
      <c r="A180" t="s">
        <v>1310</v>
      </c>
      <c r="B180" s="17">
        <v>43298</v>
      </c>
      <c r="C180" t="s">
        <v>95</v>
      </c>
      <c r="D180" t="s">
        <v>106</v>
      </c>
      <c r="E180">
        <v>4</v>
      </c>
      <c r="F180">
        <v>80</v>
      </c>
      <c r="G180">
        <v>320</v>
      </c>
      <c r="H180">
        <v>0.11</v>
      </c>
      <c r="I180" t="s">
        <v>102</v>
      </c>
      <c r="J180">
        <v>35.200000000000003</v>
      </c>
      <c r="Q180" s="21"/>
    </row>
    <row r="181" spans="1:17" x14ac:dyDescent="0.3">
      <c r="A181" t="s">
        <v>1311</v>
      </c>
      <c r="B181" s="17">
        <v>43298</v>
      </c>
      <c r="C181" t="s">
        <v>108</v>
      </c>
      <c r="D181" t="s">
        <v>96</v>
      </c>
      <c r="E181">
        <v>12</v>
      </c>
      <c r="F181">
        <v>16</v>
      </c>
      <c r="G181">
        <v>192</v>
      </c>
      <c r="H181">
        <v>0.11</v>
      </c>
      <c r="I181" t="s">
        <v>103</v>
      </c>
      <c r="J181">
        <v>21.12</v>
      </c>
      <c r="Q181" s="22"/>
    </row>
    <row r="182" spans="1:17" x14ac:dyDescent="0.3">
      <c r="A182" t="s">
        <v>1312</v>
      </c>
      <c r="B182" s="17">
        <v>43298</v>
      </c>
      <c r="C182" t="s">
        <v>111</v>
      </c>
      <c r="D182" t="s">
        <v>99</v>
      </c>
      <c r="E182">
        <v>16</v>
      </c>
      <c r="F182">
        <v>150</v>
      </c>
      <c r="G182">
        <v>2400</v>
      </c>
      <c r="H182">
        <v>0.08</v>
      </c>
      <c r="I182" t="s">
        <v>105</v>
      </c>
      <c r="J182">
        <v>192</v>
      </c>
      <c r="Q182" s="21"/>
    </row>
    <row r="183" spans="1:17" x14ac:dyDescent="0.3">
      <c r="A183" t="s">
        <v>1313</v>
      </c>
      <c r="B183" s="17">
        <v>43298</v>
      </c>
      <c r="C183" t="s">
        <v>95</v>
      </c>
      <c r="D183" t="s">
        <v>96</v>
      </c>
      <c r="E183">
        <v>7</v>
      </c>
      <c r="F183">
        <v>80</v>
      </c>
      <c r="G183">
        <v>560</v>
      </c>
      <c r="H183">
        <v>0.02</v>
      </c>
      <c r="I183" t="s">
        <v>107</v>
      </c>
      <c r="J183">
        <v>11.200000000000001</v>
      </c>
      <c r="Q183" s="22"/>
    </row>
    <row r="184" spans="1:17" x14ac:dyDescent="0.3">
      <c r="A184" t="s">
        <v>1314</v>
      </c>
      <c r="B184" s="17">
        <v>43298</v>
      </c>
      <c r="C184" t="s">
        <v>98</v>
      </c>
      <c r="D184" t="s">
        <v>109</v>
      </c>
      <c r="E184">
        <v>20</v>
      </c>
      <c r="F184">
        <v>40</v>
      </c>
      <c r="G184">
        <v>800</v>
      </c>
      <c r="H184">
        <v>7.0000000000000007E-2</v>
      </c>
      <c r="I184" t="s">
        <v>110</v>
      </c>
      <c r="J184">
        <v>56.000000000000007</v>
      </c>
      <c r="Q184" s="21"/>
    </row>
    <row r="185" spans="1:17" x14ac:dyDescent="0.3">
      <c r="A185" t="s">
        <v>1315</v>
      </c>
      <c r="B185" s="17">
        <v>43298</v>
      </c>
      <c r="C185" t="s">
        <v>95</v>
      </c>
      <c r="D185" t="s">
        <v>99</v>
      </c>
      <c r="E185">
        <v>15</v>
      </c>
      <c r="F185">
        <v>80</v>
      </c>
      <c r="G185">
        <v>1200</v>
      </c>
      <c r="H185">
        <v>0.12</v>
      </c>
      <c r="I185" t="s">
        <v>112</v>
      </c>
      <c r="J185">
        <v>144</v>
      </c>
      <c r="Q185" s="22"/>
    </row>
    <row r="186" spans="1:17" x14ac:dyDescent="0.3">
      <c r="A186" t="s">
        <v>1316</v>
      </c>
      <c r="B186" s="17">
        <v>43298</v>
      </c>
      <c r="C186" t="s">
        <v>98</v>
      </c>
      <c r="D186" t="s">
        <v>96</v>
      </c>
      <c r="E186">
        <v>5</v>
      </c>
      <c r="F186">
        <v>40</v>
      </c>
      <c r="G186">
        <v>200</v>
      </c>
      <c r="H186">
        <v>0.09</v>
      </c>
      <c r="I186" t="s">
        <v>113</v>
      </c>
      <c r="J186">
        <v>18</v>
      </c>
      <c r="Q186" s="21"/>
    </row>
    <row r="187" spans="1:17" x14ac:dyDescent="0.3">
      <c r="A187" t="s">
        <v>1317</v>
      </c>
      <c r="B187" s="17">
        <v>43298</v>
      </c>
      <c r="C187" t="s">
        <v>108</v>
      </c>
      <c r="D187" t="s">
        <v>109</v>
      </c>
      <c r="E187">
        <v>12</v>
      </c>
      <c r="F187">
        <v>16</v>
      </c>
      <c r="G187">
        <v>192</v>
      </c>
      <c r="H187">
        <v>0.04</v>
      </c>
      <c r="I187" t="s">
        <v>114</v>
      </c>
      <c r="J187">
        <v>7.68</v>
      </c>
      <c r="Q187" s="22"/>
    </row>
    <row r="188" spans="1:17" x14ac:dyDescent="0.3">
      <c r="A188" t="s">
        <v>1318</v>
      </c>
      <c r="B188" s="17">
        <v>43299</v>
      </c>
      <c r="C188" t="s">
        <v>111</v>
      </c>
      <c r="D188" t="s">
        <v>106</v>
      </c>
      <c r="E188">
        <v>3</v>
      </c>
      <c r="F188">
        <v>150</v>
      </c>
      <c r="G188">
        <v>450</v>
      </c>
      <c r="H188">
        <v>0.01</v>
      </c>
      <c r="I188" t="s">
        <v>115</v>
      </c>
      <c r="J188">
        <v>4.5</v>
      </c>
      <c r="Q188" s="21"/>
    </row>
    <row r="189" spans="1:17" x14ac:dyDescent="0.3">
      <c r="A189" t="s">
        <v>1319</v>
      </c>
      <c r="B189" s="17">
        <v>43299</v>
      </c>
      <c r="C189" t="s">
        <v>98</v>
      </c>
      <c r="D189" t="s">
        <v>109</v>
      </c>
      <c r="E189">
        <v>7</v>
      </c>
      <c r="F189">
        <v>40</v>
      </c>
      <c r="G189">
        <v>280</v>
      </c>
      <c r="H189">
        <v>0.12</v>
      </c>
      <c r="I189" t="s">
        <v>116</v>
      </c>
      <c r="J189">
        <v>33.6</v>
      </c>
      <c r="Q189" s="22"/>
    </row>
    <row r="190" spans="1:17" x14ac:dyDescent="0.3">
      <c r="A190" t="s">
        <v>1320</v>
      </c>
      <c r="B190" s="17">
        <v>43299</v>
      </c>
      <c r="C190" t="s">
        <v>95</v>
      </c>
      <c r="D190" t="s">
        <v>99</v>
      </c>
      <c r="E190">
        <v>2</v>
      </c>
      <c r="F190">
        <v>80</v>
      </c>
      <c r="G190">
        <v>160</v>
      </c>
      <c r="H190">
        <v>0.04</v>
      </c>
      <c r="I190" t="s">
        <v>97</v>
      </c>
      <c r="J190">
        <v>6.4</v>
      </c>
      <c r="Q190" s="21"/>
    </row>
    <row r="191" spans="1:17" x14ac:dyDescent="0.3">
      <c r="A191" t="s">
        <v>1321</v>
      </c>
      <c r="B191" s="17">
        <v>43299</v>
      </c>
      <c r="C191" t="s">
        <v>98</v>
      </c>
      <c r="D191" t="s">
        <v>106</v>
      </c>
      <c r="E191">
        <v>6</v>
      </c>
      <c r="F191">
        <v>40</v>
      </c>
      <c r="G191">
        <v>240</v>
      </c>
      <c r="H191">
        <v>7.0000000000000007E-2</v>
      </c>
      <c r="I191" t="s">
        <v>100</v>
      </c>
      <c r="J191">
        <v>16.8</v>
      </c>
      <c r="Q191" s="22"/>
    </row>
    <row r="192" spans="1:17" x14ac:dyDescent="0.3">
      <c r="A192" t="s">
        <v>1322</v>
      </c>
      <c r="B192" s="17">
        <v>43299</v>
      </c>
      <c r="C192" t="s">
        <v>108</v>
      </c>
      <c r="D192" t="s">
        <v>104</v>
      </c>
      <c r="E192">
        <v>6</v>
      </c>
      <c r="F192">
        <v>16</v>
      </c>
      <c r="G192">
        <v>96</v>
      </c>
      <c r="H192">
        <v>0.06</v>
      </c>
      <c r="I192" t="s">
        <v>102</v>
      </c>
      <c r="J192">
        <v>5.76</v>
      </c>
      <c r="Q192" s="21"/>
    </row>
    <row r="193" spans="1:17" x14ac:dyDescent="0.3">
      <c r="A193" t="s">
        <v>1323</v>
      </c>
      <c r="B193" s="17">
        <v>43299</v>
      </c>
      <c r="C193" t="s">
        <v>108</v>
      </c>
      <c r="D193" t="s">
        <v>96</v>
      </c>
      <c r="E193">
        <v>7</v>
      </c>
      <c r="F193">
        <v>16</v>
      </c>
      <c r="G193">
        <v>112</v>
      </c>
      <c r="H193">
        <v>0.02</v>
      </c>
      <c r="I193" t="s">
        <v>103</v>
      </c>
      <c r="J193">
        <v>2.2400000000000002</v>
      </c>
      <c r="Q193" s="22"/>
    </row>
    <row r="194" spans="1:17" x14ac:dyDescent="0.3">
      <c r="A194" t="s">
        <v>1324</v>
      </c>
      <c r="B194" s="17">
        <v>43299</v>
      </c>
      <c r="C194" t="s">
        <v>108</v>
      </c>
      <c r="D194" t="s">
        <v>99</v>
      </c>
      <c r="E194">
        <v>20</v>
      </c>
      <c r="F194">
        <v>16</v>
      </c>
      <c r="G194">
        <v>320</v>
      </c>
      <c r="H194">
        <v>0.06</v>
      </c>
      <c r="I194" t="s">
        <v>105</v>
      </c>
      <c r="J194">
        <v>19.2</v>
      </c>
      <c r="Q194" s="21"/>
    </row>
    <row r="195" spans="1:17" x14ac:dyDescent="0.3">
      <c r="A195" t="s">
        <v>1325</v>
      </c>
      <c r="B195" s="17">
        <v>43299</v>
      </c>
      <c r="C195" t="s">
        <v>108</v>
      </c>
      <c r="D195" t="s">
        <v>99</v>
      </c>
      <c r="E195">
        <v>21</v>
      </c>
      <c r="F195">
        <v>16</v>
      </c>
      <c r="G195">
        <v>336</v>
      </c>
      <c r="H195">
        <v>0.02</v>
      </c>
      <c r="I195" t="s">
        <v>107</v>
      </c>
      <c r="J195">
        <v>6.72</v>
      </c>
      <c r="Q195" s="22"/>
    </row>
    <row r="196" spans="1:17" x14ac:dyDescent="0.3">
      <c r="A196" t="s">
        <v>1326</v>
      </c>
      <c r="B196" s="17">
        <v>43299</v>
      </c>
      <c r="C196" t="s">
        <v>95</v>
      </c>
      <c r="D196" t="s">
        <v>106</v>
      </c>
      <c r="E196">
        <v>21</v>
      </c>
      <c r="F196">
        <v>80</v>
      </c>
      <c r="G196">
        <v>1680</v>
      </c>
      <c r="H196">
        <v>0.05</v>
      </c>
      <c r="I196" t="s">
        <v>110</v>
      </c>
      <c r="J196">
        <v>84</v>
      </c>
      <c r="Q196" s="21"/>
    </row>
    <row r="197" spans="1:17" x14ac:dyDescent="0.3">
      <c r="A197" t="s">
        <v>1327</v>
      </c>
      <c r="B197" s="17">
        <v>43299</v>
      </c>
      <c r="C197" t="s">
        <v>108</v>
      </c>
      <c r="D197" t="s">
        <v>106</v>
      </c>
      <c r="E197">
        <v>10</v>
      </c>
      <c r="F197">
        <v>16</v>
      </c>
      <c r="G197">
        <v>160</v>
      </c>
      <c r="H197">
        <v>0.01</v>
      </c>
      <c r="I197" t="s">
        <v>112</v>
      </c>
      <c r="J197">
        <v>1.6</v>
      </c>
      <c r="Q197" s="22"/>
    </row>
    <row r="198" spans="1:17" x14ac:dyDescent="0.3">
      <c r="A198" t="s">
        <v>1328</v>
      </c>
      <c r="B198" s="17">
        <v>43300</v>
      </c>
      <c r="C198" t="s">
        <v>101</v>
      </c>
      <c r="D198" t="s">
        <v>106</v>
      </c>
      <c r="E198">
        <v>2</v>
      </c>
      <c r="F198">
        <v>230</v>
      </c>
      <c r="G198">
        <v>460</v>
      </c>
      <c r="H198">
        <v>0.09</v>
      </c>
      <c r="I198" t="s">
        <v>113</v>
      </c>
      <c r="J198">
        <v>41.4</v>
      </c>
      <c r="Q198" s="21"/>
    </row>
    <row r="199" spans="1:17" x14ac:dyDescent="0.3">
      <c r="A199" t="s">
        <v>1329</v>
      </c>
      <c r="B199" s="17">
        <v>43300</v>
      </c>
      <c r="C199" t="s">
        <v>111</v>
      </c>
      <c r="D199" t="s">
        <v>96</v>
      </c>
      <c r="E199">
        <v>20</v>
      </c>
      <c r="F199">
        <v>150</v>
      </c>
      <c r="G199">
        <v>3000</v>
      </c>
      <c r="H199">
        <v>0.03</v>
      </c>
      <c r="I199" t="s">
        <v>114</v>
      </c>
      <c r="J199">
        <v>90</v>
      </c>
      <c r="Q199" s="22"/>
    </row>
    <row r="200" spans="1:17" x14ac:dyDescent="0.3">
      <c r="A200" t="s">
        <v>1330</v>
      </c>
      <c r="B200" s="17">
        <v>43300</v>
      </c>
      <c r="C200" t="s">
        <v>98</v>
      </c>
      <c r="D200" t="s">
        <v>96</v>
      </c>
      <c r="E200">
        <v>23</v>
      </c>
      <c r="F200">
        <v>40</v>
      </c>
      <c r="G200">
        <v>920</v>
      </c>
      <c r="H200">
        <v>0.03</v>
      </c>
      <c r="I200" t="s">
        <v>115</v>
      </c>
      <c r="J200">
        <v>27.599999999999998</v>
      </c>
      <c r="Q200" s="21"/>
    </row>
    <row r="201" spans="1:17" x14ac:dyDescent="0.3">
      <c r="A201" t="s">
        <v>1331</v>
      </c>
      <c r="B201" s="17">
        <v>43300</v>
      </c>
      <c r="C201" t="s">
        <v>95</v>
      </c>
      <c r="D201" t="s">
        <v>106</v>
      </c>
      <c r="E201">
        <v>17</v>
      </c>
      <c r="F201">
        <v>80</v>
      </c>
      <c r="G201">
        <v>1360</v>
      </c>
      <c r="H201">
        <v>0.05</v>
      </c>
      <c r="I201" t="s">
        <v>116</v>
      </c>
      <c r="J201">
        <v>68</v>
      </c>
      <c r="Q201" s="22"/>
    </row>
    <row r="202" spans="1:17" x14ac:dyDescent="0.3">
      <c r="A202" t="s">
        <v>1332</v>
      </c>
      <c r="B202" s="17">
        <v>43300</v>
      </c>
      <c r="C202" t="s">
        <v>101</v>
      </c>
      <c r="D202" t="s">
        <v>106</v>
      </c>
      <c r="E202">
        <v>11</v>
      </c>
      <c r="F202">
        <v>230</v>
      </c>
      <c r="G202">
        <v>2530</v>
      </c>
      <c r="H202">
        <v>0.12</v>
      </c>
      <c r="I202" t="s">
        <v>97</v>
      </c>
      <c r="J202">
        <v>303.59999999999997</v>
      </c>
      <c r="Q202" s="21"/>
    </row>
    <row r="203" spans="1:17" x14ac:dyDescent="0.3">
      <c r="A203" t="s">
        <v>1333</v>
      </c>
      <c r="B203" s="17">
        <v>43300</v>
      </c>
      <c r="C203" t="s">
        <v>111</v>
      </c>
      <c r="D203" t="s">
        <v>99</v>
      </c>
      <c r="E203">
        <v>10</v>
      </c>
      <c r="F203">
        <v>150</v>
      </c>
      <c r="G203">
        <v>1500</v>
      </c>
      <c r="H203">
        <v>0.01</v>
      </c>
      <c r="I203" t="s">
        <v>100</v>
      </c>
      <c r="J203">
        <v>15</v>
      </c>
      <c r="Q203" s="22"/>
    </row>
    <row r="204" spans="1:17" x14ac:dyDescent="0.3">
      <c r="A204" t="s">
        <v>1334</v>
      </c>
      <c r="B204" s="17">
        <v>43300</v>
      </c>
      <c r="C204" t="s">
        <v>95</v>
      </c>
      <c r="D204" t="s">
        <v>99</v>
      </c>
      <c r="E204">
        <v>17</v>
      </c>
      <c r="F204">
        <v>80</v>
      </c>
      <c r="G204">
        <v>1360</v>
      </c>
      <c r="H204">
        <v>0.03</v>
      </c>
      <c r="I204" t="s">
        <v>102</v>
      </c>
      <c r="J204">
        <v>40.799999999999997</v>
      </c>
      <c r="Q204" s="21"/>
    </row>
    <row r="205" spans="1:17" x14ac:dyDescent="0.3">
      <c r="A205" t="s">
        <v>1335</v>
      </c>
      <c r="B205" s="17">
        <v>43301</v>
      </c>
      <c r="C205" t="s">
        <v>101</v>
      </c>
      <c r="D205" t="s">
        <v>96</v>
      </c>
      <c r="E205">
        <v>9</v>
      </c>
      <c r="F205">
        <v>230</v>
      </c>
      <c r="G205">
        <v>2070</v>
      </c>
      <c r="H205">
        <v>7.0000000000000007E-2</v>
      </c>
      <c r="I205" t="s">
        <v>103</v>
      </c>
      <c r="J205">
        <v>144.9</v>
      </c>
      <c r="Q205" s="22"/>
    </row>
    <row r="206" spans="1:17" x14ac:dyDescent="0.3">
      <c r="A206" t="s">
        <v>1336</v>
      </c>
      <c r="B206" s="17">
        <v>43301</v>
      </c>
      <c r="C206" t="s">
        <v>101</v>
      </c>
      <c r="D206" t="s">
        <v>96</v>
      </c>
      <c r="E206">
        <v>11</v>
      </c>
      <c r="F206">
        <v>230</v>
      </c>
      <c r="G206">
        <v>2530</v>
      </c>
      <c r="H206">
        <v>0.02</v>
      </c>
      <c r="I206" t="s">
        <v>105</v>
      </c>
      <c r="J206">
        <v>50.6</v>
      </c>
      <c r="Q206" s="21"/>
    </row>
    <row r="207" spans="1:17" x14ac:dyDescent="0.3">
      <c r="A207" t="s">
        <v>1337</v>
      </c>
      <c r="B207" s="17">
        <v>43301</v>
      </c>
      <c r="C207" t="s">
        <v>98</v>
      </c>
      <c r="D207" t="s">
        <v>104</v>
      </c>
      <c r="E207">
        <v>2</v>
      </c>
      <c r="F207">
        <v>40</v>
      </c>
      <c r="G207">
        <v>80</v>
      </c>
      <c r="H207">
        <v>0.02</v>
      </c>
      <c r="I207" t="s">
        <v>107</v>
      </c>
      <c r="J207">
        <v>1.6</v>
      </c>
      <c r="Q207" s="22"/>
    </row>
    <row r="208" spans="1:17" x14ac:dyDescent="0.3">
      <c r="A208" t="s">
        <v>1338</v>
      </c>
      <c r="B208" s="17">
        <v>43301</v>
      </c>
      <c r="C208" t="s">
        <v>101</v>
      </c>
      <c r="D208" t="s">
        <v>109</v>
      </c>
      <c r="E208">
        <v>3</v>
      </c>
      <c r="F208">
        <v>230</v>
      </c>
      <c r="G208">
        <v>690</v>
      </c>
      <c r="H208">
        <v>0.1</v>
      </c>
      <c r="I208" t="s">
        <v>110</v>
      </c>
      <c r="J208">
        <v>69</v>
      </c>
      <c r="Q208" s="21"/>
    </row>
    <row r="209" spans="1:17" x14ac:dyDescent="0.3">
      <c r="A209" t="s">
        <v>1339</v>
      </c>
      <c r="B209" s="17">
        <v>43301</v>
      </c>
      <c r="C209" t="s">
        <v>98</v>
      </c>
      <c r="D209" t="s">
        <v>109</v>
      </c>
      <c r="E209">
        <v>7</v>
      </c>
      <c r="F209">
        <v>40</v>
      </c>
      <c r="G209">
        <v>280</v>
      </c>
      <c r="H209">
        <v>0.05</v>
      </c>
      <c r="I209" t="s">
        <v>112</v>
      </c>
      <c r="J209">
        <v>14</v>
      </c>
      <c r="Q209" s="22"/>
    </row>
    <row r="210" spans="1:17" x14ac:dyDescent="0.3">
      <c r="A210" t="s">
        <v>1340</v>
      </c>
      <c r="B210" s="17">
        <v>43301</v>
      </c>
      <c r="C210" t="s">
        <v>111</v>
      </c>
      <c r="D210" t="s">
        <v>99</v>
      </c>
      <c r="E210">
        <v>20</v>
      </c>
      <c r="F210">
        <v>150</v>
      </c>
      <c r="G210">
        <v>3000</v>
      </c>
      <c r="H210">
        <v>0.09</v>
      </c>
      <c r="I210" t="s">
        <v>113</v>
      </c>
      <c r="J210">
        <v>270</v>
      </c>
      <c r="Q210" s="21"/>
    </row>
    <row r="211" spans="1:17" x14ac:dyDescent="0.3">
      <c r="A211" t="s">
        <v>1341</v>
      </c>
      <c r="B211" s="17">
        <v>43301</v>
      </c>
      <c r="C211" t="s">
        <v>98</v>
      </c>
      <c r="D211" t="s">
        <v>104</v>
      </c>
      <c r="E211">
        <v>4</v>
      </c>
      <c r="F211">
        <v>40</v>
      </c>
      <c r="G211">
        <v>160</v>
      </c>
      <c r="H211">
        <v>0.11</v>
      </c>
      <c r="I211" t="s">
        <v>114</v>
      </c>
      <c r="J211">
        <v>17.600000000000001</v>
      </c>
      <c r="Q211" s="22"/>
    </row>
    <row r="212" spans="1:17" x14ac:dyDescent="0.3">
      <c r="A212" t="s">
        <v>1342</v>
      </c>
      <c r="B212" s="17">
        <v>43302</v>
      </c>
      <c r="C212" t="s">
        <v>101</v>
      </c>
      <c r="D212" t="s">
        <v>104</v>
      </c>
      <c r="E212">
        <v>2</v>
      </c>
      <c r="F212">
        <v>230</v>
      </c>
      <c r="G212">
        <v>460</v>
      </c>
      <c r="H212">
        <v>0.09</v>
      </c>
      <c r="I212" t="s">
        <v>97</v>
      </c>
      <c r="J212">
        <v>41.4</v>
      </c>
      <c r="Q212" s="21"/>
    </row>
    <row r="213" spans="1:17" x14ac:dyDescent="0.3">
      <c r="A213" t="s">
        <v>1343</v>
      </c>
      <c r="B213" s="17">
        <v>43302</v>
      </c>
      <c r="C213" t="s">
        <v>98</v>
      </c>
      <c r="D213" t="s">
        <v>99</v>
      </c>
      <c r="E213">
        <v>7</v>
      </c>
      <c r="F213">
        <v>40</v>
      </c>
      <c r="G213">
        <v>280</v>
      </c>
      <c r="H213">
        <v>0.01</v>
      </c>
      <c r="I213" t="s">
        <v>100</v>
      </c>
      <c r="J213">
        <v>2.8000000000000003</v>
      </c>
      <c r="Q213" s="22"/>
    </row>
    <row r="214" spans="1:17" x14ac:dyDescent="0.3">
      <c r="A214" t="s">
        <v>1344</v>
      </c>
      <c r="B214" s="17">
        <v>43302</v>
      </c>
      <c r="C214" t="s">
        <v>98</v>
      </c>
      <c r="D214" t="s">
        <v>96</v>
      </c>
      <c r="E214">
        <v>2</v>
      </c>
      <c r="F214">
        <v>40</v>
      </c>
      <c r="G214">
        <v>80</v>
      </c>
      <c r="H214">
        <v>0.12</v>
      </c>
      <c r="I214" t="s">
        <v>102</v>
      </c>
      <c r="J214">
        <v>9.6</v>
      </c>
      <c r="Q214" s="21"/>
    </row>
    <row r="215" spans="1:17" x14ac:dyDescent="0.3">
      <c r="A215" t="s">
        <v>1345</v>
      </c>
      <c r="B215" s="17">
        <v>43302</v>
      </c>
      <c r="C215" t="s">
        <v>95</v>
      </c>
      <c r="D215" t="s">
        <v>99</v>
      </c>
      <c r="E215">
        <v>3</v>
      </c>
      <c r="F215">
        <v>80</v>
      </c>
      <c r="G215">
        <v>240</v>
      </c>
      <c r="H215">
        <v>0.02</v>
      </c>
      <c r="I215" t="s">
        <v>103</v>
      </c>
      <c r="J215">
        <v>4.8</v>
      </c>
      <c r="Q215" s="22"/>
    </row>
    <row r="216" spans="1:17" x14ac:dyDescent="0.3">
      <c r="A216" t="s">
        <v>1346</v>
      </c>
      <c r="B216" s="17">
        <v>43302</v>
      </c>
      <c r="C216" t="s">
        <v>108</v>
      </c>
      <c r="D216" t="s">
        <v>96</v>
      </c>
      <c r="E216">
        <v>18</v>
      </c>
      <c r="F216">
        <v>16</v>
      </c>
      <c r="G216">
        <v>288</v>
      </c>
      <c r="H216">
        <v>0.11</v>
      </c>
      <c r="I216" t="s">
        <v>105</v>
      </c>
      <c r="J216">
        <v>31.68</v>
      </c>
      <c r="Q216" s="21"/>
    </row>
    <row r="217" spans="1:17" x14ac:dyDescent="0.3">
      <c r="A217" t="s">
        <v>1347</v>
      </c>
      <c r="B217" s="17">
        <v>43302</v>
      </c>
      <c r="C217" t="s">
        <v>95</v>
      </c>
      <c r="D217" t="s">
        <v>99</v>
      </c>
      <c r="E217">
        <v>5</v>
      </c>
      <c r="F217">
        <v>80</v>
      </c>
      <c r="G217">
        <v>400</v>
      </c>
      <c r="H217">
        <v>7.0000000000000007E-2</v>
      </c>
      <c r="I217" t="s">
        <v>107</v>
      </c>
      <c r="J217">
        <v>28.000000000000004</v>
      </c>
      <c r="Q217" s="22"/>
    </row>
    <row r="218" spans="1:17" x14ac:dyDescent="0.3">
      <c r="A218" t="s">
        <v>1348</v>
      </c>
      <c r="B218" s="17">
        <v>43302</v>
      </c>
      <c r="C218" t="s">
        <v>108</v>
      </c>
      <c r="D218" t="s">
        <v>104</v>
      </c>
      <c r="E218">
        <v>3</v>
      </c>
      <c r="F218">
        <v>16</v>
      </c>
      <c r="G218">
        <v>48</v>
      </c>
      <c r="H218">
        <v>0.05</v>
      </c>
      <c r="I218" t="s">
        <v>110</v>
      </c>
      <c r="J218">
        <v>2.4000000000000004</v>
      </c>
      <c r="Q218" s="21"/>
    </row>
    <row r="219" spans="1:17" x14ac:dyDescent="0.3">
      <c r="A219" t="s">
        <v>1349</v>
      </c>
      <c r="B219" s="17">
        <v>43302</v>
      </c>
      <c r="C219" t="s">
        <v>95</v>
      </c>
      <c r="D219" t="s">
        <v>106</v>
      </c>
      <c r="E219">
        <v>7</v>
      </c>
      <c r="F219">
        <v>80</v>
      </c>
      <c r="G219">
        <v>560</v>
      </c>
      <c r="H219">
        <v>0.02</v>
      </c>
      <c r="I219" t="s">
        <v>112</v>
      </c>
      <c r="J219">
        <v>11.200000000000001</v>
      </c>
      <c r="Q219" s="22"/>
    </row>
    <row r="220" spans="1:17" x14ac:dyDescent="0.3">
      <c r="A220" t="s">
        <v>1350</v>
      </c>
      <c r="B220" s="17">
        <v>43302</v>
      </c>
      <c r="C220" t="s">
        <v>111</v>
      </c>
      <c r="D220" t="s">
        <v>106</v>
      </c>
      <c r="E220">
        <v>15</v>
      </c>
      <c r="F220">
        <v>150</v>
      </c>
      <c r="G220">
        <v>2250</v>
      </c>
      <c r="H220">
        <v>0.08</v>
      </c>
      <c r="I220" t="s">
        <v>113</v>
      </c>
      <c r="J220">
        <v>180</v>
      </c>
      <c r="Q220" s="21"/>
    </row>
    <row r="221" spans="1:17" x14ac:dyDescent="0.3">
      <c r="A221" t="s">
        <v>1351</v>
      </c>
      <c r="B221" s="17">
        <v>43302</v>
      </c>
      <c r="C221" t="s">
        <v>95</v>
      </c>
      <c r="D221" t="s">
        <v>104</v>
      </c>
      <c r="E221">
        <v>10</v>
      </c>
      <c r="F221">
        <v>80</v>
      </c>
      <c r="G221">
        <v>800</v>
      </c>
      <c r="H221">
        <v>0.11</v>
      </c>
      <c r="I221" t="s">
        <v>114</v>
      </c>
      <c r="J221">
        <v>88</v>
      </c>
      <c r="Q221" s="22"/>
    </row>
    <row r="222" spans="1:17" x14ac:dyDescent="0.3">
      <c r="A222" t="s">
        <v>1352</v>
      </c>
      <c r="B222" s="17">
        <v>43302</v>
      </c>
      <c r="C222" t="s">
        <v>101</v>
      </c>
      <c r="D222" t="s">
        <v>109</v>
      </c>
      <c r="E222">
        <v>13</v>
      </c>
      <c r="F222">
        <v>230</v>
      </c>
      <c r="G222">
        <v>2990</v>
      </c>
      <c r="H222">
        <v>0.06</v>
      </c>
      <c r="I222" t="s">
        <v>115</v>
      </c>
      <c r="J222">
        <v>179.4</v>
      </c>
      <c r="Q222" s="21"/>
    </row>
    <row r="223" spans="1:17" x14ac:dyDescent="0.3">
      <c r="A223" t="s">
        <v>1353</v>
      </c>
      <c r="B223" s="17">
        <v>43302</v>
      </c>
      <c r="C223" t="s">
        <v>98</v>
      </c>
      <c r="D223" t="s">
        <v>96</v>
      </c>
      <c r="E223">
        <v>7</v>
      </c>
      <c r="F223">
        <v>40</v>
      </c>
      <c r="G223">
        <v>280</v>
      </c>
      <c r="H223">
        <v>0.1</v>
      </c>
      <c r="I223" t="s">
        <v>116</v>
      </c>
      <c r="J223">
        <v>28</v>
      </c>
      <c r="Q223" s="22"/>
    </row>
    <row r="224" spans="1:17" x14ac:dyDescent="0.3">
      <c r="A224" t="s">
        <v>1354</v>
      </c>
      <c r="B224" s="17">
        <v>43302</v>
      </c>
      <c r="C224" t="s">
        <v>108</v>
      </c>
      <c r="D224" t="s">
        <v>104</v>
      </c>
      <c r="E224">
        <v>6</v>
      </c>
      <c r="F224">
        <v>16</v>
      </c>
      <c r="G224">
        <v>96</v>
      </c>
      <c r="H224">
        <v>0.01</v>
      </c>
      <c r="I224" t="s">
        <v>97</v>
      </c>
      <c r="J224">
        <v>0.96</v>
      </c>
      <c r="Q224" s="21"/>
    </row>
    <row r="225" spans="1:17" x14ac:dyDescent="0.3">
      <c r="A225" t="s">
        <v>1355</v>
      </c>
      <c r="B225" s="17">
        <v>43303</v>
      </c>
      <c r="C225" t="s">
        <v>98</v>
      </c>
      <c r="D225" t="s">
        <v>104</v>
      </c>
      <c r="E225">
        <v>11</v>
      </c>
      <c r="F225">
        <v>40</v>
      </c>
      <c r="G225">
        <v>440</v>
      </c>
      <c r="H225">
        <v>0.05</v>
      </c>
      <c r="I225" t="s">
        <v>100</v>
      </c>
      <c r="J225">
        <v>22</v>
      </c>
      <c r="Q225" s="22"/>
    </row>
    <row r="226" spans="1:17" x14ac:dyDescent="0.3">
      <c r="A226" t="s">
        <v>1356</v>
      </c>
      <c r="B226" s="17">
        <v>43303</v>
      </c>
      <c r="C226" t="s">
        <v>95</v>
      </c>
      <c r="D226" t="s">
        <v>106</v>
      </c>
      <c r="E226">
        <v>8</v>
      </c>
      <c r="F226">
        <v>80</v>
      </c>
      <c r="G226">
        <v>640</v>
      </c>
      <c r="H226">
        <v>0.06</v>
      </c>
      <c r="I226" t="s">
        <v>102</v>
      </c>
      <c r="J226">
        <v>38.4</v>
      </c>
      <c r="Q226" s="21"/>
    </row>
    <row r="227" spans="1:17" x14ac:dyDescent="0.3">
      <c r="A227" t="s">
        <v>1357</v>
      </c>
      <c r="B227" s="17">
        <v>43303</v>
      </c>
      <c r="C227" t="s">
        <v>95</v>
      </c>
      <c r="D227" t="s">
        <v>96</v>
      </c>
      <c r="E227">
        <v>9</v>
      </c>
      <c r="F227">
        <v>80</v>
      </c>
      <c r="G227">
        <v>720</v>
      </c>
      <c r="H227">
        <v>0.04</v>
      </c>
      <c r="I227" t="s">
        <v>103</v>
      </c>
      <c r="J227">
        <v>28.8</v>
      </c>
      <c r="Q227" s="22"/>
    </row>
    <row r="228" spans="1:17" x14ac:dyDescent="0.3">
      <c r="A228" t="s">
        <v>1358</v>
      </c>
      <c r="B228" s="17">
        <v>43303</v>
      </c>
      <c r="C228" t="s">
        <v>98</v>
      </c>
      <c r="D228" t="s">
        <v>109</v>
      </c>
      <c r="E228">
        <v>4</v>
      </c>
      <c r="F228">
        <v>40</v>
      </c>
      <c r="G228">
        <v>160</v>
      </c>
      <c r="H228">
        <v>0.09</v>
      </c>
      <c r="I228" t="s">
        <v>105</v>
      </c>
      <c r="J228">
        <v>14.399999999999999</v>
      </c>
      <c r="Q228" s="21"/>
    </row>
    <row r="229" spans="1:17" x14ac:dyDescent="0.3">
      <c r="A229" t="s">
        <v>1359</v>
      </c>
      <c r="B229" s="17">
        <v>43303</v>
      </c>
      <c r="C229" t="s">
        <v>95</v>
      </c>
      <c r="D229" t="s">
        <v>99</v>
      </c>
      <c r="E229">
        <v>13</v>
      </c>
      <c r="F229">
        <v>80</v>
      </c>
      <c r="G229">
        <v>1040</v>
      </c>
      <c r="H229">
        <v>0.06</v>
      </c>
      <c r="I229" t="s">
        <v>107</v>
      </c>
      <c r="J229">
        <v>62.4</v>
      </c>
      <c r="Q229" s="22"/>
    </row>
    <row r="230" spans="1:17" x14ac:dyDescent="0.3">
      <c r="A230" t="s">
        <v>1360</v>
      </c>
      <c r="B230" s="17">
        <v>43303</v>
      </c>
      <c r="C230" t="s">
        <v>111</v>
      </c>
      <c r="D230" t="s">
        <v>109</v>
      </c>
      <c r="E230">
        <v>4</v>
      </c>
      <c r="F230">
        <v>150</v>
      </c>
      <c r="G230">
        <v>600</v>
      </c>
      <c r="H230">
        <v>0.05</v>
      </c>
      <c r="I230" t="s">
        <v>110</v>
      </c>
      <c r="J230">
        <v>30</v>
      </c>
      <c r="Q230" s="21"/>
    </row>
    <row r="231" spans="1:17" x14ac:dyDescent="0.3">
      <c r="A231" t="s">
        <v>1361</v>
      </c>
      <c r="B231" s="17">
        <v>43303</v>
      </c>
      <c r="C231" t="s">
        <v>101</v>
      </c>
      <c r="D231" t="s">
        <v>104</v>
      </c>
      <c r="E231">
        <v>14</v>
      </c>
      <c r="F231">
        <v>230</v>
      </c>
      <c r="G231">
        <v>3220</v>
      </c>
      <c r="H231">
        <v>0.12</v>
      </c>
      <c r="I231" t="s">
        <v>112</v>
      </c>
      <c r="J231">
        <v>386.4</v>
      </c>
      <c r="Q231" s="22"/>
    </row>
    <row r="232" spans="1:17" x14ac:dyDescent="0.3">
      <c r="A232" t="s">
        <v>1362</v>
      </c>
      <c r="B232" s="17">
        <v>43303</v>
      </c>
      <c r="C232" t="s">
        <v>111</v>
      </c>
      <c r="D232" t="s">
        <v>109</v>
      </c>
      <c r="E232">
        <v>13</v>
      </c>
      <c r="F232">
        <v>150</v>
      </c>
      <c r="G232">
        <v>1950</v>
      </c>
      <c r="H232">
        <v>0.11</v>
      </c>
      <c r="I232" t="s">
        <v>113</v>
      </c>
      <c r="J232">
        <v>214.5</v>
      </c>
      <c r="Q232" s="21"/>
    </row>
    <row r="233" spans="1:17" x14ac:dyDescent="0.3">
      <c r="A233" t="s">
        <v>1363</v>
      </c>
      <c r="B233" s="17">
        <v>43303</v>
      </c>
      <c r="C233" t="s">
        <v>111</v>
      </c>
      <c r="D233" t="s">
        <v>99</v>
      </c>
      <c r="E233">
        <v>16</v>
      </c>
      <c r="F233">
        <v>150</v>
      </c>
      <c r="G233">
        <v>2400</v>
      </c>
      <c r="H233">
        <v>0.03</v>
      </c>
      <c r="I233" t="s">
        <v>114</v>
      </c>
      <c r="J233">
        <v>72</v>
      </c>
      <c r="Q233" s="22"/>
    </row>
    <row r="234" spans="1:17" x14ac:dyDescent="0.3">
      <c r="A234" t="s">
        <v>1364</v>
      </c>
      <c r="B234" s="17">
        <v>43303</v>
      </c>
      <c r="C234" t="s">
        <v>108</v>
      </c>
      <c r="D234" t="s">
        <v>96</v>
      </c>
      <c r="E234">
        <v>7</v>
      </c>
      <c r="F234">
        <v>16</v>
      </c>
      <c r="G234">
        <v>112</v>
      </c>
      <c r="H234">
        <v>0.12</v>
      </c>
      <c r="I234" t="s">
        <v>115</v>
      </c>
      <c r="J234">
        <v>13.44</v>
      </c>
      <c r="Q234" s="21"/>
    </row>
    <row r="235" spans="1:17" x14ac:dyDescent="0.3">
      <c r="A235" t="s">
        <v>1365</v>
      </c>
      <c r="B235" s="17">
        <v>43303</v>
      </c>
      <c r="C235" t="s">
        <v>111</v>
      </c>
      <c r="D235" t="s">
        <v>106</v>
      </c>
      <c r="E235">
        <v>9</v>
      </c>
      <c r="F235">
        <v>150</v>
      </c>
      <c r="G235">
        <v>1350</v>
      </c>
      <c r="H235">
        <v>0.02</v>
      </c>
      <c r="I235" t="s">
        <v>116</v>
      </c>
      <c r="J235">
        <v>27</v>
      </c>
      <c r="Q235" s="22"/>
    </row>
    <row r="236" spans="1:17" x14ac:dyDescent="0.3">
      <c r="A236" t="s">
        <v>1366</v>
      </c>
      <c r="B236" s="17">
        <v>43303</v>
      </c>
      <c r="C236" t="s">
        <v>108</v>
      </c>
      <c r="D236" t="s">
        <v>96</v>
      </c>
      <c r="E236">
        <v>10</v>
      </c>
      <c r="F236">
        <v>16</v>
      </c>
      <c r="G236">
        <v>160</v>
      </c>
      <c r="H236">
        <v>0.08</v>
      </c>
      <c r="I236" t="s">
        <v>97</v>
      </c>
      <c r="J236">
        <v>12.8</v>
      </c>
      <c r="Q236" s="21"/>
    </row>
    <row r="237" spans="1:17" x14ac:dyDescent="0.3">
      <c r="A237" t="s">
        <v>1367</v>
      </c>
      <c r="B237" s="17">
        <v>43303</v>
      </c>
      <c r="C237" t="s">
        <v>95</v>
      </c>
      <c r="D237" t="s">
        <v>106</v>
      </c>
      <c r="E237">
        <v>15</v>
      </c>
      <c r="F237">
        <v>80</v>
      </c>
      <c r="G237">
        <v>1200</v>
      </c>
      <c r="H237">
        <v>0.08</v>
      </c>
      <c r="I237" t="s">
        <v>100</v>
      </c>
      <c r="J237">
        <v>96</v>
      </c>
      <c r="Q237" s="22"/>
    </row>
    <row r="238" spans="1:17" x14ac:dyDescent="0.3">
      <c r="A238" t="s">
        <v>1368</v>
      </c>
      <c r="B238" s="17">
        <v>43303</v>
      </c>
      <c r="C238" t="s">
        <v>95</v>
      </c>
      <c r="D238" t="s">
        <v>109</v>
      </c>
      <c r="E238">
        <v>9</v>
      </c>
      <c r="F238">
        <v>80</v>
      </c>
      <c r="G238">
        <v>720</v>
      </c>
      <c r="H238">
        <v>0.06</v>
      </c>
      <c r="I238" t="s">
        <v>102</v>
      </c>
      <c r="J238">
        <v>43.199999999999996</v>
      </c>
      <c r="Q238" s="21"/>
    </row>
    <row r="239" spans="1:17" x14ac:dyDescent="0.3">
      <c r="A239" t="s">
        <v>1369</v>
      </c>
      <c r="B239" s="17">
        <v>43304</v>
      </c>
      <c r="C239" t="s">
        <v>108</v>
      </c>
      <c r="D239" t="s">
        <v>106</v>
      </c>
      <c r="E239">
        <v>7</v>
      </c>
      <c r="F239">
        <v>16</v>
      </c>
      <c r="G239">
        <v>112</v>
      </c>
      <c r="H239">
        <v>0.08</v>
      </c>
      <c r="I239" t="s">
        <v>103</v>
      </c>
      <c r="J239">
        <v>8.9600000000000009</v>
      </c>
      <c r="Q239" s="22"/>
    </row>
    <row r="240" spans="1:17" x14ac:dyDescent="0.3">
      <c r="A240" t="s">
        <v>1370</v>
      </c>
      <c r="B240" s="17">
        <v>43304</v>
      </c>
      <c r="C240" t="s">
        <v>111</v>
      </c>
      <c r="D240" t="s">
        <v>109</v>
      </c>
      <c r="E240">
        <v>7</v>
      </c>
      <c r="F240">
        <v>150</v>
      </c>
      <c r="G240">
        <v>1050</v>
      </c>
      <c r="H240">
        <v>0.03</v>
      </c>
      <c r="I240" t="s">
        <v>105</v>
      </c>
      <c r="J240">
        <v>31.5</v>
      </c>
      <c r="Q240" s="21"/>
    </row>
    <row r="241" spans="1:17" x14ac:dyDescent="0.3">
      <c r="A241" t="s">
        <v>1371</v>
      </c>
      <c r="B241" s="17">
        <v>43304</v>
      </c>
      <c r="C241" t="s">
        <v>101</v>
      </c>
      <c r="D241" t="s">
        <v>106</v>
      </c>
      <c r="E241">
        <v>16</v>
      </c>
      <c r="F241">
        <v>230</v>
      </c>
      <c r="G241">
        <v>3680</v>
      </c>
      <c r="H241">
        <v>0.11</v>
      </c>
      <c r="I241" t="s">
        <v>107</v>
      </c>
      <c r="J241">
        <v>404.8</v>
      </c>
      <c r="Q241" s="22"/>
    </row>
    <row r="242" spans="1:17" x14ac:dyDescent="0.3">
      <c r="A242" t="s">
        <v>1372</v>
      </c>
      <c r="B242" s="17">
        <v>43304</v>
      </c>
      <c r="C242" t="s">
        <v>108</v>
      </c>
      <c r="D242" t="s">
        <v>106</v>
      </c>
      <c r="E242">
        <v>18</v>
      </c>
      <c r="F242">
        <v>16</v>
      </c>
      <c r="G242">
        <v>288</v>
      </c>
      <c r="H242">
        <v>0.04</v>
      </c>
      <c r="I242" t="s">
        <v>110</v>
      </c>
      <c r="J242">
        <v>11.52</v>
      </c>
      <c r="Q242" s="21"/>
    </row>
    <row r="243" spans="1:17" x14ac:dyDescent="0.3">
      <c r="A243" t="s">
        <v>1373</v>
      </c>
      <c r="B243" s="17">
        <v>43304</v>
      </c>
      <c r="C243" t="s">
        <v>101</v>
      </c>
      <c r="D243" t="s">
        <v>109</v>
      </c>
      <c r="E243">
        <v>20</v>
      </c>
      <c r="F243">
        <v>230</v>
      </c>
      <c r="G243">
        <v>4600</v>
      </c>
      <c r="H243">
        <v>0.11</v>
      </c>
      <c r="I243" t="s">
        <v>112</v>
      </c>
      <c r="J243">
        <v>506</v>
      </c>
      <c r="Q243" s="22"/>
    </row>
    <row r="244" spans="1:17" x14ac:dyDescent="0.3">
      <c r="A244" t="s">
        <v>1374</v>
      </c>
      <c r="B244" s="17">
        <v>43304</v>
      </c>
      <c r="C244" t="s">
        <v>111</v>
      </c>
      <c r="D244" t="s">
        <v>96</v>
      </c>
      <c r="E244">
        <v>7</v>
      </c>
      <c r="F244">
        <v>150</v>
      </c>
      <c r="G244">
        <v>1050</v>
      </c>
      <c r="H244">
        <v>0.02</v>
      </c>
      <c r="I244" t="s">
        <v>113</v>
      </c>
      <c r="J244">
        <v>21</v>
      </c>
      <c r="Q244" s="21"/>
    </row>
    <row r="245" spans="1:17" x14ac:dyDescent="0.3">
      <c r="A245" t="s">
        <v>1375</v>
      </c>
      <c r="B245" s="17">
        <v>43304</v>
      </c>
      <c r="C245" t="s">
        <v>108</v>
      </c>
      <c r="D245" t="s">
        <v>104</v>
      </c>
      <c r="E245">
        <v>11</v>
      </c>
      <c r="F245">
        <v>16</v>
      </c>
      <c r="G245">
        <v>176</v>
      </c>
      <c r="H245">
        <v>0.12</v>
      </c>
      <c r="I245" t="s">
        <v>114</v>
      </c>
      <c r="J245">
        <v>21.119999999999997</v>
      </c>
      <c r="Q245" s="22"/>
    </row>
    <row r="246" spans="1:17" x14ac:dyDescent="0.3">
      <c r="A246" t="s">
        <v>1376</v>
      </c>
      <c r="B246" s="17">
        <v>43304</v>
      </c>
      <c r="C246" t="s">
        <v>98</v>
      </c>
      <c r="D246" t="s">
        <v>104</v>
      </c>
      <c r="E246">
        <v>12</v>
      </c>
      <c r="F246">
        <v>40</v>
      </c>
      <c r="G246">
        <v>480</v>
      </c>
      <c r="H246">
        <v>0.02</v>
      </c>
      <c r="I246" t="s">
        <v>115</v>
      </c>
      <c r="J246">
        <v>9.6</v>
      </c>
      <c r="Q246" s="21"/>
    </row>
    <row r="247" spans="1:17" x14ac:dyDescent="0.3">
      <c r="A247" t="s">
        <v>1377</v>
      </c>
      <c r="B247" s="17">
        <v>43304</v>
      </c>
      <c r="C247" t="s">
        <v>111</v>
      </c>
      <c r="D247" t="s">
        <v>109</v>
      </c>
      <c r="E247">
        <v>7</v>
      </c>
      <c r="F247">
        <v>150</v>
      </c>
      <c r="G247">
        <v>1050</v>
      </c>
      <c r="H247">
        <v>0.02</v>
      </c>
      <c r="I247" t="s">
        <v>116</v>
      </c>
      <c r="J247">
        <v>21</v>
      </c>
      <c r="Q247" s="22"/>
    </row>
    <row r="248" spans="1:17" x14ac:dyDescent="0.3">
      <c r="A248" t="s">
        <v>1378</v>
      </c>
      <c r="B248" s="17">
        <v>43304</v>
      </c>
      <c r="C248" t="s">
        <v>95</v>
      </c>
      <c r="D248" t="s">
        <v>104</v>
      </c>
      <c r="E248">
        <v>14</v>
      </c>
      <c r="F248">
        <v>80</v>
      </c>
      <c r="G248">
        <v>1120</v>
      </c>
      <c r="H248">
        <v>0.1</v>
      </c>
      <c r="I248" t="s">
        <v>97</v>
      </c>
      <c r="J248">
        <v>112</v>
      </c>
      <c r="Q248" s="21"/>
    </row>
    <row r="249" spans="1:17" x14ac:dyDescent="0.3">
      <c r="A249" t="s">
        <v>1379</v>
      </c>
      <c r="B249" s="17">
        <v>43304</v>
      </c>
      <c r="C249" t="s">
        <v>101</v>
      </c>
      <c r="D249" t="s">
        <v>104</v>
      </c>
      <c r="E249">
        <v>12</v>
      </c>
      <c r="F249">
        <v>230</v>
      </c>
      <c r="G249">
        <v>2760</v>
      </c>
      <c r="H249">
        <v>0.06</v>
      </c>
      <c r="I249" t="s">
        <v>100</v>
      </c>
      <c r="J249">
        <v>165.6</v>
      </c>
      <c r="Q249" s="22"/>
    </row>
    <row r="250" spans="1:17" x14ac:dyDescent="0.3">
      <c r="A250" t="s">
        <v>1380</v>
      </c>
      <c r="B250" s="17">
        <v>43305</v>
      </c>
      <c r="C250" t="s">
        <v>95</v>
      </c>
      <c r="D250" t="s">
        <v>99</v>
      </c>
      <c r="E250">
        <v>21</v>
      </c>
      <c r="F250">
        <v>80</v>
      </c>
      <c r="G250">
        <v>1680</v>
      </c>
      <c r="H250">
        <v>0.04</v>
      </c>
      <c r="I250" t="s">
        <v>102</v>
      </c>
      <c r="J250">
        <v>67.2</v>
      </c>
      <c r="Q250" s="21"/>
    </row>
    <row r="251" spans="1:17" x14ac:dyDescent="0.3">
      <c r="A251" t="s">
        <v>1381</v>
      </c>
      <c r="B251" s="17">
        <v>43305</v>
      </c>
      <c r="C251" t="s">
        <v>111</v>
      </c>
      <c r="D251" t="s">
        <v>96</v>
      </c>
      <c r="E251">
        <v>8</v>
      </c>
      <c r="F251">
        <v>150</v>
      </c>
      <c r="G251">
        <v>1200</v>
      </c>
      <c r="H251">
        <v>0.09</v>
      </c>
      <c r="I251" t="s">
        <v>103</v>
      </c>
      <c r="J251">
        <v>108</v>
      </c>
      <c r="Q251" s="22"/>
    </row>
    <row r="252" spans="1:17" x14ac:dyDescent="0.3">
      <c r="A252" t="s">
        <v>1382</v>
      </c>
      <c r="B252" s="17">
        <v>43305</v>
      </c>
      <c r="C252" t="s">
        <v>95</v>
      </c>
      <c r="D252" t="s">
        <v>99</v>
      </c>
      <c r="E252">
        <v>16</v>
      </c>
      <c r="F252">
        <v>80</v>
      </c>
      <c r="G252">
        <v>1280</v>
      </c>
      <c r="H252">
        <v>0.04</v>
      </c>
      <c r="I252" t="s">
        <v>105</v>
      </c>
      <c r="J252">
        <v>51.2</v>
      </c>
      <c r="Q252" s="21"/>
    </row>
    <row r="253" spans="1:17" x14ac:dyDescent="0.3">
      <c r="A253" t="s">
        <v>1383</v>
      </c>
      <c r="B253" s="17">
        <v>43305</v>
      </c>
      <c r="C253" t="s">
        <v>101</v>
      </c>
      <c r="D253" t="s">
        <v>99</v>
      </c>
      <c r="E253">
        <v>14</v>
      </c>
      <c r="F253">
        <v>230</v>
      </c>
      <c r="G253">
        <v>3220</v>
      </c>
      <c r="H253">
        <v>0.05</v>
      </c>
      <c r="I253" t="s">
        <v>107</v>
      </c>
      <c r="J253">
        <v>161</v>
      </c>
      <c r="Q253" s="22"/>
    </row>
    <row r="254" spans="1:17" x14ac:dyDescent="0.3">
      <c r="A254" t="s">
        <v>1384</v>
      </c>
      <c r="B254" s="17">
        <v>43305</v>
      </c>
      <c r="C254" t="s">
        <v>98</v>
      </c>
      <c r="D254" t="s">
        <v>104</v>
      </c>
      <c r="E254">
        <v>2</v>
      </c>
      <c r="F254">
        <v>40</v>
      </c>
      <c r="G254">
        <v>80</v>
      </c>
      <c r="H254">
        <v>0.03</v>
      </c>
      <c r="I254" t="s">
        <v>110</v>
      </c>
      <c r="J254">
        <v>2.4</v>
      </c>
      <c r="Q254" s="21"/>
    </row>
    <row r="255" spans="1:17" x14ac:dyDescent="0.3">
      <c r="A255" t="s">
        <v>1385</v>
      </c>
      <c r="B255" s="17">
        <v>43305</v>
      </c>
      <c r="C255" t="s">
        <v>111</v>
      </c>
      <c r="D255" t="s">
        <v>96</v>
      </c>
      <c r="E255">
        <v>4</v>
      </c>
      <c r="F255">
        <v>150</v>
      </c>
      <c r="G255">
        <v>600</v>
      </c>
      <c r="H255">
        <v>0.1</v>
      </c>
      <c r="I255" t="s">
        <v>112</v>
      </c>
      <c r="J255">
        <v>60</v>
      </c>
      <c r="Q255" s="22"/>
    </row>
    <row r="256" spans="1:17" x14ac:dyDescent="0.3">
      <c r="A256" t="s">
        <v>1386</v>
      </c>
      <c r="B256" s="17">
        <v>43305</v>
      </c>
      <c r="C256" t="s">
        <v>95</v>
      </c>
      <c r="D256" t="s">
        <v>104</v>
      </c>
      <c r="E256">
        <v>6</v>
      </c>
      <c r="F256">
        <v>80</v>
      </c>
      <c r="G256">
        <v>480</v>
      </c>
      <c r="H256">
        <v>0.01</v>
      </c>
      <c r="I256" t="s">
        <v>113</v>
      </c>
      <c r="J256">
        <v>4.8</v>
      </c>
      <c r="Q256" s="21"/>
    </row>
    <row r="257" spans="1:17" x14ac:dyDescent="0.3">
      <c r="A257" t="s">
        <v>1387</v>
      </c>
      <c r="B257" s="17">
        <v>43305</v>
      </c>
      <c r="C257" t="s">
        <v>98</v>
      </c>
      <c r="D257" t="s">
        <v>104</v>
      </c>
      <c r="E257">
        <v>6</v>
      </c>
      <c r="F257">
        <v>40</v>
      </c>
      <c r="G257">
        <v>240</v>
      </c>
      <c r="H257">
        <v>0.06</v>
      </c>
      <c r="I257" t="s">
        <v>114</v>
      </c>
      <c r="J257">
        <v>14.399999999999999</v>
      </c>
      <c r="Q257" s="22"/>
    </row>
    <row r="258" spans="1:17" x14ac:dyDescent="0.3">
      <c r="A258" t="s">
        <v>1388</v>
      </c>
      <c r="B258" s="17">
        <v>43305</v>
      </c>
      <c r="C258" t="s">
        <v>111</v>
      </c>
      <c r="D258" t="s">
        <v>96</v>
      </c>
      <c r="E258">
        <v>20</v>
      </c>
      <c r="F258">
        <v>150</v>
      </c>
      <c r="G258">
        <v>3000</v>
      </c>
      <c r="H258">
        <v>0.04</v>
      </c>
      <c r="I258" t="s">
        <v>115</v>
      </c>
      <c r="J258">
        <v>120</v>
      </c>
      <c r="Q258" s="21"/>
    </row>
    <row r="259" spans="1:17" x14ac:dyDescent="0.3">
      <c r="A259" t="s">
        <v>1389</v>
      </c>
      <c r="B259" s="17">
        <v>43305</v>
      </c>
      <c r="C259" t="s">
        <v>98</v>
      </c>
      <c r="D259" t="s">
        <v>104</v>
      </c>
      <c r="E259">
        <v>18</v>
      </c>
      <c r="F259">
        <v>40</v>
      </c>
      <c r="G259">
        <v>720</v>
      </c>
      <c r="H259">
        <v>0.03</v>
      </c>
      <c r="I259" t="s">
        <v>116</v>
      </c>
      <c r="J259">
        <v>21.599999999999998</v>
      </c>
      <c r="Q259" s="22"/>
    </row>
    <row r="260" spans="1:17" x14ac:dyDescent="0.3">
      <c r="A260" t="s">
        <v>1390</v>
      </c>
      <c r="B260" s="17">
        <v>43305</v>
      </c>
      <c r="C260" t="s">
        <v>101</v>
      </c>
      <c r="D260" t="s">
        <v>106</v>
      </c>
      <c r="E260">
        <v>18</v>
      </c>
      <c r="F260">
        <v>230</v>
      </c>
      <c r="G260">
        <v>4140</v>
      </c>
      <c r="H260">
        <v>0.01</v>
      </c>
      <c r="I260" t="s">
        <v>97</v>
      </c>
      <c r="J260">
        <v>41.4</v>
      </c>
      <c r="Q260" s="21"/>
    </row>
    <row r="261" spans="1:17" x14ac:dyDescent="0.3">
      <c r="A261" t="s">
        <v>1391</v>
      </c>
      <c r="B261" s="17">
        <v>43305</v>
      </c>
      <c r="C261" t="s">
        <v>101</v>
      </c>
      <c r="D261" t="s">
        <v>104</v>
      </c>
      <c r="E261">
        <v>15</v>
      </c>
      <c r="F261">
        <v>230</v>
      </c>
      <c r="G261">
        <v>3450</v>
      </c>
      <c r="H261">
        <v>0.04</v>
      </c>
      <c r="I261" t="s">
        <v>100</v>
      </c>
      <c r="J261">
        <v>138</v>
      </c>
      <c r="Q261" s="22"/>
    </row>
    <row r="262" spans="1:17" x14ac:dyDescent="0.3">
      <c r="A262" t="s">
        <v>1392</v>
      </c>
      <c r="B262" s="17">
        <v>43305</v>
      </c>
      <c r="C262" t="s">
        <v>108</v>
      </c>
      <c r="D262" t="s">
        <v>99</v>
      </c>
      <c r="E262">
        <v>22</v>
      </c>
      <c r="F262">
        <v>16</v>
      </c>
      <c r="G262">
        <v>352</v>
      </c>
      <c r="H262">
        <v>0.01</v>
      </c>
      <c r="I262" t="s">
        <v>102</v>
      </c>
      <c r="J262">
        <v>3.52</v>
      </c>
      <c r="Q262" s="21"/>
    </row>
    <row r="263" spans="1:17" x14ac:dyDescent="0.3">
      <c r="A263" t="s">
        <v>1393</v>
      </c>
      <c r="B263" s="17">
        <v>43305</v>
      </c>
      <c r="C263" t="s">
        <v>111</v>
      </c>
      <c r="D263" t="s">
        <v>96</v>
      </c>
      <c r="E263">
        <v>17</v>
      </c>
      <c r="F263">
        <v>150</v>
      </c>
      <c r="G263">
        <v>2550</v>
      </c>
      <c r="H263">
        <v>0.12</v>
      </c>
      <c r="I263" t="s">
        <v>103</v>
      </c>
      <c r="J263">
        <v>306</v>
      </c>
      <c r="Q263" s="22"/>
    </row>
    <row r="264" spans="1:17" x14ac:dyDescent="0.3">
      <c r="A264" t="s">
        <v>1394</v>
      </c>
      <c r="B264" s="17">
        <v>43306</v>
      </c>
      <c r="C264" t="s">
        <v>108</v>
      </c>
      <c r="D264" t="s">
        <v>99</v>
      </c>
      <c r="E264">
        <v>5</v>
      </c>
      <c r="F264">
        <v>16</v>
      </c>
      <c r="G264">
        <v>80</v>
      </c>
      <c r="H264">
        <v>0.11</v>
      </c>
      <c r="I264" t="s">
        <v>105</v>
      </c>
      <c r="J264">
        <v>8.8000000000000007</v>
      </c>
      <c r="Q264" s="21"/>
    </row>
    <row r="265" spans="1:17" x14ac:dyDescent="0.3">
      <c r="A265" t="s">
        <v>1395</v>
      </c>
      <c r="B265" s="17">
        <v>43306</v>
      </c>
      <c r="C265" t="s">
        <v>111</v>
      </c>
      <c r="D265" t="s">
        <v>96</v>
      </c>
      <c r="E265">
        <v>23</v>
      </c>
      <c r="F265">
        <v>150</v>
      </c>
      <c r="G265">
        <v>3450</v>
      </c>
      <c r="H265">
        <v>0.1</v>
      </c>
      <c r="I265" t="s">
        <v>107</v>
      </c>
      <c r="J265">
        <v>345</v>
      </c>
      <c r="Q265" s="22"/>
    </row>
    <row r="266" spans="1:17" x14ac:dyDescent="0.3">
      <c r="A266" t="s">
        <v>1396</v>
      </c>
      <c r="B266" s="17">
        <v>43306</v>
      </c>
      <c r="C266" t="s">
        <v>111</v>
      </c>
      <c r="D266" t="s">
        <v>106</v>
      </c>
      <c r="E266">
        <v>22</v>
      </c>
      <c r="F266">
        <v>150</v>
      </c>
      <c r="G266">
        <v>3300</v>
      </c>
      <c r="H266">
        <v>0.05</v>
      </c>
      <c r="I266" t="s">
        <v>110</v>
      </c>
      <c r="J266">
        <v>165</v>
      </c>
      <c r="Q266" s="21"/>
    </row>
    <row r="267" spans="1:17" x14ac:dyDescent="0.3">
      <c r="A267" t="s">
        <v>1397</v>
      </c>
      <c r="B267" s="17">
        <v>43306</v>
      </c>
      <c r="C267" t="s">
        <v>108</v>
      </c>
      <c r="D267" t="s">
        <v>109</v>
      </c>
      <c r="E267">
        <v>15</v>
      </c>
      <c r="F267">
        <v>16</v>
      </c>
      <c r="G267">
        <v>240</v>
      </c>
      <c r="H267">
        <v>0.01</v>
      </c>
      <c r="I267" t="s">
        <v>112</v>
      </c>
      <c r="J267">
        <v>2.4</v>
      </c>
      <c r="Q267" s="22"/>
    </row>
    <row r="268" spans="1:17" x14ac:dyDescent="0.3">
      <c r="A268" t="s">
        <v>1398</v>
      </c>
      <c r="B268" s="17">
        <v>43306</v>
      </c>
      <c r="C268" t="s">
        <v>98</v>
      </c>
      <c r="D268" t="s">
        <v>106</v>
      </c>
      <c r="E268">
        <v>7</v>
      </c>
      <c r="F268">
        <v>40</v>
      </c>
      <c r="G268">
        <v>280</v>
      </c>
      <c r="H268">
        <v>7.0000000000000007E-2</v>
      </c>
      <c r="I268" t="s">
        <v>113</v>
      </c>
      <c r="J268">
        <v>19.600000000000001</v>
      </c>
      <c r="Q268" s="21"/>
    </row>
    <row r="269" spans="1:17" x14ac:dyDescent="0.3">
      <c r="A269" t="s">
        <v>1399</v>
      </c>
      <c r="B269" s="17">
        <v>43306</v>
      </c>
      <c r="C269" t="s">
        <v>95</v>
      </c>
      <c r="D269" t="s">
        <v>109</v>
      </c>
      <c r="E269">
        <v>22</v>
      </c>
      <c r="F269">
        <v>80</v>
      </c>
      <c r="G269">
        <v>1760</v>
      </c>
      <c r="H269">
        <v>0.11</v>
      </c>
      <c r="I269" t="s">
        <v>114</v>
      </c>
      <c r="J269">
        <v>193.6</v>
      </c>
      <c r="Q269" s="22"/>
    </row>
    <row r="270" spans="1:17" x14ac:dyDescent="0.3">
      <c r="A270" t="s">
        <v>1400</v>
      </c>
      <c r="B270" s="17">
        <v>43306</v>
      </c>
      <c r="C270" t="s">
        <v>111</v>
      </c>
      <c r="D270" t="s">
        <v>104</v>
      </c>
      <c r="E270">
        <v>11</v>
      </c>
      <c r="F270">
        <v>150</v>
      </c>
      <c r="G270">
        <v>1650</v>
      </c>
      <c r="H270">
        <v>0.05</v>
      </c>
      <c r="I270" t="s">
        <v>115</v>
      </c>
      <c r="J270">
        <v>82.5</v>
      </c>
      <c r="Q270" s="21"/>
    </row>
    <row r="271" spans="1:17" x14ac:dyDescent="0.3">
      <c r="A271" t="s">
        <v>1401</v>
      </c>
      <c r="B271" s="17">
        <v>43306</v>
      </c>
      <c r="C271" t="s">
        <v>98</v>
      </c>
      <c r="D271" t="s">
        <v>99</v>
      </c>
      <c r="E271">
        <v>21</v>
      </c>
      <c r="F271">
        <v>40</v>
      </c>
      <c r="G271">
        <v>840</v>
      </c>
      <c r="H271">
        <v>0.03</v>
      </c>
      <c r="I271" t="s">
        <v>116</v>
      </c>
      <c r="J271">
        <v>25.2</v>
      </c>
      <c r="Q271" s="22"/>
    </row>
    <row r="272" spans="1:17" x14ac:dyDescent="0.3">
      <c r="A272" t="s">
        <v>1402</v>
      </c>
      <c r="B272" s="17">
        <v>43306</v>
      </c>
      <c r="C272" t="s">
        <v>95</v>
      </c>
      <c r="D272" t="s">
        <v>106</v>
      </c>
      <c r="E272">
        <v>23</v>
      </c>
      <c r="F272">
        <v>80</v>
      </c>
      <c r="G272">
        <v>1840</v>
      </c>
      <c r="H272">
        <v>0.11</v>
      </c>
      <c r="I272" t="s">
        <v>97</v>
      </c>
      <c r="J272">
        <v>202.4</v>
      </c>
      <c r="Q272" s="21"/>
    </row>
    <row r="273" spans="1:17" x14ac:dyDescent="0.3">
      <c r="A273" t="s">
        <v>1403</v>
      </c>
      <c r="B273" s="17">
        <v>43306</v>
      </c>
      <c r="C273" t="s">
        <v>101</v>
      </c>
      <c r="D273" t="s">
        <v>104</v>
      </c>
      <c r="E273">
        <v>7</v>
      </c>
      <c r="F273">
        <v>230</v>
      </c>
      <c r="G273">
        <v>1610</v>
      </c>
      <c r="H273">
        <v>0.01</v>
      </c>
      <c r="I273" t="s">
        <v>100</v>
      </c>
      <c r="J273">
        <v>16.100000000000001</v>
      </c>
      <c r="Q273" s="22"/>
    </row>
    <row r="274" spans="1:17" x14ac:dyDescent="0.3">
      <c r="A274" t="s">
        <v>1404</v>
      </c>
      <c r="B274" s="17">
        <v>43306</v>
      </c>
      <c r="C274" t="s">
        <v>101</v>
      </c>
      <c r="D274" t="s">
        <v>96</v>
      </c>
      <c r="E274">
        <v>16</v>
      </c>
      <c r="F274">
        <v>230</v>
      </c>
      <c r="G274">
        <v>3680</v>
      </c>
      <c r="H274">
        <v>7.0000000000000007E-2</v>
      </c>
      <c r="I274" t="s">
        <v>102</v>
      </c>
      <c r="J274">
        <v>257.60000000000002</v>
      </c>
      <c r="Q274" s="21"/>
    </row>
    <row r="275" spans="1:17" x14ac:dyDescent="0.3">
      <c r="A275" t="s">
        <v>1405</v>
      </c>
      <c r="B275" s="17">
        <v>43306</v>
      </c>
      <c r="C275" t="s">
        <v>95</v>
      </c>
      <c r="D275" t="s">
        <v>99</v>
      </c>
      <c r="E275">
        <v>14</v>
      </c>
      <c r="F275">
        <v>80</v>
      </c>
      <c r="G275">
        <v>1120</v>
      </c>
      <c r="H275">
        <v>0.11</v>
      </c>
      <c r="I275" t="s">
        <v>103</v>
      </c>
      <c r="J275">
        <v>123.2</v>
      </c>
      <c r="Q275" s="22"/>
    </row>
    <row r="276" spans="1:17" x14ac:dyDescent="0.3">
      <c r="A276" t="s">
        <v>1406</v>
      </c>
      <c r="B276" s="17">
        <v>43306</v>
      </c>
      <c r="C276" t="s">
        <v>111</v>
      </c>
      <c r="D276" t="s">
        <v>104</v>
      </c>
      <c r="E276">
        <v>22</v>
      </c>
      <c r="F276">
        <v>150</v>
      </c>
      <c r="G276">
        <v>3300</v>
      </c>
      <c r="H276">
        <v>0.09</v>
      </c>
      <c r="I276" t="s">
        <v>105</v>
      </c>
      <c r="J276">
        <v>297</v>
      </c>
      <c r="Q276" s="21"/>
    </row>
    <row r="277" spans="1:17" x14ac:dyDescent="0.3">
      <c r="A277" t="s">
        <v>1407</v>
      </c>
      <c r="B277" s="17">
        <v>43306</v>
      </c>
      <c r="C277" t="s">
        <v>111</v>
      </c>
      <c r="D277" t="s">
        <v>106</v>
      </c>
      <c r="E277">
        <v>4</v>
      </c>
      <c r="F277">
        <v>150</v>
      </c>
      <c r="G277">
        <v>600</v>
      </c>
      <c r="H277">
        <v>0.12</v>
      </c>
      <c r="I277" t="s">
        <v>107</v>
      </c>
      <c r="J277">
        <v>72</v>
      </c>
      <c r="Q277" s="22"/>
    </row>
    <row r="278" spans="1:17" x14ac:dyDescent="0.3">
      <c r="A278" t="s">
        <v>1408</v>
      </c>
      <c r="B278" s="17">
        <v>43306</v>
      </c>
      <c r="C278" t="s">
        <v>111</v>
      </c>
      <c r="D278" t="s">
        <v>96</v>
      </c>
      <c r="E278">
        <v>3</v>
      </c>
      <c r="F278">
        <v>150</v>
      </c>
      <c r="G278">
        <v>450</v>
      </c>
      <c r="H278">
        <v>0.03</v>
      </c>
      <c r="I278" t="s">
        <v>110</v>
      </c>
      <c r="J278">
        <v>13.5</v>
      </c>
      <c r="Q278" s="21"/>
    </row>
    <row r="279" spans="1:17" x14ac:dyDescent="0.3">
      <c r="A279" t="s">
        <v>1409</v>
      </c>
      <c r="B279" s="17">
        <v>43306</v>
      </c>
      <c r="C279" t="s">
        <v>98</v>
      </c>
      <c r="D279" t="s">
        <v>109</v>
      </c>
      <c r="E279">
        <v>17</v>
      </c>
      <c r="F279">
        <v>40</v>
      </c>
      <c r="G279">
        <v>680</v>
      </c>
      <c r="H279">
        <v>0.02</v>
      </c>
      <c r="I279" t="s">
        <v>112</v>
      </c>
      <c r="J279">
        <v>13.6</v>
      </c>
      <c r="Q279" s="22"/>
    </row>
    <row r="280" spans="1:17" x14ac:dyDescent="0.3">
      <c r="A280" t="s">
        <v>1410</v>
      </c>
      <c r="B280" s="17">
        <v>43306</v>
      </c>
      <c r="C280" t="s">
        <v>95</v>
      </c>
      <c r="D280" t="s">
        <v>109</v>
      </c>
      <c r="E280">
        <v>22</v>
      </c>
      <c r="F280">
        <v>80</v>
      </c>
      <c r="G280">
        <v>1760</v>
      </c>
      <c r="H280">
        <v>0.1</v>
      </c>
      <c r="I280" t="s">
        <v>113</v>
      </c>
      <c r="J280">
        <v>176</v>
      </c>
      <c r="Q280" s="21"/>
    </row>
    <row r="281" spans="1:17" x14ac:dyDescent="0.3">
      <c r="A281" t="s">
        <v>1411</v>
      </c>
      <c r="B281" s="17">
        <v>43306</v>
      </c>
      <c r="C281" t="s">
        <v>111</v>
      </c>
      <c r="D281" t="s">
        <v>109</v>
      </c>
      <c r="E281">
        <v>18</v>
      </c>
      <c r="F281">
        <v>150</v>
      </c>
      <c r="G281">
        <v>2700</v>
      </c>
      <c r="H281">
        <v>0.12</v>
      </c>
      <c r="I281" t="s">
        <v>114</v>
      </c>
      <c r="J281">
        <v>324</v>
      </c>
      <c r="Q281" s="22"/>
    </row>
    <row r="282" spans="1:17" x14ac:dyDescent="0.3">
      <c r="A282" t="s">
        <v>1412</v>
      </c>
      <c r="B282" s="17">
        <v>43307</v>
      </c>
      <c r="C282" t="s">
        <v>111</v>
      </c>
      <c r="D282" t="s">
        <v>96</v>
      </c>
      <c r="E282">
        <v>4</v>
      </c>
      <c r="F282">
        <v>150</v>
      </c>
      <c r="G282">
        <v>600</v>
      </c>
      <c r="H282">
        <v>0.06</v>
      </c>
      <c r="I282" t="s">
        <v>97</v>
      </c>
      <c r="J282">
        <v>36</v>
      </c>
      <c r="Q282" s="21"/>
    </row>
    <row r="283" spans="1:17" x14ac:dyDescent="0.3">
      <c r="A283" t="s">
        <v>1413</v>
      </c>
      <c r="B283" s="17">
        <v>43307</v>
      </c>
      <c r="C283" t="s">
        <v>101</v>
      </c>
      <c r="D283" t="s">
        <v>99</v>
      </c>
      <c r="E283">
        <v>22</v>
      </c>
      <c r="F283">
        <v>230</v>
      </c>
      <c r="G283">
        <v>5060</v>
      </c>
      <c r="H283">
        <v>0.04</v>
      </c>
      <c r="I283" t="s">
        <v>100</v>
      </c>
      <c r="J283">
        <v>202.4</v>
      </c>
      <c r="Q283" s="22"/>
    </row>
    <row r="284" spans="1:17" x14ac:dyDescent="0.3">
      <c r="A284" t="s">
        <v>1414</v>
      </c>
      <c r="B284" s="17">
        <v>43307</v>
      </c>
      <c r="C284" t="s">
        <v>111</v>
      </c>
      <c r="D284" t="s">
        <v>99</v>
      </c>
      <c r="E284">
        <v>15</v>
      </c>
      <c r="F284">
        <v>150</v>
      </c>
      <c r="G284">
        <v>2250</v>
      </c>
      <c r="H284">
        <v>0.12</v>
      </c>
      <c r="I284" t="s">
        <v>102</v>
      </c>
      <c r="J284">
        <v>270</v>
      </c>
      <c r="Q284" s="21"/>
    </row>
    <row r="285" spans="1:17" x14ac:dyDescent="0.3">
      <c r="A285" t="s">
        <v>1415</v>
      </c>
      <c r="B285" s="17">
        <v>43307</v>
      </c>
      <c r="C285" t="s">
        <v>95</v>
      </c>
      <c r="D285" t="s">
        <v>96</v>
      </c>
      <c r="E285">
        <v>17</v>
      </c>
      <c r="F285">
        <v>80</v>
      </c>
      <c r="G285">
        <v>1360</v>
      </c>
      <c r="H285">
        <v>7.0000000000000007E-2</v>
      </c>
      <c r="I285" t="s">
        <v>103</v>
      </c>
      <c r="J285">
        <v>95.2</v>
      </c>
      <c r="Q285" s="22"/>
    </row>
    <row r="286" spans="1:17" x14ac:dyDescent="0.3">
      <c r="A286" t="s">
        <v>1416</v>
      </c>
      <c r="B286" s="17">
        <v>43307</v>
      </c>
      <c r="C286" t="s">
        <v>98</v>
      </c>
      <c r="D286" t="s">
        <v>109</v>
      </c>
      <c r="E286">
        <v>10</v>
      </c>
      <c r="F286">
        <v>40</v>
      </c>
      <c r="G286">
        <v>400</v>
      </c>
      <c r="H286">
        <v>0.03</v>
      </c>
      <c r="I286" t="s">
        <v>105</v>
      </c>
      <c r="J286">
        <v>12</v>
      </c>
      <c r="Q286" s="21"/>
    </row>
    <row r="287" spans="1:17" x14ac:dyDescent="0.3">
      <c r="A287" t="s">
        <v>1417</v>
      </c>
      <c r="B287" s="17">
        <v>43307</v>
      </c>
      <c r="C287" t="s">
        <v>98</v>
      </c>
      <c r="D287" t="s">
        <v>96</v>
      </c>
      <c r="E287">
        <v>23</v>
      </c>
      <c r="F287">
        <v>40</v>
      </c>
      <c r="G287">
        <v>920</v>
      </c>
      <c r="H287">
        <v>7.0000000000000007E-2</v>
      </c>
      <c r="I287" t="s">
        <v>107</v>
      </c>
      <c r="J287">
        <v>64.400000000000006</v>
      </c>
      <c r="Q287" s="22"/>
    </row>
    <row r="288" spans="1:17" x14ac:dyDescent="0.3">
      <c r="A288" t="s">
        <v>1418</v>
      </c>
      <c r="B288" s="17">
        <v>43307</v>
      </c>
      <c r="C288" t="s">
        <v>108</v>
      </c>
      <c r="D288" t="s">
        <v>99</v>
      </c>
      <c r="E288">
        <v>22</v>
      </c>
      <c r="F288">
        <v>16</v>
      </c>
      <c r="G288">
        <v>352</v>
      </c>
      <c r="H288">
        <v>0.04</v>
      </c>
      <c r="I288" t="s">
        <v>110</v>
      </c>
      <c r="J288">
        <v>14.08</v>
      </c>
      <c r="Q288" s="21"/>
    </row>
    <row r="289" spans="1:17" x14ac:dyDescent="0.3">
      <c r="A289" t="s">
        <v>1419</v>
      </c>
      <c r="B289" s="17">
        <v>43307</v>
      </c>
      <c r="C289" t="s">
        <v>95</v>
      </c>
      <c r="D289" t="s">
        <v>104</v>
      </c>
      <c r="E289">
        <v>8</v>
      </c>
      <c r="F289">
        <v>80</v>
      </c>
      <c r="G289">
        <v>640</v>
      </c>
      <c r="H289">
        <v>0.02</v>
      </c>
      <c r="I289" t="s">
        <v>112</v>
      </c>
      <c r="J289">
        <v>12.8</v>
      </c>
      <c r="Q289" s="22"/>
    </row>
    <row r="290" spans="1:17" x14ac:dyDescent="0.3">
      <c r="A290" t="s">
        <v>1420</v>
      </c>
      <c r="B290" s="17">
        <v>43307</v>
      </c>
      <c r="C290" t="s">
        <v>108</v>
      </c>
      <c r="D290" t="s">
        <v>99</v>
      </c>
      <c r="E290">
        <v>4</v>
      </c>
      <c r="F290">
        <v>16</v>
      </c>
      <c r="G290">
        <v>64</v>
      </c>
      <c r="H290">
        <v>0.09</v>
      </c>
      <c r="I290" t="s">
        <v>113</v>
      </c>
      <c r="J290">
        <v>5.76</v>
      </c>
      <c r="Q290" s="21"/>
    </row>
    <row r="291" spans="1:17" x14ac:dyDescent="0.3">
      <c r="A291" t="s">
        <v>1421</v>
      </c>
      <c r="B291" s="17">
        <v>43307</v>
      </c>
      <c r="C291" t="s">
        <v>98</v>
      </c>
      <c r="D291" t="s">
        <v>106</v>
      </c>
      <c r="E291">
        <v>11</v>
      </c>
      <c r="F291">
        <v>40</v>
      </c>
      <c r="G291">
        <v>440</v>
      </c>
      <c r="H291">
        <v>0.09</v>
      </c>
      <c r="I291" t="s">
        <v>114</v>
      </c>
      <c r="J291">
        <v>39.6</v>
      </c>
      <c r="Q291" s="22"/>
    </row>
    <row r="292" spans="1:17" x14ac:dyDescent="0.3">
      <c r="A292" t="s">
        <v>1422</v>
      </c>
      <c r="B292" s="17">
        <v>43307</v>
      </c>
      <c r="C292" t="s">
        <v>101</v>
      </c>
      <c r="D292" t="s">
        <v>104</v>
      </c>
      <c r="E292">
        <v>18</v>
      </c>
      <c r="F292">
        <v>230</v>
      </c>
      <c r="G292">
        <v>4140</v>
      </c>
      <c r="H292">
        <v>0.01</v>
      </c>
      <c r="I292" t="s">
        <v>115</v>
      </c>
      <c r="J292">
        <v>41.4</v>
      </c>
      <c r="Q292" s="21"/>
    </row>
    <row r="293" spans="1:17" x14ac:dyDescent="0.3">
      <c r="A293" t="s">
        <v>1423</v>
      </c>
      <c r="B293" s="17">
        <v>43308</v>
      </c>
      <c r="C293" t="s">
        <v>101</v>
      </c>
      <c r="D293" t="s">
        <v>99</v>
      </c>
      <c r="E293">
        <v>11</v>
      </c>
      <c r="F293">
        <v>230</v>
      </c>
      <c r="G293">
        <v>2530</v>
      </c>
      <c r="H293">
        <v>0.1</v>
      </c>
      <c r="I293" t="s">
        <v>116</v>
      </c>
      <c r="J293">
        <v>253</v>
      </c>
      <c r="Q293" s="22"/>
    </row>
    <row r="294" spans="1:17" x14ac:dyDescent="0.3">
      <c r="A294" t="s">
        <v>1424</v>
      </c>
      <c r="B294" s="17">
        <v>43308</v>
      </c>
      <c r="C294" t="s">
        <v>101</v>
      </c>
      <c r="D294" t="s">
        <v>96</v>
      </c>
      <c r="E294">
        <v>15</v>
      </c>
      <c r="F294">
        <v>230</v>
      </c>
      <c r="G294">
        <v>3450</v>
      </c>
      <c r="H294">
        <v>0.05</v>
      </c>
      <c r="I294" t="s">
        <v>97</v>
      </c>
      <c r="J294">
        <v>172.5</v>
      </c>
      <c r="Q294" s="21"/>
    </row>
    <row r="295" spans="1:17" x14ac:dyDescent="0.3">
      <c r="A295" t="s">
        <v>1425</v>
      </c>
      <c r="B295" s="17">
        <v>43308</v>
      </c>
      <c r="C295" t="s">
        <v>98</v>
      </c>
      <c r="D295" t="s">
        <v>109</v>
      </c>
      <c r="E295">
        <v>7</v>
      </c>
      <c r="F295">
        <v>40</v>
      </c>
      <c r="G295">
        <v>280</v>
      </c>
      <c r="H295">
        <v>0.04</v>
      </c>
      <c r="I295" t="s">
        <v>100</v>
      </c>
      <c r="J295">
        <v>11.200000000000001</v>
      </c>
      <c r="Q295" s="22"/>
    </row>
    <row r="296" spans="1:17" x14ac:dyDescent="0.3">
      <c r="A296" t="s">
        <v>1426</v>
      </c>
      <c r="B296" s="17">
        <v>43308</v>
      </c>
      <c r="C296" t="s">
        <v>111</v>
      </c>
      <c r="D296" t="s">
        <v>104</v>
      </c>
      <c r="E296">
        <v>20</v>
      </c>
      <c r="F296">
        <v>150</v>
      </c>
      <c r="G296">
        <v>3000</v>
      </c>
      <c r="H296">
        <v>0.12</v>
      </c>
      <c r="I296" t="s">
        <v>102</v>
      </c>
      <c r="J296">
        <v>360</v>
      </c>
      <c r="Q296" s="21"/>
    </row>
    <row r="297" spans="1:17" x14ac:dyDescent="0.3">
      <c r="A297" t="s">
        <v>1427</v>
      </c>
      <c r="B297" s="17">
        <v>43308</v>
      </c>
      <c r="C297" t="s">
        <v>95</v>
      </c>
      <c r="D297" t="s">
        <v>104</v>
      </c>
      <c r="E297">
        <v>5</v>
      </c>
      <c r="F297">
        <v>80</v>
      </c>
      <c r="G297">
        <v>400</v>
      </c>
      <c r="H297">
        <v>0.09</v>
      </c>
      <c r="I297" t="s">
        <v>103</v>
      </c>
      <c r="J297">
        <v>36</v>
      </c>
      <c r="Q297" s="22"/>
    </row>
    <row r="298" spans="1:17" x14ac:dyDescent="0.3">
      <c r="A298" t="s">
        <v>1428</v>
      </c>
      <c r="B298" s="17">
        <v>43308</v>
      </c>
      <c r="C298" t="s">
        <v>95</v>
      </c>
      <c r="D298" t="s">
        <v>106</v>
      </c>
      <c r="E298">
        <v>14</v>
      </c>
      <c r="F298">
        <v>80</v>
      </c>
      <c r="G298">
        <v>1120</v>
      </c>
      <c r="H298">
        <v>0.05</v>
      </c>
      <c r="I298" t="s">
        <v>105</v>
      </c>
      <c r="J298">
        <v>56</v>
      </c>
      <c r="Q298" s="21"/>
    </row>
    <row r="299" spans="1:17" x14ac:dyDescent="0.3">
      <c r="A299" t="s">
        <v>1429</v>
      </c>
      <c r="B299" s="17">
        <v>43308</v>
      </c>
      <c r="C299" t="s">
        <v>101</v>
      </c>
      <c r="D299" t="s">
        <v>106</v>
      </c>
      <c r="E299">
        <v>7</v>
      </c>
      <c r="F299">
        <v>230</v>
      </c>
      <c r="G299">
        <v>1610</v>
      </c>
      <c r="H299">
        <v>0.06</v>
      </c>
      <c r="I299" t="s">
        <v>107</v>
      </c>
      <c r="J299">
        <v>96.6</v>
      </c>
      <c r="Q299" s="22"/>
    </row>
    <row r="300" spans="1:17" x14ac:dyDescent="0.3">
      <c r="A300" t="s">
        <v>1430</v>
      </c>
      <c r="B300" s="17">
        <v>43308</v>
      </c>
      <c r="C300" t="s">
        <v>98</v>
      </c>
      <c r="D300" t="s">
        <v>106</v>
      </c>
      <c r="E300">
        <v>13</v>
      </c>
      <c r="F300">
        <v>40</v>
      </c>
      <c r="G300">
        <v>520</v>
      </c>
      <c r="H300">
        <v>0.06</v>
      </c>
      <c r="I300" t="s">
        <v>110</v>
      </c>
      <c r="J300">
        <v>31.2</v>
      </c>
      <c r="Q300" s="21"/>
    </row>
    <row r="301" spans="1:17" x14ac:dyDescent="0.3">
      <c r="A301" t="s">
        <v>1431</v>
      </c>
      <c r="B301" s="17">
        <v>43309</v>
      </c>
      <c r="C301" t="s">
        <v>108</v>
      </c>
      <c r="D301" t="s">
        <v>99</v>
      </c>
      <c r="E301">
        <v>15</v>
      </c>
      <c r="F301">
        <v>16</v>
      </c>
      <c r="G301">
        <v>240</v>
      </c>
      <c r="H301">
        <v>0.02</v>
      </c>
      <c r="I301" t="s">
        <v>112</v>
      </c>
      <c r="J301">
        <v>4.8</v>
      </c>
      <c r="Q301" s="22"/>
    </row>
    <row r="302" spans="1:17" x14ac:dyDescent="0.3">
      <c r="A302" t="s">
        <v>1432</v>
      </c>
      <c r="B302" s="17">
        <v>43309</v>
      </c>
      <c r="C302" t="s">
        <v>108</v>
      </c>
      <c r="D302" t="s">
        <v>106</v>
      </c>
      <c r="E302">
        <v>5</v>
      </c>
      <c r="F302">
        <v>16</v>
      </c>
      <c r="G302">
        <v>80</v>
      </c>
      <c r="H302">
        <v>0.09</v>
      </c>
      <c r="I302" t="s">
        <v>113</v>
      </c>
      <c r="J302">
        <v>7.1999999999999993</v>
      </c>
      <c r="Q302" s="21"/>
    </row>
    <row r="303" spans="1:17" x14ac:dyDescent="0.3">
      <c r="A303" t="s">
        <v>1433</v>
      </c>
      <c r="B303" s="17">
        <v>43309</v>
      </c>
      <c r="C303" t="s">
        <v>108</v>
      </c>
      <c r="D303" t="s">
        <v>96</v>
      </c>
      <c r="E303">
        <v>22</v>
      </c>
      <c r="F303">
        <v>16</v>
      </c>
      <c r="G303">
        <v>352</v>
      </c>
      <c r="H303">
        <v>0.06</v>
      </c>
      <c r="I303" t="s">
        <v>114</v>
      </c>
      <c r="J303">
        <v>21.119999999999997</v>
      </c>
      <c r="Q303" s="22"/>
    </row>
    <row r="304" spans="1:17" x14ac:dyDescent="0.3">
      <c r="A304" t="s">
        <v>1434</v>
      </c>
      <c r="B304" s="17">
        <v>43309</v>
      </c>
      <c r="C304" t="s">
        <v>111</v>
      </c>
      <c r="D304" t="s">
        <v>104</v>
      </c>
      <c r="E304">
        <v>15</v>
      </c>
      <c r="F304">
        <v>150</v>
      </c>
      <c r="G304">
        <v>2250</v>
      </c>
      <c r="H304">
        <v>0.05</v>
      </c>
      <c r="I304" t="s">
        <v>115</v>
      </c>
      <c r="J304">
        <v>112.5</v>
      </c>
      <c r="Q304" s="21"/>
    </row>
    <row r="305" spans="1:17" x14ac:dyDescent="0.3">
      <c r="A305" t="s">
        <v>1435</v>
      </c>
      <c r="B305" s="17">
        <v>43309</v>
      </c>
      <c r="C305" t="s">
        <v>101</v>
      </c>
      <c r="D305" t="s">
        <v>104</v>
      </c>
      <c r="E305">
        <v>5</v>
      </c>
      <c r="F305">
        <v>230</v>
      </c>
      <c r="G305">
        <v>1150</v>
      </c>
      <c r="H305">
        <v>0.01</v>
      </c>
      <c r="I305" t="s">
        <v>116</v>
      </c>
      <c r="J305">
        <v>11.5</v>
      </c>
      <c r="Q305" s="22"/>
    </row>
    <row r="306" spans="1:17" x14ac:dyDescent="0.3">
      <c r="A306" t="s">
        <v>1436</v>
      </c>
      <c r="B306" s="17">
        <v>43309</v>
      </c>
      <c r="C306" t="s">
        <v>98</v>
      </c>
      <c r="D306" t="s">
        <v>96</v>
      </c>
      <c r="E306">
        <v>11</v>
      </c>
      <c r="F306">
        <v>40</v>
      </c>
      <c r="G306">
        <v>440</v>
      </c>
      <c r="H306">
        <v>0.04</v>
      </c>
      <c r="I306" t="s">
        <v>97</v>
      </c>
      <c r="J306">
        <v>17.600000000000001</v>
      </c>
      <c r="Q306" s="21"/>
    </row>
    <row r="307" spans="1:17" x14ac:dyDescent="0.3">
      <c r="A307" t="s">
        <v>1437</v>
      </c>
      <c r="B307" s="17">
        <v>43309</v>
      </c>
      <c r="C307" t="s">
        <v>111</v>
      </c>
      <c r="D307" t="s">
        <v>99</v>
      </c>
      <c r="E307">
        <v>13</v>
      </c>
      <c r="F307">
        <v>150</v>
      </c>
      <c r="G307">
        <v>1950</v>
      </c>
      <c r="H307">
        <v>0.08</v>
      </c>
      <c r="I307" t="s">
        <v>100</v>
      </c>
      <c r="J307">
        <v>156</v>
      </c>
      <c r="Q307" s="22"/>
    </row>
    <row r="308" spans="1:17" x14ac:dyDescent="0.3">
      <c r="A308" t="s">
        <v>1438</v>
      </c>
      <c r="B308" s="17">
        <v>43309</v>
      </c>
      <c r="C308" t="s">
        <v>108</v>
      </c>
      <c r="D308" t="s">
        <v>109</v>
      </c>
      <c r="E308">
        <v>13</v>
      </c>
      <c r="F308">
        <v>16</v>
      </c>
      <c r="G308">
        <v>208</v>
      </c>
      <c r="H308">
        <v>7.0000000000000007E-2</v>
      </c>
      <c r="I308" t="s">
        <v>102</v>
      </c>
      <c r="J308">
        <v>14.560000000000002</v>
      </c>
      <c r="Q308" s="21"/>
    </row>
    <row r="309" spans="1:17" x14ac:dyDescent="0.3">
      <c r="A309" t="s">
        <v>1439</v>
      </c>
      <c r="B309" s="17">
        <v>43309</v>
      </c>
      <c r="C309" t="s">
        <v>108</v>
      </c>
      <c r="D309" t="s">
        <v>109</v>
      </c>
      <c r="E309">
        <v>3</v>
      </c>
      <c r="F309">
        <v>16</v>
      </c>
      <c r="G309">
        <v>48</v>
      </c>
      <c r="H309">
        <v>0.03</v>
      </c>
      <c r="I309" t="s">
        <v>103</v>
      </c>
      <c r="J309">
        <v>1.44</v>
      </c>
      <c r="Q309" s="22"/>
    </row>
    <row r="310" spans="1:17" x14ac:dyDescent="0.3">
      <c r="A310" t="s">
        <v>1440</v>
      </c>
      <c r="B310" s="17">
        <v>43310</v>
      </c>
      <c r="C310" t="s">
        <v>111</v>
      </c>
      <c r="D310" t="s">
        <v>99</v>
      </c>
      <c r="E310">
        <v>2</v>
      </c>
      <c r="F310">
        <v>150</v>
      </c>
      <c r="G310">
        <v>300</v>
      </c>
      <c r="H310">
        <v>0.09</v>
      </c>
      <c r="I310" t="s">
        <v>105</v>
      </c>
      <c r="J310">
        <v>27</v>
      </c>
      <c r="Q310" s="21"/>
    </row>
    <row r="311" spans="1:17" x14ac:dyDescent="0.3">
      <c r="A311" t="s">
        <v>1441</v>
      </c>
      <c r="B311" s="17">
        <v>43310</v>
      </c>
      <c r="C311" t="s">
        <v>101</v>
      </c>
      <c r="D311" t="s">
        <v>104</v>
      </c>
      <c r="E311">
        <v>14</v>
      </c>
      <c r="F311">
        <v>230</v>
      </c>
      <c r="G311">
        <v>3220</v>
      </c>
      <c r="H311">
        <v>0.03</v>
      </c>
      <c r="I311" t="s">
        <v>107</v>
      </c>
      <c r="J311">
        <v>96.6</v>
      </c>
      <c r="Q311" s="22"/>
    </row>
    <row r="312" spans="1:17" x14ac:dyDescent="0.3">
      <c r="A312" t="s">
        <v>1442</v>
      </c>
      <c r="B312" s="17">
        <v>43310</v>
      </c>
      <c r="C312" t="s">
        <v>98</v>
      </c>
      <c r="D312" t="s">
        <v>104</v>
      </c>
      <c r="E312">
        <v>11</v>
      </c>
      <c r="F312">
        <v>40</v>
      </c>
      <c r="G312">
        <v>440</v>
      </c>
      <c r="H312">
        <v>0.12</v>
      </c>
      <c r="I312" t="s">
        <v>110</v>
      </c>
      <c r="J312">
        <v>52.8</v>
      </c>
      <c r="Q312" s="21"/>
    </row>
    <row r="313" spans="1:17" x14ac:dyDescent="0.3">
      <c r="A313" t="s">
        <v>1443</v>
      </c>
      <c r="B313" s="17">
        <v>43310</v>
      </c>
      <c r="C313" t="s">
        <v>108</v>
      </c>
      <c r="D313" t="s">
        <v>109</v>
      </c>
      <c r="E313">
        <v>3</v>
      </c>
      <c r="F313">
        <v>16</v>
      </c>
      <c r="G313">
        <v>48</v>
      </c>
      <c r="H313">
        <v>0.06</v>
      </c>
      <c r="I313" t="s">
        <v>112</v>
      </c>
      <c r="J313">
        <v>2.88</v>
      </c>
      <c r="Q313" s="22"/>
    </row>
    <row r="314" spans="1:17" x14ac:dyDescent="0.3">
      <c r="A314" t="s">
        <v>1444</v>
      </c>
      <c r="B314" s="17">
        <v>43310</v>
      </c>
      <c r="C314" t="s">
        <v>98</v>
      </c>
      <c r="D314" t="s">
        <v>109</v>
      </c>
      <c r="E314">
        <v>18</v>
      </c>
      <c r="F314">
        <v>40</v>
      </c>
      <c r="G314">
        <v>720</v>
      </c>
      <c r="H314">
        <v>0.06</v>
      </c>
      <c r="I314" t="s">
        <v>113</v>
      </c>
      <c r="J314">
        <v>43.199999999999996</v>
      </c>
      <c r="Q314" s="21"/>
    </row>
    <row r="315" spans="1:17" x14ac:dyDescent="0.3">
      <c r="A315" t="s">
        <v>1445</v>
      </c>
      <c r="B315" s="17">
        <v>43310</v>
      </c>
      <c r="C315" t="s">
        <v>101</v>
      </c>
      <c r="D315" t="s">
        <v>109</v>
      </c>
      <c r="E315">
        <v>7</v>
      </c>
      <c r="F315">
        <v>230</v>
      </c>
      <c r="G315">
        <v>1610</v>
      </c>
      <c r="H315">
        <v>0.05</v>
      </c>
      <c r="I315" t="s">
        <v>114</v>
      </c>
      <c r="J315">
        <v>80.5</v>
      </c>
      <c r="Q315" s="22"/>
    </row>
    <row r="316" spans="1:17" x14ac:dyDescent="0.3">
      <c r="A316" t="s">
        <v>1446</v>
      </c>
      <c r="B316" s="17">
        <v>43310</v>
      </c>
      <c r="C316" t="s">
        <v>98</v>
      </c>
      <c r="D316" t="s">
        <v>109</v>
      </c>
      <c r="E316">
        <v>23</v>
      </c>
      <c r="F316">
        <v>40</v>
      </c>
      <c r="G316">
        <v>920</v>
      </c>
      <c r="H316">
        <v>0.05</v>
      </c>
      <c r="I316" t="s">
        <v>115</v>
      </c>
      <c r="J316">
        <v>46</v>
      </c>
      <c r="Q316" s="21"/>
    </row>
    <row r="317" spans="1:17" x14ac:dyDescent="0.3">
      <c r="A317" t="s">
        <v>1447</v>
      </c>
      <c r="B317" s="17">
        <v>43311</v>
      </c>
      <c r="C317" t="s">
        <v>101</v>
      </c>
      <c r="D317" t="s">
        <v>109</v>
      </c>
      <c r="E317">
        <v>2</v>
      </c>
      <c r="F317">
        <v>230</v>
      </c>
      <c r="G317">
        <v>460</v>
      </c>
      <c r="H317">
        <v>0.08</v>
      </c>
      <c r="I317" t="s">
        <v>116</v>
      </c>
      <c r="J317">
        <v>36.800000000000004</v>
      </c>
      <c r="Q317" s="22"/>
    </row>
    <row r="318" spans="1:17" x14ac:dyDescent="0.3">
      <c r="A318" t="s">
        <v>1448</v>
      </c>
      <c r="B318" s="17">
        <v>43311</v>
      </c>
      <c r="C318" t="s">
        <v>98</v>
      </c>
      <c r="D318" t="s">
        <v>106</v>
      </c>
      <c r="E318">
        <v>18</v>
      </c>
      <c r="F318">
        <v>40</v>
      </c>
      <c r="G318">
        <v>720</v>
      </c>
      <c r="H318">
        <v>0.04</v>
      </c>
      <c r="I318" t="s">
        <v>97</v>
      </c>
      <c r="J318">
        <v>28.8</v>
      </c>
      <c r="Q318" s="21"/>
    </row>
    <row r="319" spans="1:17" x14ac:dyDescent="0.3">
      <c r="A319" t="s">
        <v>1449</v>
      </c>
      <c r="B319" s="17">
        <v>43311</v>
      </c>
      <c r="C319" t="s">
        <v>101</v>
      </c>
      <c r="D319" t="s">
        <v>99</v>
      </c>
      <c r="E319">
        <v>7</v>
      </c>
      <c r="F319">
        <v>230</v>
      </c>
      <c r="G319">
        <v>1610</v>
      </c>
      <c r="H319">
        <v>0.05</v>
      </c>
      <c r="I319" t="s">
        <v>100</v>
      </c>
      <c r="J319">
        <v>80.5</v>
      </c>
      <c r="Q319" s="22"/>
    </row>
    <row r="320" spans="1:17" x14ac:dyDescent="0.3">
      <c r="A320" t="s">
        <v>1450</v>
      </c>
      <c r="B320" s="17">
        <v>43311</v>
      </c>
      <c r="C320" t="s">
        <v>98</v>
      </c>
      <c r="D320" t="s">
        <v>109</v>
      </c>
      <c r="E320">
        <v>14</v>
      </c>
      <c r="F320">
        <v>40</v>
      </c>
      <c r="G320">
        <v>560</v>
      </c>
      <c r="H320">
        <v>0.11</v>
      </c>
      <c r="I320" t="s">
        <v>102</v>
      </c>
      <c r="J320">
        <v>61.6</v>
      </c>
      <c r="Q320" s="21"/>
    </row>
    <row r="321" spans="1:17" x14ac:dyDescent="0.3">
      <c r="A321" t="s">
        <v>1451</v>
      </c>
      <c r="B321" s="17">
        <v>43311</v>
      </c>
      <c r="C321" t="s">
        <v>111</v>
      </c>
      <c r="D321" t="s">
        <v>99</v>
      </c>
      <c r="E321">
        <v>13</v>
      </c>
      <c r="F321">
        <v>150</v>
      </c>
      <c r="G321">
        <v>1950</v>
      </c>
      <c r="H321">
        <v>0.02</v>
      </c>
      <c r="I321" t="s">
        <v>103</v>
      </c>
      <c r="J321">
        <v>39</v>
      </c>
      <c r="Q321" s="22"/>
    </row>
    <row r="322" spans="1:17" x14ac:dyDescent="0.3">
      <c r="A322" t="s">
        <v>1452</v>
      </c>
      <c r="B322" s="17">
        <v>43311</v>
      </c>
      <c r="C322" t="s">
        <v>95</v>
      </c>
      <c r="D322" t="s">
        <v>96</v>
      </c>
      <c r="E322">
        <v>12</v>
      </c>
      <c r="F322">
        <v>80</v>
      </c>
      <c r="G322">
        <v>960</v>
      </c>
      <c r="H322">
        <v>0.04</v>
      </c>
      <c r="I322" t="s">
        <v>105</v>
      </c>
      <c r="J322">
        <v>38.4</v>
      </c>
      <c r="Q322" s="21"/>
    </row>
    <row r="323" spans="1:17" x14ac:dyDescent="0.3">
      <c r="A323" t="s">
        <v>1453</v>
      </c>
      <c r="B323" s="17">
        <v>43311</v>
      </c>
      <c r="C323" t="s">
        <v>101</v>
      </c>
      <c r="D323" t="s">
        <v>109</v>
      </c>
      <c r="E323">
        <v>20</v>
      </c>
      <c r="F323">
        <v>230</v>
      </c>
      <c r="G323">
        <v>4600</v>
      </c>
      <c r="H323">
        <v>0.09</v>
      </c>
      <c r="I323" t="s">
        <v>107</v>
      </c>
      <c r="J323">
        <v>414</v>
      </c>
      <c r="Q323" s="22"/>
    </row>
    <row r="324" spans="1:17" x14ac:dyDescent="0.3">
      <c r="A324" t="s">
        <v>1454</v>
      </c>
      <c r="B324" s="17">
        <v>43311</v>
      </c>
      <c r="C324" t="s">
        <v>98</v>
      </c>
      <c r="D324" t="s">
        <v>109</v>
      </c>
      <c r="E324">
        <v>5</v>
      </c>
      <c r="F324">
        <v>40</v>
      </c>
      <c r="G324">
        <v>200</v>
      </c>
      <c r="H324">
        <v>0.03</v>
      </c>
      <c r="I324" t="s">
        <v>110</v>
      </c>
      <c r="J324">
        <v>6</v>
      </c>
      <c r="Q324" s="21"/>
    </row>
    <row r="325" spans="1:17" x14ac:dyDescent="0.3">
      <c r="A325" t="s">
        <v>1455</v>
      </c>
      <c r="B325" s="17">
        <v>43311</v>
      </c>
      <c r="C325" t="s">
        <v>108</v>
      </c>
      <c r="D325" t="s">
        <v>109</v>
      </c>
      <c r="E325">
        <v>2</v>
      </c>
      <c r="F325">
        <v>16</v>
      </c>
      <c r="G325">
        <v>32</v>
      </c>
      <c r="H325">
        <v>0.04</v>
      </c>
      <c r="I325" t="s">
        <v>112</v>
      </c>
      <c r="J325">
        <v>1.28</v>
      </c>
      <c r="Q325" s="22"/>
    </row>
    <row r="326" spans="1:17" x14ac:dyDescent="0.3">
      <c r="A326" t="s">
        <v>1456</v>
      </c>
      <c r="B326" s="17">
        <v>43282</v>
      </c>
      <c r="C326" t="s">
        <v>95</v>
      </c>
      <c r="D326" t="s">
        <v>104</v>
      </c>
      <c r="E326">
        <v>10</v>
      </c>
      <c r="F326">
        <v>80</v>
      </c>
      <c r="G326">
        <v>800</v>
      </c>
      <c r="H326">
        <v>0.08</v>
      </c>
      <c r="I326" t="s">
        <v>113</v>
      </c>
      <c r="J326">
        <v>64</v>
      </c>
      <c r="Q326" s="21"/>
    </row>
    <row r="327" spans="1:17" x14ac:dyDescent="0.3">
      <c r="A327" t="s">
        <v>1457</v>
      </c>
      <c r="B327" s="17">
        <v>43282</v>
      </c>
      <c r="C327" t="s">
        <v>98</v>
      </c>
      <c r="D327" t="s">
        <v>106</v>
      </c>
      <c r="E327">
        <v>18</v>
      </c>
      <c r="F327">
        <v>40</v>
      </c>
      <c r="G327">
        <v>720</v>
      </c>
      <c r="H327">
        <v>0.06</v>
      </c>
      <c r="I327" t="s">
        <v>114</v>
      </c>
      <c r="J327">
        <v>43.199999999999996</v>
      </c>
      <c r="Q327" s="22"/>
    </row>
    <row r="328" spans="1:17" x14ac:dyDescent="0.3">
      <c r="A328" t="s">
        <v>1458</v>
      </c>
      <c r="B328" s="17">
        <v>43282</v>
      </c>
      <c r="C328" t="s">
        <v>101</v>
      </c>
      <c r="D328" t="s">
        <v>99</v>
      </c>
      <c r="E328">
        <v>7</v>
      </c>
      <c r="F328">
        <v>230</v>
      </c>
      <c r="G328">
        <v>1610</v>
      </c>
      <c r="H328">
        <v>0.08</v>
      </c>
      <c r="I328" t="s">
        <v>115</v>
      </c>
      <c r="J328">
        <v>128.80000000000001</v>
      </c>
      <c r="Q328" s="21"/>
    </row>
    <row r="329" spans="1:17" x14ac:dyDescent="0.3">
      <c r="A329" t="s">
        <v>1459</v>
      </c>
      <c r="B329" s="17">
        <v>43282</v>
      </c>
      <c r="C329" t="s">
        <v>98</v>
      </c>
      <c r="D329" t="s">
        <v>106</v>
      </c>
      <c r="E329">
        <v>15</v>
      </c>
      <c r="F329">
        <v>40</v>
      </c>
      <c r="G329">
        <v>600</v>
      </c>
      <c r="H329">
        <v>0.03</v>
      </c>
      <c r="I329" t="s">
        <v>116</v>
      </c>
      <c r="J329">
        <v>18</v>
      </c>
      <c r="Q329" s="22"/>
    </row>
    <row r="330" spans="1:17" x14ac:dyDescent="0.3">
      <c r="A330" t="s">
        <v>1460</v>
      </c>
      <c r="B330" s="17">
        <v>43282</v>
      </c>
      <c r="C330" t="s">
        <v>108</v>
      </c>
      <c r="D330" t="s">
        <v>104</v>
      </c>
      <c r="E330">
        <v>6</v>
      </c>
      <c r="F330">
        <v>16</v>
      </c>
      <c r="G330">
        <v>96</v>
      </c>
      <c r="H330">
        <v>0.01</v>
      </c>
      <c r="I330" t="s">
        <v>97</v>
      </c>
      <c r="J330">
        <v>0.96</v>
      </c>
      <c r="Q330" s="21"/>
    </row>
    <row r="331" spans="1:17" x14ac:dyDescent="0.3">
      <c r="A331" t="s">
        <v>1461</v>
      </c>
      <c r="B331" s="17">
        <v>43282</v>
      </c>
      <c r="C331" t="s">
        <v>111</v>
      </c>
      <c r="D331" t="s">
        <v>106</v>
      </c>
      <c r="E331">
        <v>9</v>
      </c>
      <c r="F331">
        <v>150</v>
      </c>
      <c r="G331">
        <v>1350</v>
      </c>
      <c r="H331">
        <v>0.02</v>
      </c>
      <c r="I331" t="s">
        <v>100</v>
      </c>
      <c r="J331">
        <v>27</v>
      </c>
      <c r="Q331" s="22"/>
    </row>
    <row r="332" spans="1:17" x14ac:dyDescent="0.3">
      <c r="A332" t="s">
        <v>1462</v>
      </c>
      <c r="B332" s="17">
        <v>43282</v>
      </c>
      <c r="C332" t="s">
        <v>108</v>
      </c>
      <c r="D332" t="s">
        <v>109</v>
      </c>
      <c r="E332">
        <v>15</v>
      </c>
      <c r="F332">
        <v>16</v>
      </c>
      <c r="G332">
        <v>240</v>
      </c>
      <c r="H332">
        <v>0.01</v>
      </c>
      <c r="I332" t="s">
        <v>102</v>
      </c>
      <c r="J332">
        <v>2.4</v>
      </c>
      <c r="Q332" s="21"/>
    </row>
    <row r="333" spans="1:17" x14ac:dyDescent="0.3">
      <c r="A333" t="s">
        <v>1463</v>
      </c>
      <c r="B333" s="17">
        <v>43282</v>
      </c>
      <c r="C333" t="s">
        <v>95</v>
      </c>
      <c r="D333" t="s">
        <v>109</v>
      </c>
      <c r="E333">
        <v>22</v>
      </c>
      <c r="F333">
        <v>80</v>
      </c>
      <c r="G333">
        <v>1760</v>
      </c>
      <c r="H333">
        <v>0.11</v>
      </c>
      <c r="I333" t="s">
        <v>103</v>
      </c>
      <c r="J333">
        <v>193.6</v>
      </c>
      <c r="Q333" s="22"/>
    </row>
    <row r="334" spans="1:17" x14ac:dyDescent="0.3">
      <c r="A334" t="s">
        <v>1464</v>
      </c>
      <c r="B334" s="17">
        <v>43282</v>
      </c>
      <c r="C334" t="s">
        <v>111</v>
      </c>
      <c r="D334" t="s">
        <v>99</v>
      </c>
      <c r="E334">
        <v>13</v>
      </c>
      <c r="F334">
        <v>150</v>
      </c>
      <c r="G334">
        <v>1950</v>
      </c>
      <c r="H334">
        <v>0.02</v>
      </c>
      <c r="I334" t="s">
        <v>105</v>
      </c>
      <c r="J334">
        <v>39</v>
      </c>
      <c r="Q334" s="21"/>
    </row>
    <row r="335" spans="1:17" x14ac:dyDescent="0.3">
      <c r="A335" t="s">
        <v>1465</v>
      </c>
      <c r="B335" s="17">
        <v>43283</v>
      </c>
      <c r="C335" t="s">
        <v>108</v>
      </c>
      <c r="D335" t="s">
        <v>104</v>
      </c>
      <c r="E335">
        <v>12</v>
      </c>
      <c r="F335">
        <v>16</v>
      </c>
      <c r="G335">
        <v>192</v>
      </c>
      <c r="H335">
        <v>0.03</v>
      </c>
      <c r="I335" t="s">
        <v>107</v>
      </c>
      <c r="J335">
        <v>5.76</v>
      </c>
      <c r="Q335" s="22"/>
    </row>
    <row r="336" spans="1:17" x14ac:dyDescent="0.3">
      <c r="A336" t="s">
        <v>1466</v>
      </c>
      <c r="B336" s="17">
        <v>43283</v>
      </c>
      <c r="C336" t="s">
        <v>98</v>
      </c>
      <c r="D336" t="s">
        <v>106</v>
      </c>
      <c r="E336">
        <v>4</v>
      </c>
      <c r="F336">
        <v>40</v>
      </c>
      <c r="G336">
        <v>160</v>
      </c>
      <c r="H336">
        <v>0.05</v>
      </c>
      <c r="I336" t="s">
        <v>110</v>
      </c>
      <c r="J336">
        <v>8</v>
      </c>
      <c r="Q336" s="21"/>
    </row>
    <row r="337" spans="1:17" x14ac:dyDescent="0.3">
      <c r="A337" t="s">
        <v>1467</v>
      </c>
      <c r="B337" s="17">
        <v>43283</v>
      </c>
      <c r="C337" t="s">
        <v>101</v>
      </c>
      <c r="D337" t="s">
        <v>99</v>
      </c>
      <c r="E337">
        <v>19</v>
      </c>
      <c r="F337">
        <v>230</v>
      </c>
      <c r="G337">
        <v>4370</v>
      </c>
      <c r="H337">
        <v>0.11</v>
      </c>
      <c r="I337" t="s">
        <v>112</v>
      </c>
      <c r="J337">
        <v>480.7</v>
      </c>
      <c r="Q337" s="22"/>
    </row>
    <row r="338" spans="1:17" x14ac:dyDescent="0.3">
      <c r="A338" t="s">
        <v>1468</v>
      </c>
      <c r="B338" s="17">
        <v>43283</v>
      </c>
      <c r="C338" t="s">
        <v>98</v>
      </c>
      <c r="D338" t="s">
        <v>99</v>
      </c>
      <c r="E338">
        <v>4</v>
      </c>
      <c r="F338">
        <v>40</v>
      </c>
      <c r="G338">
        <v>160</v>
      </c>
      <c r="H338">
        <v>0.06</v>
      </c>
      <c r="I338" t="s">
        <v>113</v>
      </c>
      <c r="J338">
        <v>9.6</v>
      </c>
      <c r="Q338" s="21"/>
    </row>
    <row r="339" spans="1:17" x14ac:dyDescent="0.3">
      <c r="A339" t="s">
        <v>1469</v>
      </c>
      <c r="B339" s="17">
        <v>43283</v>
      </c>
      <c r="C339" t="s">
        <v>108</v>
      </c>
      <c r="D339" t="s">
        <v>104</v>
      </c>
      <c r="E339">
        <v>6</v>
      </c>
      <c r="F339">
        <v>16</v>
      </c>
      <c r="G339">
        <v>96</v>
      </c>
      <c r="H339">
        <v>7.0000000000000007E-2</v>
      </c>
      <c r="I339" t="s">
        <v>114</v>
      </c>
      <c r="J339">
        <v>6.7200000000000006</v>
      </c>
      <c r="Q339" s="22"/>
    </row>
    <row r="340" spans="1:17" x14ac:dyDescent="0.3">
      <c r="A340" t="s">
        <v>1470</v>
      </c>
      <c r="B340" s="17">
        <v>43283</v>
      </c>
      <c r="C340" t="s">
        <v>101</v>
      </c>
      <c r="D340" t="s">
        <v>104</v>
      </c>
      <c r="E340">
        <v>15</v>
      </c>
      <c r="F340">
        <v>230</v>
      </c>
      <c r="G340">
        <v>3450</v>
      </c>
      <c r="H340">
        <v>0.11</v>
      </c>
      <c r="I340" t="s">
        <v>115</v>
      </c>
      <c r="J340">
        <v>379.5</v>
      </c>
      <c r="Q340" s="21"/>
    </row>
    <row r="341" spans="1:17" x14ac:dyDescent="0.3">
      <c r="A341" t="s">
        <v>1471</v>
      </c>
      <c r="B341" s="17">
        <v>43283</v>
      </c>
      <c r="C341" t="s">
        <v>95</v>
      </c>
      <c r="D341" t="s">
        <v>104</v>
      </c>
      <c r="E341">
        <v>16</v>
      </c>
      <c r="F341">
        <v>80</v>
      </c>
      <c r="G341">
        <v>1280</v>
      </c>
      <c r="H341">
        <v>0.04</v>
      </c>
      <c r="I341" t="s">
        <v>116</v>
      </c>
      <c r="J341">
        <v>51.2</v>
      </c>
      <c r="Q341" s="22"/>
    </row>
    <row r="342" spans="1:17" x14ac:dyDescent="0.3">
      <c r="A342" t="s">
        <v>1472</v>
      </c>
      <c r="B342" s="17">
        <v>43283</v>
      </c>
      <c r="C342" t="s">
        <v>98</v>
      </c>
      <c r="D342" t="s">
        <v>96</v>
      </c>
      <c r="E342">
        <v>7</v>
      </c>
      <c r="F342">
        <v>40</v>
      </c>
      <c r="G342">
        <v>280</v>
      </c>
      <c r="H342">
        <v>0.1</v>
      </c>
      <c r="I342" t="s">
        <v>97</v>
      </c>
      <c r="J342">
        <v>28</v>
      </c>
      <c r="Q342" s="21"/>
    </row>
    <row r="343" spans="1:17" x14ac:dyDescent="0.3">
      <c r="A343" t="s">
        <v>1473</v>
      </c>
      <c r="B343" s="17">
        <v>43283</v>
      </c>
      <c r="C343" t="s">
        <v>98</v>
      </c>
      <c r="D343" t="s">
        <v>104</v>
      </c>
      <c r="E343">
        <v>11</v>
      </c>
      <c r="F343">
        <v>40</v>
      </c>
      <c r="G343">
        <v>440</v>
      </c>
      <c r="H343">
        <v>0.05</v>
      </c>
      <c r="I343" t="s">
        <v>100</v>
      </c>
      <c r="J343">
        <v>22</v>
      </c>
      <c r="Q343" s="22"/>
    </row>
    <row r="344" spans="1:17" x14ac:dyDescent="0.3">
      <c r="A344" t="s">
        <v>1474</v>
      </c>
      <c r="B344" s="17">
        <v>43283</v>
      </c>
      <c r="C344" t="s">
        <v>95</v>
      </c>
      <c r="D344" t="s">
        <v>109</v>
      </c>
      <c r="E344">
        <v>9</v>
      </c>
      <c r="F344">
        <v>80</v>
      </c>
      <c r="G344">
        <v>720</v>
      </c>
      <c r="H344">
        <v>0.06</v>
      </c>
      <c r="I344" t="s">
        <v>102</v>
      </c>
      <c r="J344">
        <v>43.199999999999996</v>
      </c>
      <c r="Q344" s="21"/>
    </row>
    <row r="345" spans="1:17" x14ac:dyDescent="0.3">
      <c r="A345" t="s">
        <v>1475</v>
      </c>
      <c r="B345" s="17">
        <v>43283</v>
      </c>
      <c r="C345" t="s">
        <v>95</v>
      </c>
      <c r="D345" t="s">
        <v>99</v>
      </c>
      <c r="E345">
        <v>21</v>
      </c>
      <c r="F345">
        <v>80</v>
      </c>
      <c r="G345">
        <v>1680</v>
      </c>
      <c r="H345">
        <v>0.04</v>
      </c>
      <c r="I345" t="s">
        <v>103</v>
      </c>
      <c r="J345">
        <v>67.2</v>
      </c>
      <c r="Q345" s="22"/>
    </row>
    <row r="346" spans="1:17" x14ac:dyDescent="0.3">
      <c r="A346" t="s">
        <v>1476</v>
      </c>
      <c r="B346" s="17">
        <v>43283</v>
      </c>
      <c r="C346" t="s">
        <v>98</v>
      </c>
      <c r="D346" t="s">
        <v>104</v>
      </c>
      <c r="E346">
        <v>2</v>
      </c>
      <c r="F346">
        <v>40</v>
      </c>
      <c r="G346">
        <v>80</v>
      </c>
      <c r="H346">
        <v>0.03</v>
      </c>
      <c r="I346" t="s">
        <v>105</v>
      </c>
      <c r="J346">
        <v>2.4</v>
      </c>
      <c r="Q346" s="21"/>
    </row>
    <row r="347" spans="1:17" x14ac:dyDescent="0.3">
      <c r="A347" t="s">
        <v>1477</v>
      </c>
      <c r="B347" s="17">
        <v>43284</v>
      </c>
      <c r="C347" t="s">
        <v>108</v>
      </c>
      <c r="D347" t="s">
        <v>104</v>
      </c>
      <c r="E347">
        <v>17</v>
      </c>
      <c r="F347">
        <v>16</v>
      </c>
      <c r="G347">
        <v>272</v>
      </c>
      <c r="H347">
        <v>0.05</v>
      </c>
      <c r="I347" t="s">
        <v>107</v>
      </c>
      <c r="J347">
        <v>13.600000000000001</v>
      </c>
      <c r="Q347" s="22"/>
    </row>
    <row r="348" spans="1:17" x14ac:dyDescent="0.3">
      <c r="A348" t="s">
        <v>1478</v>
      </c>
      <c r="B348" s="17">
        <v>43284</v>
      </c>
      <c r="C348" t="s">
        <v>98</v>
      </c>
      <c r="D348" t="s">
        <v>96</v>
      </c>
      <c r="E348">
        <v>18</v>
      </c>
      <c r="F348">
        <v>40</v>
      </c>
      <c r="G348">
        <v>720</v>
      </c>
      <c r="H348">
        <v>0.06</v>
      </c>
      <c r="I348" t="s">
        <v>110</v>
      </c>
      <c r="J348">
        <v>43.199999999999996</v>
      </c>
      <c r="Q348" s="21"/>
    </row>
    <row r="349" spans="1:17" x14ac:dyDescent="0.3">
      <c r="A349" t="s">
        <v>1479</v>
      </c>
      <c r="B349" s="17">
        <v>43284</v>
      </c>
      <c r="C349" t="s">
        <v>98</v>
      </c>
      <c r="D349" t="s">
        <v>96</v>
      </c>
      <c r="E349">
        <v>9</v>
      </c>
      <c r="F349">
        <v>40</v>
      </c>
      <c r="G349">
        <v>360</v>
      </c>
      <c r="H349">
        <v>0.01</v>
      </c>
      <c r="I349" t="s">
        <v>112</v>
      </c>
      <c r="J349">
        <v>3.6</v>
      </c>
      <c r="Q349" s="22"/>
    </row>
    <row r="350" spans="1:17" x14ac:dyDescent="0.3">
      <c r="A350" t="s">
        <v>1480</v>
      </c>
      <c r="B350" s="17">
        <v>43284</v>
      </c>
      <c r="C350" t="s">
        <v>98</v>
      </c>
      <c r="D350" t="s">
        <v>99</v>
      </c>
      <c r="E350">
        <v>7</v>
      </c>
      <c r="F350">
        <v>40</v>
      </c>
      <c r="G350">
        <v>280</v>
      </c>
      <c r="H350">
        <v>0.01</v>
      </c>
      <c r="I350" t="s">
        <v>113</v>
      </c>
      <c r="J350">
        <v>2.8000000000000003</v>
      </c>
      <c r="Q350" s="21"/>
    </row>
    <row r="351" spans="1:17" x14ac:dyDescent="0.3">
      <c r="A351" t="s">
        <v>1481</v>
      </c>
      <c r="B351" s="17">
        <v>43284</v>
      </c>
      <c r="C351" t="s">
        <v>101</v>
      </c>
      <c r="D351" t="s">
        <v>104</v>
      </c>
      <c r="E351">
        <v>12</v>
      </c>
      <c r="F351">
        <v>230</v>
      </c>
      <c r="G351">
        <v>2760</v>
      </c>
      <c r="H351">
        <v>0.06</v>
      </c>
      <c r="I351" t="s">
        <v>114</v>
      </c>
      <c r="J351">
        <v>165.6</v>
      </c>
      <c r="Q351" s="22"/>
    </row>
    <row r="352" spans="1:17" x14ac:dyDescent="0.3">
      <c r="A352" t="s">
        <v>1482</v>
      </c>
      <c r="B352" s="17">
        <v>43284</v>
      </c>
      <c r="C352" t="s">
        <v>108</v>
      </c>
      <c r="D352" t="s">
        <v>99</v>
      </c>
      <c r="E352">
        <v>22</v>
      </c>
      <c r="F352">
        <v>16</v>
      </c>
      <c r="G352">
        <v>352</v>
      </c>
      <c r="H352">
        <v>0.04</v>
      </c>
      <c r="I352" t="s">
        <v>97</v>
      </c>
      <c r="J352">
        <v>14.08</v>
      </c>
      <c r="Q352" s="21"/>
    </row>
    <row r="353" spans="1:17" x14ac:dyDescent="0.3">
      <c r="A353" t="s">
        <v>1483</v>
      </c>
      <c r="B353" s="17">
        <v>43285</v>
      </c>
      <c r="C353" t="s">
        <v>111</v>
      </c>
      <c r="D353" t="s">
        <v>96</v>
      </c>
      <c r="E353">
        <v>5</v>
      </c>
      <c r="F353">
        <v>150</v>
      </c>
      <c r="G353">
        <v>750</v>
      </c>
      <c r="H353">
        <v>0.11</v>
      </c>
      <c r="I353" t="s">
        <v>100</v>
      </c>
      <c r="J353">
        <v>82.5</v>
      </c>
      <c r="Q353" s="22"/>
    </row>
    <row r="354" spans="1:17" x14ac:dyDescent="0.3">
      <c r="A354" t="s">
        <v>1484</v>
      </c>
      <c r="B354" s="17">
        <v>43285</v>
      </c>
      <c r="C354" t="s">
        <v>95</v>
      </c>
      <c r="D354" t="s">
        <v>99</v>
      </c>
      <c r="E354">
        <v>14</v>
      </c>
      <c r="F354">
        <v>80</v>
      </c>
      <c r="G354">
        <v>1120</v>
      </c>
      <c r="H354">
        <v>0.11</v>
      </c>
      <c r="I354" t="s">
        <v>102</v>
      </c>
      <c r="J354">
        <v>123.2</v>
      </c>
      <c r="Q354" s="21"/>
    </row>
    <row r="355" spans="1:17" x14ac:dyDescent="0.3">
      <c r="A355" t="s">
        <v>1485</v>
      </c>
      <c r="B355" s="17">
        <v>43285</v>
      </c>
      <c r="C355" t="s">
        <v>108</v>
      </c>
      <c r="D355" t="s">
        <v>104</v>
      </c>
      <c r="E355">
        <v>8</v>
      </c>
      <c r="F355">
        <v>16</v>
      </c>
      <c r="G355">
        <v>128</v>
      </c>
      <c r="H355">
        <v>0.03</v>
      </c>
      <c r="I355" t="s">
        <v>103</v>
      </c>
      <c r="J355">
        <v>3.84</v>
      </c>
      <c r="Q355" s="22"/>
    </row>
    <row r="356" spans="1:17" x14ac:dyDescent="0.3">
      <c r="A356" t="s">
        <v>1486</v>
      </c>
      <c r="B356" s="17">
        <v>43285</v>
      </c>
      <c r="C356" t="s">
        <v>101</v>
      </c>
      <c r="D356" t="s">
        <v>104</v>
      </c>
      <c r="E356">
        <v>6</v>
      </c>
      <c r="F356">
        <v>230</v>
      </c>
      <c r="G356">
        <v>1380</v>
      </c>
      <c r="H356">
        <v>0.05</v>
      </c>
      <c r="I356" t="s">
        <v>105</v>
      </c>
      <c r="J356">
        <v>69</v>
      </c>
      <c r="Q356" s="21"/>
    </row>
    <row r="357" spans="1:17" x14ac:dyDescent="0.3">
      <c r="A357" t="s">
        <v>1487</v>
      </c>
      <c r="B357" s="17">
        <v>43285</v>
      </c>
      <c r="C357" t="s">
        <v>108</v>
      </c>
      <c r="D357" t="s">
        <v>106</v>
      </c>
      <c r="E357">
        <v>7</v>
      </c>
      <c r="F357">
        <v>16</v>
      </c>
      <c r="G357">
        <v>112</v>
      </c>
      <c r="H357">
        <v>0.08</v>
      </c>
      <c r="I357" t="s">
        <v>107</v>
      </c>
      <c r="J357">
        <v>8.9600000000000009</v>
      </c>
      <c r="Q357" s="22"/>
    </row>
    <row r="358" spans="1:17" x14ac:dyDescent="0.3">
      <c r="A358" t="s">
        <v>1488</v>
      </c>
      <c r="B358" s="17">
        <v>43285</v>
      </c>
      <c r="C358" t="s">
        <v>95</v>
      </c>
      <c r="D358" t="s">
        <v>99</v>
      </c>
      <c r="E358">
        <v>16</v>
      </c>
      <c r="F358">
        <v>80</v>
      </c>
      <c r="G358">
        <v>1280</v>
      </c>
      <c r="H358">
        <v>0.04</v>
      </c>
      <c r="I358" t="s">
        <v>110</v>
      </c>
      <c r="J358">
        <v>51.2</v>
      </c>
      <c r="Q358" s="21"/>
    </row>
    <row r="359" spans="1:17" x14ac:dyDescent="0.3">
      <c r="A359" t="s">
        <v>1489</v>
      </c>
      <c r="B359" s="17">
        <v>43285</v>
      </c>
      <c r="C359" t="s">
        <v>111</v>
      </c>
      <c r="D359" t="s">
        <v>96</v>
      </c>
      <c r="E359">
        <v>17</v>
      </c>
      <c r="F359">
        <v>150</v>
      </c>
      <c r="G359">
        <v>2550</v>
      </c>
      <c r="H359">
        <v>0.12</v>
      </c>
      <c r="I359" t="s">
        <v>112</v>
      </c>
      <c r="J359">
        <v>306</v>
      </c>
      <c r="Q359" s="22"/>
    </row>
    <row r="360" spans="1:17" x14ac:dyDescent="0.3">
      <c r="A360" t="s">
        <v>1490</v>
      </c>
      <c r="B360" s="17">
        <v>43285</v>
      </c>
      <c r="C360" t="s">
        <v>108</v>
      </c>
      <c r="D360" t="s">
        <v>99</v>
      </c>
      <c r="E360">
        <v>7</v>
      </c>
      <c r="F360">
        <v>16</v>
      </c>
      <c r="G360">
        <v>112</v>
      </c>
      <c r="H360">
        <v>0.08</v>
      </c>
      <c r="I360" t="s">
        <v>113</v>
      </c>
      <c r="J360">
        <v>8.9600000000000009</v>
      </c>
      <c r="Q360" s="21"/>
    </row>
    <row r="361" spans="1:17" x14ac:dyDescent="0.3">
      <c r="A361" t="s">
        <v>1491</v>
      </c>
      <c r="B361" s="17">
        <v>43286</v>
      </c>
      <c r="C361" t="s">
        <v>108</v>
      </c>
      <c r="D361" t="s">
        <v>96</v>
      </c>
      <c r="E361">
        <v>21</v>
      </c>
      <c r="F361">
        <v>16</v>
      </c>
      <c r="G361">
        <v>336</v>
      </c>
      <c r="H361">
        <v>0.09</v>
      </c>
      <c r="I361" t="s">
        <v>114</v>
      </c>
      <c r="J361">
        <v>30.24</v>
      </c>
      <c r="Q361" s="22"/>
    </row>
    <row r="362" spans="1:17" x14ac:dyDescent="0.3">
      <c r="A362" t="s">
        <v>1492</v>
      </c>
      <c r="B362" s="17">
        <v>43286</v>
      </c>
      <c r="C362" t="s">
        <v>108</v>
      </c>
      <c r="D362" t="s">
        <v>104</v>
      </c>
      <c r="E362">
        <v>23</v>
      </c>
      <c r="F362">
        <v>16</v>
      </c>
      <c r="G362">
        <v>368</v>
      </c>
      <c r="H362">
        <v>0.11</v>
      </c>
      <c r="I362" t="s">
        <v>115</v>
      </c>
      <c r="J362">
        <v>40.479999999999997</v>
      </c>
      <c r="Q362" s="21"/>
    </row>
    <row r="363" spans="1:17" x14ac:dyDescent="0.3">
      <c r="A363" t="s">
        <v>1493</v>
      </c>
      <c r="B363" s="17">
        <v>43286</v>
      </c>
      <c r="C363" t="s">
        <v>111</v>
      </c>
      <c r="D363" t="s">
        <v>104</v>
      </c>
      <c r="E363">
        <v>2</v>
      </c>
      <c r="F363">
        <v>150</v>
      </c>
      <c r="G363">
        <v>300</v>
      </c>
      <c r="H363">
        <v>0.02</v>
      </c>
      <c r="I363" t="s">
        <v>116</v>
      </c>
      <c r="J363">
        <v>6</v>
      </c>
      <c r="Q363" s="22"/>
    </row>
    <row r="364" spans="1:17" x14ac:dyDescent="0.3">
      <c r="A364" t="s">
        <v>1494</v>
      </c>
      <c r="B364" s="17">
        <v>43286</v>
      </c>
      <c r="C364" t="s">
        <v>111</v>
      </c>
      <c r="D364" t="s">
        <v>96</v>
      </c>
      <c r="E364">
        <v>22</v>
      </c>
      <c r="F364">
        <v>150</v>
      </c>
      <c r="G364">
        <v>3300</v>
      </c>
      <c r="H364">
        <v>7.0000000000000007E-2</v>
      </c>
      <c r="I364" t="s">
        <v>97</v>
      </c>
      <c r="J364">
        <v>231.00000000000003</v>
      </c>
      <c r="Q364" s="21"/>
    </row>
    <row r="365" spans="1:17" x14ac:dyDescent="0.3">
      <c r="A365" t="s">
        <v>1495</v>
      </c>
      <c r="B365" s="17">
        <v>43286</v>
      </c>
      <c r="C365" t="s">
        <v>98</v>
      </c>
      <c r="D365" t="s">
        <v>106</v>
      </c>
      <c r="E365">
        <v>22</v>
      </c>
      <c r="F365">
        <v>40</v>
      </c>
      <c r="G365">
        <v>880</v>
      </c>
      <c r="H365">
        <v>0.01</v>
      </c>
      <c r="I365" t="s">
        <v>100</v>
      </c>
      <c r="J365">
        <v>8.8000000000000007</v>
      </c>
      <c r="Q365" s="22"/>
    </row>
    <row r="366" spans="1:17" x14ac:dyDescent="0.3">
      <c r="A366" t="s">
        <v>1496</v>
      </c>
      <c r="B366" s="17">
        <v>43286</v>
      </c>
      <c r="C366" t="s">
        <v>95</v>
      </c>
      <c r="D366" t="s">
        <v>99</v>
      </c>
      <c r="E366">
        <v>10</v>
      </c>
      <c r="F366">
        <v>80</v>
      </c>
      <c r="G366">
        <v>800</v>
      </c>
      <c r="H366">
        <v>0.11</v>
      </c>
      <c r="I366" t="s">
        <v>102</v>
      </c>
      <c r="J366">
        <v>88</v>
      </c>
      <c r="Q366" s="21"/>
    </row>
    <row r="367" spans="1:17" x14ac:dyDescent="0.3">
      <c r="A367" t="s">
        <v>1497</v>
      </c>
      <c r="B367" s="17">
        <v>43286</v>
      </c>
      <c r="C367" t="s">
        <v>95</v>
      </c>
      <c r="D367" t="s">
        <v>109</v>
      </c>
      <c r="E367">
        <v>13</v>
      </c>
      <c r="F367">
        <v>80</v>
      </c>
      <c r="G367">
        <v>1040</v>
      </c>
      <c r="H367">
        <v>0.05</v>
      </c>
      <c r="I367" t="s">
        <v>103</v>
      </c>
      <c r="J367">
        <v>52</v>
      </c>
      <c r="Q367" s="22"/>
    </row>
    <row r="368" spans="1:17" x14ac:dyDescent="0.3">
      <c r="A368" t="s">
        <v>1498</v>
      </c>
      <c r="B368" s="17">
        <v>43286</v>
      </c>
      <c r="C368" t="s">
        <v>101</v>
      </c>
      <c r="D368" t="s">
        <v>106</v>
      </c>
      <c r="E368">
        <v>11</v>
      </c>
      <c r="F368">
        <v>230</v>
      </c>
      <c r="G368">
        <v>2530</v>
      </c>
      <c r="H368">
        <v>0.12</v>
      </c>
      <c r="I368" t="s">
        <v>105</v>
      </c>
      <c r="J368">
        <v>303.59999999999997</v>
      </c>
      <c r="Q368" s="21"/>
    </row>
    <row r="369" spans="1:17" x14ac:dyDescent="0.3">
      <c r="A369" t="s">
        <v>1499</v>
      </c>
      <c r="B369" s="17">
        <v>43286</v>
      </c>
      <c r="C369" t="s">
        <v>101</v>
      </c>
      <c r="D369" t="s">
        <v>96</v>
      </c>
      <c r="E369">
        <v>9</v>
      </c>
      <c r="F369">
        <v>230</v>
      </c>
      <c r="G369">
        <v>2070</v>
      </c>
      <c r="H369">
        <v>7.0000000000000007E-2</v>
      </c>
      <c r="I369" t="s">
        <v>107</v>
      </c>
      <c r="J369">
        <v>144.9</v>
      </c>
      <c r="Q369" s="22"/>
    </row>
    <row r="370" spans="1:17" x14ac:dyDescent="0.3">
      <c r="A370" t="s">
        <v>1500</v>
      </c>
      <c r="B370" s="17">
        <v>43286</v>
      </c>
      <c r="C370" t="s">
        <v>101</v>
      </c>
      <c r="D370" t="s">
        <v>106</v>
      </c>
      <c r="E370">
        <v>16</v>
      </c>
      <c r="F370">
        <v>230</v>
      </c>
      <c r="G370">
        <v>3680</v>
      </c>
      <c r="H370">
        <v>0.11</v>
      </c>
      <c r="I370" t="s">
        <v>110</v>
      </c>
      <c r="J370">
        <v>404.8</v>
      </c>
      <c r="Q370" s="21"/>
    </row>
    <row r="371" spans="1:17" x14ac:dyDescent="0.3">
      <c r="A371" t="s">
        <v>1501</v>
      </c>
      <c r="B371" s="17">
        <v>43286</v>
      </c>
      <c r="C371" t="s">
        <v>101</v>
      </c>
      <c r="D371" t="s">
        <v>106</v>
      </c>
      <c r="E371">
        <v>18</v>
      </c>
      <c r="F371">
        <v>230</v>
      </c>
      <c r="G371">
        <v>4140</v>
      </c>
      <c r="H371">
        <v>0.01</v>
      </c>
      <c r="I371" t="s">
        <v>112</v>
      </c>
      <c r="J371">
        <v>41.4</v>
      </c>
      <c r="Q371" s="22"/>
    </row>
    <row r="372" spans="1:17" x14ac:dyDescent="0.3">
      <c r="A372" t="s">
        <v>1502</v>
      </c>
      <c r="B372" s="17">
        <v>43286</v>
      </c>
      <c r="C372" t="s">
        <v>108</v>
      </c>
      <c r="D372" t="s">
        <v>99</v>
      </c>
      <c r="E372">
        <v>15</v>
      </c>
      <c r="F372">
        <v>16</v>
      </c>
      <c r="G372">
        <v>240</v>
      </c>
      <c r="H372">
        <v>0.02</v>
      </c>
      <c r="I372" t="s">
        <v>113</v>
      </c>
      <c r="J372">
        <v>4.8</v>
      </c>
      <c r="Q372" s="21"/>
    </row>
    <row r="373" spans="1:17" x14ac:dyDescent="0.3">
      <c r="A373" t="s">
        <v>1503</v>
      </c>
      <c r="B373" s="17">
        <v>43286</v>
      </c>
      <c r="C373" t="s">
        <v>98</v>
      </c>
      <c r="D373" t="s">
        <v>109</v>
      </c>
      <c r="E373">
        <v>18</v>
      </c>
      <c r="F373">
        <v>40</v>
      </c>
      <c r="G373">
        <v>720</v>
      </c>
      <c r="H373">
        <v>0.06</v>
      </c>
      <c r="I373" t="s">
        <v>114</v>
      </c>
      <c r="J373">
        <v>43.199999999999996</v>
      </c>
      <c r="Q373" s="22"/>
    </row>
    <row r="374" spans="1:17" x14ac:dyDescent="0.3">
      <c r="A374" t="s">
        <v>1504</v>
      </c>
      <c r="B374" s="17">
        <v>43286</v>
      </c>
      <c r="C374" t="s">
        <v>98</v>
      </c>
      <c r="D374" t="s">
        <v>106</v>
      </c>
      <c r="E374">
        <v>18</v>
      </c>
      <c r="F374">
        <v>40</v>
      </c>
      <c r="G374">
        <v>720</v>
      </c>
      <c r="H374">
        <v>0.04</v>
      </c>
      <c r="I374" t="s">
        <v>115</v>
      </c>
      <c r="J374">
        <v>28.8</v>
      </c>
      <c r="Q374" s="21"/>
    </row>
    <row r="375" spans="1:17" x14ac:dyDescent="0.3">
      <c r="A375" t="s">
        <v>1505</v>
      </c>
      <c r="B375" s="17">
        <v>43286</v>
      </c>
      <c r="C375" t="s">
        <v>108</v>
      </c>
      <c r="D375" t="s">
        <v>106</v>
      </c>
      <c r="E375">
        <v>22</v>
      </c>
      <c r="F375">
        <v>16</v>
      </c>
      <c r="G375">
        <v>352</v>
      </c>
      <c r="H375">
        <v>0.03</v>
      </c>
      <c r="I375" t="s">
        <v>116</v>
      </c>
      <c r="J375">
        <v>10.559999999999999</v>
      </c>
      <c r="Q375" s="22"/>
    </row>
    <row r="376" spans="1:17" x14ac:dyDescent="0.3">
      <c r="A376" t="s">
        <v>1506</v>
      </c>
      <c r="B376" s="17">
        <v>43286</v>
      </c>
      <c r="C376" t="s">
        <v>108</v>
      </c>
      <c r="D376" t="s">
        <v>104</v>
      </c>
      <c r="E376">
        <v>12</v>
      </c>
      <c r="F376">
        <v>16</v>
      </c>
      <c r="G376">
        <v>192</v>
      </c>
      <c r="H376">
        <v>0.11</v>
      </c>
      <c r="I376" t="s">
        <v>97</v>
      </c>
      <c r="J376">
        <v>21.12</v>
      </c>
      <c r="Q376" s="21"/>
    </row>
    <row r="377" spans="1:17" x14ac:dyDescent="0.3">
      <c r="A377" t="s">
        <v>1507</v>
      </c>
      <c r="B377" s="17">
        <v>43287</v>
      </c>
      <c r="C377" t="s">
        <v>95</v>
      </c>
      <c r="D377" t="s">
        <v>96</v>
      </c>
      <c r="E377">
        <v>20</v>
      </c>
      <c r="F377">
        <v>80</v>
      </c>
      <c r="G377">
        <v>1600</v>
      </c>
      <c r="H377">
        <v>0.01</v>
      </c>
      <c r="I377" t="s">
        <v>100</v>
      </c>
      <c r="J377">
        <v>16</v>
      </c>
      <c r="Q377" s="22"/>
    </row>
    <row r="378" spans="1:17" x14ac:dyDescent="0.3">
      <c r="A378" t="s">
        <v>1508</v>
      </c>
      <c r="B378" s="17">
        <v>43287</v>
      </c>
      <c r="C378" t="s">
        <v>101</v>
      </c>
      <c r="D378" t="s">
        <v>104</v>
      </c>
      <c r="E378">
        <v>10</v>
      </c>
      <c r="F378">
        <v>230</v>
      </c>
      <c r="G378">
        <v>2300</v>
      </c>
      <c r="H378">
        <v>0.02</v>
      </c>
      <c r="I378" t="s">
        <v>102</v>
      </c>
      <c r="J378">
        <v>46</v>
      </c>
      <c r="Q378" s="21"/>
    </row>
    <row r="379" spans="1:17" x14ac:dyDescent="0.3">
      <c r="A379" t="s">
        <v>1509</v>
      </c>
      <c r="B379" s="17">
        <v>43287</v>
      </c>
      <c r="C379" t="s">
        <v>101</v>
      </c>
      <c r="D379" t="s">
        <v>99</v>
      </c>
      <c r="E379">
        <v>9</v>
      </c>
      <c r="F379">
        <v>230</v>
      </c>
      <c r="G379">
        <v>2070</v>
      </c>
      <c r="H379">
        <v>0.03</v>
      </c>
      <c r="I379" t="s">
        <v>103</v>
      </c>
      <c r="J379">
        <v>62.099999999999994</v>
      </c>
      <c r="Q379" s="22"/>
    </row>
    <row r="380" spans="1:17" x14ac:dyDescent="0.3">
      <c r="A380" t="s">
        <v>1510</v>
      </c>
      <c r="B380" s="17">
        <v>43287</v>
      </c>
      <c r="C380" t="s">
        <v>95</v>
      </c>
      <c r="D380" t="s">
        <v>99</v>
      </c>
      <c r="E380">
        <v>17</v>
      </c>
      <c r="F380">
        <v>80</v>
      </c>
      <c r="G380">
        <v>1360</v>
      </c>
      <c r="H380">
        <v>0.03</v>
      </c>
      <c r="I380" t="s">
        <v>105</v>
      </c>
      <c r="J380">
        <v>40.799999999999997</v>
      </c>
      <c r="Q380" s="21"/>
    </row>
    <row r="381" spans="1:17" x14ac:dyDescent="0.3">
      <c r="A381" t="s">
        <v>1511</v>
      </c>
      <c r="B381" s="17">
        <v>43287</v>
      </c>
      <c r="C381" t="s">
        <v>98</v>
      </c>
      <c r="D381" t="s">
        <v>109</v>
      </c>
      <c r="E381">
        <v>4</v>
      </c>
      <c r="F381">
        <v>40</v>
      </c>
      <c r="G381">
        <v>160</v>
      </c>
      <c r="H381">
        <v>0.09</v>
      </c>
      <c r="I381" t="s">
        <v>107</v>
      </c>
      <c r="J381">
        <v>14.399999999999999</v>
      </c>
      <c r="Q381" s="22"/>
    </row>
    <row r="382" spans="1:17" x14ac:dyDescent="0.3">
      <c r="A382" t="s">
        <v>1512</v>
      </c>
      <c r="B382" s="17">
        <v>43287</v>
      </c>
      <c r="C382" t="s">
        <v>111</v>
      </c>
      <c r="D382" t="s">
        <v>99</v>
      </c>
      <c r="E382">
        <v>16</v>
      </c>
      <c r="F382">
        <v>150</v>
      </c>
      <c r="G382">
        <v>2400</v>
      </c>
      <c r="H382">
        <v>0.03</v>
      </c>
      <c r="I382" t="s">
        <v>110</v>
      </c>
      <c r="J382">
        <v>72</v>
      </c>
      <c r="Q382" s="21"/>
    </row>
    <row r="383" spans="1:17" x14ac:dyDescent="0.3">
      <c r="A383" t="s">
        <v>1513</v>
      </c>
      <c r="B383" s="17">
        <v>43287</v>
      </c>
      <c r="C383" t="s">
        <v>95</v>
      </c>
      <c r="D383" t="s">
        <v>104</v>
      </c>
      <c r="E383">
        <v>8</v>
      </c>
      <c r="F383">
        <v>80</v>
      </c>
      <c r="G383">
        <v>640</v>
      </c>
      <c r="H383">
        <v>0.02</v>
      </c>
      <c r="I383" t="s">
        <v>112</v>
      </c>
      <c r="J383">
        <v>12.8</v>
      </c>
      <c r="Q383" s="22"/>
    </row>
    <row r="384" spans="1:17" x14ac:dyDescent="0.3">
      <c r="A384" t="s">
        <v>1514</v>
      </c>
      <c r="B384" s="17">
        <v>43287</v>
      </c>
      <c r="C384" t="s">
        <v>98</v>
      </c>
      <c r="D384" t="s">
        <v>106</v>
      </c>
      <c r="E384">
        <v>23</v>
      </c>
      <c r="F384">
        <v>40</v>
      </c>
      <c r="G384">
        <v>920</v>
      </c>
      <c r="H384">
        <v>0.06</v>
      </c>
      <c r="I384" t="s">
        <v>113</v>
      </c>
      <c r="J384">
        <v>55.199999999999996</v>
      </c>
      <c r="Q384" s="21"/>
    </row>
    <row r="385" spans="1:17" x14ac:dyDescent="0.3">
      <c r="A385" t="s">
        <v>1515</v>
      </c>
      <c r="B385" s="17">
        <v>43288</v>
      </c>
      <c r="C385" t="s">
        <v>111</v>
      </c>
      <c r="D385" t="s">
        <v>106</v>
      </c>
      <c r="E385">
        <v>20</v>
      </c>
      <c r="F385">
        <v>150</v>
      </c>
      <c r="G385">
        <v>3000</v>
      </c>
      <c r="H385">
        <v>0.1</v>
      </c>
      <c r="I385" t="s">
        <v>114</v>
      </c>
      <c r="J385">
        <v>300</v>
      </c>
      <c r="Q385" s="22"/>
    </row>
    <row r="386" spans="1:17" x14ac:dyDescent="0.3">
      <c r="A386" t="s">
        <v>1516</v>
      </c>
      <c r="B386" s="17">
        <v>43288</v>
      </c>
      <c r="C386" t="s">
        <v>101</v>
      </c>
      <c r="D386" t="s">
        <v>109</v>
      </c>
      <c r="E386">
        <v>22</v>
      </c>
      <c r="F386">
        <v>230</v>
      </c>
      <c r="G386">
        <v>5060</v>
      </c>
      <c r="H386">
        <v>0.1</v>
      </c>
      <c r="I386" t="s">
        <v>115</v>
      </c>
      <c r="J386">
        <v>506</v>
      </c>
      <c r="Q386" s="21"/>
    </row>
    <row r="387" spans="1:17" x14ac:dyDescent="0.3">
      <c r="A387" t="s">
        <v>1517</v>
      </c>
      <c r="B387" s="17">
        <v>43288</v>
      </c>
      <c r="C387" t="s">
        <v>101</v>
      </c>
      <c r="D387" t="s">
        <v>99</v>
      </c>
      <c r="E387">
        <v>6</v>
      </c>
      <c r="F387">
        <v>230</v>
      </c>
      <c r="G387">
        <v>1380</v>
      </c>
      <c r="H387">
        <v>0.1</v>
      </c>
      <c r="I387" t="s">
        <v>116</v>
      </c>
      <c r="J387">
        <v>138</v>
      </c>
      <c r="Q387" s="22"/>
    </row>
    <row r="388" spans="1:17" x14ac:dyDescent="0.3">
      <c r="A388" t="s">
        <v>1518</v>
      </c>
      <c r="B388" s="17">
        <v>43288</v>
      </c>
      <c r="C388" t="s">
        <v>95</v>
      </c>
      <c r="D388" t="s">
        <v>106</v>
      </c>
      <c r="E388">
        <v>10</v>
      </c>
      <c r="F388">
        <v>80</v>
      </c>
      <c r="G388">
        <v>800</v>
      </c>
      <c r="H388">
        <v>0.1</v>
      </c>
      <c r="I388" t="s">
        <v>97</v>
      </c>
      <c r="J388">
        <v>80</v>
      </c>
      <c r="Q388" s="21"/>
    </row>
    <row r="389" spans="1:17" x14ac:dyDescent="0.3">
      <c r="A389" t="s">
        <v>1519</v>
      </c>
      <c r="B389" s="17">
        <v>43288</v>
      </c>
      <c r="C389" t="s">
        <v>101</v>
      </c>
      <c r="D389" t="s">
        <v>109</v>
      </c>
      <c r="E389">
        <v>21</v>
      </c>
      <c r="F389">
        <v>230</v>
      </c>
      <c r="G389">
        <v>4830</v>
      </c>
      <c r="H389">
        <v>0.05</v>
      </c>
      <c r="I389" t="s">
        <v>100</v>
      </c>
      <c r="J389">
        <v>241.5</v>
      </c>
      <c r="Q389" s="22"/>
    </row>
    <row r="390" spans="1:17" x14ac:dyDescent="0.3">
      <c r="A390" t="s">
        <v>1520</v>
      </c>
      <c r="B390" s="17">
        <v>43288</v>
      </c>
      <c r="C390" t="s">
        <v>101</v>
      </c>
      <c r="D390" t="s">
        <v>96</v>
      </c>
      <c r="E390">
        <v>20</v>
      </c>
      <c r="F390">
        <v>230</v>
      </c>
      <c r="G390">
        <v>4600</v>
      </c>
      <c r="H390">
        <v>0.04</v>
      </c>
      <c r="I390" t="s">
        <v>102</v>
      </c>
      <c r="J390">
        <v>184</v>
      </c>
      <c r="Q390" s="21"/>
    </row>
    <row r="391" spans="1:17" x14ac:dyDescent="0.3">
      <c r="A391" t="s">
        <v>1521</v>
      </c>
      <c r="B391" s="17">
        <v>43288</v>
      </c>
      <c r="C391" t="s">
        <v>95</v>
      </c>
      <c r="D391" t="s">
        <v>104</v>
      </c>
      <c r="E391">
        <v>20</v>
      </c>
      <c r="F391">
        <v>80</v>
      </c>
      <c r="G391">
        <v>1600</v>
      </c>
      <c r="H391">
        <v>7.0000000000000007E-2</v>
      </c>
      <c r="I391" t="s">
        <v>103</v>
      </c>
      <c r="J391">
        <v>112.00000000000001</v>
      </c>
      <c r="Q391" s="22"/>
    </row>
    <row r="392" spans="1:17" x14ac:dyDescent="0.3">
      <c r="A392" t="s">
        <v>1522</v>
      </c>
      <c r="B392" s="17">
        <v>43288</v>
      </c>
      <c r="C392" t="s">
        <v>95</v>
      </c>
      <c r="D392" t="s">
        <v>104</v>
      </c>
      <c r="E392">
        <v>7</v>
      </c>
      <c r="F392">
        <v>80</v>
      </c>
      <c r="G392">
        <v>560</v>
      </c>
      <c r="H392">
        <v>0.05</v>
      </c>
      <c r="I392" t="s">
        <v>105</v>
      </c>
      <c r="J392">
        <v>28</v>
      </c>
      <c r="Q392" s="21"/>
    </row>
    <row r="393" spans="1:17" x14ac:dyDescent="0.3">
      <c r="A393" t="s">
        <v>1523</v>
      </c>
      <c r="B393" s="17">
        <v>43288</v>
      </c>
      <c r="C393" t="s">
        <v>95</v>
      </c>
      <c r="D393" t="s">
        <v>96</v>
      </c>
      <c r="E393">
        <v>8</v>
      </c>
      <c r="F393">
        <v>80</v>
      </c>
      <c r="G393">
        <v>640</v>
      </c>
      <c r="H393">
        <v>0.09</v>
      </c>
      <c r="I393" t="s">
        <v>107</v>
      </c>
      <c r="J393">
        <v>57.599999999999994</v>
      </c>
      <c r="Q393" s="22"/>
    </row>
    <row r="394" spans="1:17" x14ac:dyDescent="0.3">
      <c r="A394" t="s">
        <v>1524</v>
      </c>
      <c r="B394" s="17">
        <v>43288</v>
      </c>
      <c r="C394" t="s">
        <v>95</v>
      </c>
      <c r="D394" t="s">
        <v>99</v>
      </c>
      <c r="E394">
        <v>3</v>
      </c>
      <c r="F394">
        <v>80</v>
      </c>
      <c r="G394">
        <v>240</v>
      </c>
      <c r="H394">
        <v>0.02</v>
      </c>
      <c r="I394" t="s">
        <v>110</v>
      </c>
      <c r="J394">
        <v>4.8</v>
      </c>
      <c r="Q394" s="21"/>
    </row>
    <row r="395" spans="1:17" x14ac:dyDescent="0.3">
      <c r="A395" t="s">
        <v>1525</v>
      </c>
      <c r="B395" s="17">
        <v>43288</v>
      </c>
      <c r="C395" t="s">
        <v>95</v>
      </c>
      <c r="D395" t="s">
        <v>106</v>
      </c>
      <c r="E395">
        <v>8</v>
      </c>
      <c r="F395">
        <v>80</v>
      </c>
      <c r="G395">
        <v>640</v>
      </c>
      <c r="H395">
        <v>0.06</v>
      </c>
      <c r="I395" t="s">
        <v>112</v>
      </c>
      <c r="J395">
        <v>38.4</v>
      </c>
      <c r="Q395" s="22"/>
    </row>
    <row r="396" spans="1:17" x14ac:dyDescent="0.3">
      <c r="A396" t="s">
        <v>1526</v>
      </c>
      <c r="B396" s="17">
        <v>43288</v>
      </c>
      <c r="C396" t="s">
        <v>111</v>
      </c>
      <c r="D396" t="s">
        <v>109</v>
      </c>
      <c r="E396">
        <v>13</v>
      </c>
      <c r="F396">
        <v>150</v>
      </c>
      <c r="G396">
        <v>1950</v>
      </c>
      <c r="H396">
        <v>0.11</v>
      </c>
      <c r="I396" t="s">
        <v>113</v>
      </c>
      <c r="J396">
        <v>214.5</v>
      </c>
      <c r="Q396" s="21"/>
    </row>
    <row r="397" spans="1:17" x14ac:dyDescent="0.3">
      <c r="A397" t="s">
        <v>1527</v>
      </c>
      <c r="B397" s="17">
        <v>43288</v>
      </c>
      <c r="C397" t="s">
        <v>95</v>
      </c>
      <c r="D397" t="s">
        <v>106</v>
      </c>
      <c r="E397">
        <v>15</v>
      </c>
      <c r="F397">
        <v>80</v>
      </c>
      <c r="G397">
        <v>1200</v>
      </c>
      <c r="H397">
        <v>0.08</v>
      </c>
      <c r="I397" t="s">
        <v>114</v>
      </c>
      <c r="J397">
        <v>96</v>
      </c>
      <c r="Q397" s="22"/>
    </row>
    <row r="398" spans="1:17" x14ac:dyDescent="0.3">
      <c r="A398" t="s">
        <v>1528</v>
      </c>
      <c r="B398" s="17">
        <v>43288</v>
      </c>
      <c r="C398" t="s">
        <v>111</v>
      </c>
      <c r="D398" t="s">
        <v>109</v>
      </c>
      <c r="E398">
        <v>7</v>
      </c>
      <c r="F398">
        <v>150</v>
      </c>
      <c r="G398">
        <v>1050</v>
      </c>
      <c r="H398">
        <v>0.02</v>
      </c>
      <c r="I398" t="s">
        <v>115</v>
      </c>
      <c r="J398">
        <v>21</v>
      </c>
      <c r="Q398" s="21"/>
    </row>
    <row r="399" spans="1:17" x14ac:dyDescent="0.3">
      <c r="A399" t="s">
        <v>1529</v>
      </c>
      <c r="B399" s="17">
        <v>43288</v>
      </c>
      <c r="C399" t="s">
        <v>98</v>
      </c>
      <c r="D399" t="s">
        <v>104</v>
      </c>
      <c r="E399">
        <v>6</v>
      </c>
      <c r="F399">
        <v>40</v>
      </c>
      <c r="G399">
        <v>240</v>
      </c>
      <c r="H399">
        <v>0.06</v>
      </c>
      <c r="I399" t="s">
        <v>116</v>
      </c>
      <c r="J399">
        <v>14.399999999999999</v>
      </c>
      <c r="Q399" s="22"/>
    </row>
    <row r="400" spans="1:17" x14ac:dyDescent="0.3">
      <c r="A400" t="s">
        <v>1530</v>
      </c>
      <c r="B400" s="17">
        <v>43288</v>
      </c>
      <c r="C400" t="s">
        <v>95</v>
      </c>
      <c r="D400" t="s">
        <v>106</v>
      </c>
      <c r="E400">
        <v>23</v>
      </c>
      <c r="F400">
        <v>80</v>
      </c>
      <c r="G400">
        <v>1840</v>
      </c>
      <c r="H400">
        <v>0.11</v>
      </c>
      <c r="I400" t="s">
        <v>97</v>
      </c>
      <c r="J400">
        <v>202.4</v>
      </c>
      <c r="Q400" s="21"/>
    </row>
    <row r="401" spans="1:17" x14ac:dyDescent="0.3">
      <c r="A401" t="s">
        <v>1531</v>
      </c>
      <c r="B401" s="17">
        <v>43288</v>
      </c>
      <c r="C401" t="s">
        <v>101</v>
      </c>
      <c r="D401" t="s">
        <v>104</v>
      </c>
      <c r="E401">
        <v>18</v>
      </c>
      <c r="F401">
        <v>230</v>
      </c>
      <c r="G401">
        <v>4140</v>
      </c>
      <c r="H401">
        <v>0.01</v>
      </c>
      <c r="I401" t="s">
        <v>100</v>
      </c>
      <c r="J401">
        <v>41.4</v>
      </c>
      <c r="Q401" s="22"/>
    </row>
    <row r="402" spans="1:17" x14ac:dyDescent="0.3">
      <c r="A402" t="s">
        <v>1532</v>
      </c>
      <c r="B402" s="17">
        <v>43289</v>
      </c>
      <c r="C402" t="s">
        <v>95</v>
      </c>
      <c r="D402" t="s">
        <v>109</v>
      </c>
      <c r="E402">
        <v>21</v>
      </c>
      <c r="F402">
        <v>80</v>
      </c>
      <c r="G402">
        <v>1680</v>
      </c>
      <c r="H402">
        <v>0.09</v>
      </c>
      <c r="I402" t="s">
        <v>102</v>
      </c>
      <c r="J402">
        <v>151.19999999999999</v>
      </c>
      <c r="Q402" s="21"/>
    </row>
    <row r="403" spans="1:17" x14ac:dyDescent="0.3">
      <c r="A403" t="s">
        <v>1533</v>
      </c>
      <c r="B403" s="17">
        <v>43289</v>
      </c>
      <c r="C403" t="s">
        <v>98</v>
      </c>
      <c r="D403" t="s">
        <v>104</v>
      </c>
      <c r="E403">
        <v>13</v>
      </c>
      <c r="F403">
        <v>40</v>
      </c>
      <c r="G403">
        <v>520</v>
      </c>
      <c r="H403">
        <v>0.02</v>
      </c>
      <c r="I403" t="s">
        <v>103</v>
      </c>
      <c r="J403">
        <v>10.4</v>
      </c>
      <c r="Q403" s="22"/>
    </row>
    <row r="404" spans="1:17" x14ac:dyDescent="0.3">
      <c r="A404" t="s">
        <v>1534</v>
      </c>
      <c r="B404" s="17">
        <v>43289</v>
      </c>
      <c r="C404" t="s">
        <v>95</v>
      </c>
      <c r="D404" t="s">
        <v>104</v>
      </c>
      <c r="E404">
        <v>23</v>
      </c>
      <c r="F404">
        <v>80</v>
      </c>
      <c r="G404">
        <v>1840</v>
      </c>
      <c r="H404">
        <v>0.05</v>
      </c>
      <c r="I404" t="s">
        <v>105</v>
      </c>
      <c r="J404">
        <v>92</v>
      </c>
      <c r="Q404" s="21"/>
    </row>
    <row r="405" spans="1:17" x14ac:dyDescent="0.3">
      <c r="A405" t="s">
        <v>1535</v>
      </c>
      <c r="B405" s="17">
        <v>43289</v>
      </c>
      <c r="C405" t="s">
        <v>111</v>
      </c>
      <c r="D405" t="s">
        <v>106</v>
      </c>
      <c r="E405">
        <v>15</v>
      </c>
      <c r="F405">
        <v>150</v>
      </c>
      <c r="G405">
        <v>2250</v>
      </c>
      <c r="H405">
        <v>0.05</v>
      </c>
      <c r="I405" t="s">
        <v>107</v>
      </c>
      <c r="J405">
        <v>112.5</v>
      </c>
      <c r="Q405" s="22"/>
    </row>
    <row r="406" spans="1:17" x14ac:dyDescent="0.3">
      <c r="A406" t="s">
        <v>1536</v>
      </c>
      <c r="B406" s="17">
        <v>43289</v>
      </c>
      <c r="C406" t="s">
        <v>98</v>
      </c>
      <c r="D406" t="s">
        <v>96</v>
      </c>
      <c r="E406">
        <v>5</v>
      </c>
      <c r="F406">
        <v>40</v>
      </c>
      <c r="G406">
        <v>200</v>
      </c>
      <c r="H406">
        <v>0.09</v>
      </c>
      <c r="I406" t="s">
        <v>110</v>
      </c>
      <c r="J406">
        <v>18</v>
      </c>
      <c r="Q406" s="21"/>
    </row>
    <row r="407" spans="1:17" x14ac:dyDescent="0.3">
      <c r="A407" t="s">
        <v>1537</v>
      </c>
      <c r="B407" s="17">
        <v>43289</v>
      </c>
      <c r="C407" t="s">
        <v>108</v>
      </c>
      <c r="D407" t="s">
        <v>106</v>
      </c>
      <c r="E407">
        <v>10</v>
      </c>
      <c r="F407">
        <v>16</v>
      </c>
      <c r="G407">
        <v>160</v>
      </c>
      <c r="H407">
        <v>0.01</v>
      </c>
      <c r="I407" t="s">
        <v>112</v>
      </c>
      <c r="J407">
        <v>1.6</v>
      </c>
      <c r="Q407" s="22"/>
    </row>
    <row r="408" spans="1:17" x14ac:dyDescent="0.3">
      <c r="A408" t="s">
        <v>1538</v>
      </c>
      <c r="B408" s="17">
        <v>43289</v>
      </c>
      <c r="C408" t="s">
        <v>101</v>
      </c>
      <c r="D408" t="s">
        <v>104</v>
      </c>
      <c r="E408">
        <v>2</v>
      </c>
      <c r="F408">
        <v>230</v>
      </c>
      <c r="G408">
        <v>460</v>
      </c>
      <c r="H408">
        <v>0.09</v>
      </c>
      <c r="I408" t="s">
        <v>113</v>
      </c>
      <c r="J408">
        <v>41.4</v>
      </c>
      <c r="Q408" s="21"/>
    </row>
    <row r="409" spans="1:17" x14ac:dyDescent="0.3">
      <c r="A409" t="s">
        <v>1539</v>
      </c>
      <c r="B409" s="17">
        <v>43289</v>
      </c>
      <c r="C409" t="s">
        <v>95</v>
      </c>
      <c r="D409" t="s">
        <v>106</v>
      </c>
      <c r="E409">
        <v>7</v>
      </c>
      <c r="F409">
        <v>80</v>
      </c>
      <c r="G409">
        <v>560</v>
      </c>
      <c r="H409">
        <v>0.02</v>
      </c>
      <c r="I409" t="s">
        <v>114</v>
      </c>
      <c r="J409">
        <v>11.200000000000001</v>
      </c>
      <c r="Q409" s="22"/>
    </row>
    <row r="410" spans="1:17" x14ac:dyDescent="0.3">
      <c r="A410" t="s">
        <v>1540</v>
      </c>
      <c r="B410" s="17">
        <v>43289</v>
      </c>
      <c r="C410" t="s">
        <v>111</v>
      </c>
      <c r="D410" t="s">
        <v>106</v>
      </c>
      <c r="E410">
        <v>22</v>
      </c>
      <c r="F410">
        <v>150</v>
      </c>
      <c r="G410">
        <v>3300</v>
      </c>
      <c r="H410">
        <v>0.05</v>
      </c>
      <c r="I410" t="s">
        <v>115</v>
      </c>
      <c r="J410">
        <v>165</v>
      </c>
      <c r="Q410" s="21"/>
    </row>
    <row r="411" spans="1:17" x14ac:dyDescent="0.3">
      <c r="A411" t="s">
        <v>1541</v>
      </c>
      <c r="B411" s="17">
        <v>43289</v>
      </c>
      <c r="C411" t="s">
        <v>98</v>
      </c>
      <c r="D411" t="s">
        <v>109</v>
      </c>
      <c r="E411">
        <v>17</v>
      </c>
      <c r="F411">
        <v>40</v>
      </c>
      <c r="G411">
        <v>680</v>
      </c>
      <c r="H411">
        <v>0.02</v>
      </c>
      <c r="I411" t="s">
        <v>116</v>
      </c>
      <c r="J411">
        <v>13.6</v>
      </c>
      <c r="Q411" s="22"/>
    </row>
    <row r="412" spans="1:17" x14ac:dyDescent="0.3">
      <c r="A412" t="s">
        <v>1542</v>
      </c>
      <c r="B412" s="17">
        <v>43289</v>
      </c>
      <c r="C412" t="s">
        <v>108</v>
      </c>
      <c r="D412" t="s">
        <v>96</v>
      </c>
      <c r="E412">
        <v>22</v>
      </c>
      <c r="F412">
        <v>16</v>
      </c>
      <c r="G412">
        <v>352</v>
      </c>
      <c r="H412">
        <v>0.06</v>
      </c>
      <c r="I412" t="s">
        <v>97</v>
      </c>
      <c r="J412">
        <v>21.119999999999997</v>
      </c>
      <c r="Q412" s="21"/>
    </row>
    <row r="413" spans="1:17" x14ac:dyDescent="0.3">
      <c r="A413" t="s">
        <v>1543</v>
      </c>
      <c r="B413" s="17">
        <v>43289</v>
      </c>
      <c r="C413" t="s">
        <v>108</v>
      </c>
      <c r="D413" t="s">
        <v>109</v>
      </c>
      <c r="E413">
        <v>3</v>
      </c>
      <c r="F413">
        <v>16</v>
      </c>
      <c r="G413">
        <v>48</v>
      </c>
      <c r="H413">
        <v>0.03</v>
      </c>
      <c r="I413" t="s">
        <v>100</v>
      </c>
      <c r="J413">
        <v>1.44</v>
      </c>
      <c r="Q413" s="22"/>
    </row>
    <row r="414" spans="1:17" x14ac:dyDescent="0.3">
      <c r="A414" t="s">
        <v>1544</v>
      </c>
      <c r="B414" s="17">
        <v>43289</v>
      </c>
      <c r="C414" t="s">
        <v>101</v>
      </c>
      <c r="D414" t="s">
        <v>109</v>
      </c>
      <c r="E414">
        <v>2</v>
      </c>
      <c r="F414">
        <v>230</v>
      </c>
      <c r="G414">
        <v>460</v>
      </c>
      <c r="H414">
        <v>0.08</v>
      </c>
      <c r="I414" t="s">
        <v>102</v>
      </c>
      <c r="J414">
        <v>36.800000000000004</v>
      </c>
      <c r="Q414" s="21"/>
    </row>
    <row r="415" spans="1:17" x14ac:dyDescent="0.3">
      <c r="A415" t="s">
        <v>1545</v>
      </c>
      <c r="B415" s="17">
        <v>43289</v>
      </c>
      <c r="C415" t="s">
        <v>108</v>
      </c>
      <c r="D415" t="s">
        <v>96</v>
      </c>
      <c r="E415">
        <v>21</v>
      </c>
      <c r="F415">
        <v>16</v>
      </c>
      <c r="G415">
        <v>336</v>
      </c>
      <c r="H415">
        <v>0.09</v>
      </c>
      <c r="I415" t="s">
        <v>103</v>
      </c>
      <c r="J415">
        <v>30.24</v>
      </c>
      <c r="Q415" s="22"/>
    </row>
    <row r="416" spans="1:17" x14ac:dyDescent="0.3">
      <c r="A416" t="s">
        <v>1546</v>
      </c>
      <c r="B416" s="17">
        <v>43289</v>
      </c>
      <c r="C416" t="s">
        <v>95</v>
      </c>
      <c r="D416" t="s">
        <v>106</v>
      </c>
      <c r="E416">
        <v>7</v>
      </c>
      <c r="F416">
        <v>80</v>
      </c>
      <c r="G416">
        <v>560</v>
      </c>
      <c r="H416">
        <v>7.0000000000000007E-2</v>
      </c>
      <c r="I416" t="s">
        <v>105</v>
      </c>
      <c r="J416">
        <v>39.200000000000003</v>
      </c>
      <c r="Q416" s="21"/>
    </row>
    <row r="417" spans="1:17" x14ac:dyDescent="0.3">
      <c r="A417" t="s">
        <v>1547</v>
      </c>
      <c r="B417" s="17">
        <v>43289</v>
      </c>
      <c r="C417" t="s">
        <v>111</v>
      </c>
      <c r="D417" t="s">
        <v>99</v>
      </c>
      <c r="E417">
        <v>23</v>
      </c>
      <c r="F417">
        <v>150</v>
      </c>
      <c r="G417">
        <v>3450</v>
      </c>
      <c r="H417">
        <v>0.11</v>
      </c>
      <c r="I417" t="s">
        <v>107</v>
      </c>
      <c r="J417">
        <v>379.5</v>
      </c>
      <c r="Q417" s="22"/>
    </row>
    <row r="418" spans="1:17" x14ac:dyDescent="0.3">
      <c r="A418" t="s">
        <v>1548</v>
      </c>
      <c r="B418" s="17">
        <v>43290</v>
      </c>
      <c r="C418" t="s">
        <v>111</v>
      </c>
      <c r="D418" t="s">
        <v>96</v>
      </c>
      <c r="E418">
        <v>11</v>
      </c>
      <c r="F418">
        <v>150</v>
      </c>
      <c r="G418">
        <v>1650</v>
      </c>
      <c r="H418">
        <v>0.05</v>
      </c>
      <c r="I418" t="s">
        <v>110</v>
      </c>
      <c r="J418">
        <v>82.5</v>
      </c>
      <c r="Q418" s="21"/>
    </row>
    <row r="419" spans="1:17" x14ac:dyDescent="0.3">
      <c r="A419" t="s">
        <v>1549</v>
      </c>
      <c r="B419" s="17">
        <v>43290</v>
      </c>
      <c r="C419" t="s">
        <v>95</v>
      </c>
      <c r="D419" t="s">
        <v>109</v>
      </c>
      <c r="E419">
        <v>16</v>
      </c>
      <c r="F419">
        <v>80</v>
      </c>
      <c r="G419">
        <v>1280</v>
      </c>
      <c r="H419">
        <v>0.05</v>
      </c>
      <c r="I419" t="s">
        <v>112</v>
      </c>
      <c r="J419">
        <v>64</v>
      </c>
      <c r="Q419" s="22"/>
    </row>
    <row r="420" spans="1:17" x14ac:dyDescent="0.3">
      <c r="A420" t="s">
        <v>1550</v>
      </c>
      <c r="B420" s="17">
        <v>43290</v>
      </c>
      <c r="C420" t="s">
        <v>101</v>
      </c>
      <c r="D420" t="s">
        <v>104</v>
      </c>
      <c r="E420">
        <v>5</v>
      </c>
      <c r="F420">
        <v>230</v>
      </c>
      <c r="G420">
        <v>1150</v>
      </c>
      <c r="H420">
        <v>0.1</v>
      </c>
      <c r="I420" t="s">
        <v>113</v>
      </c>
      <c r="J420">
        <v>115</v>
      </c>
      <c r="Q420" s="21"/>
    </row>
    <row r="421" spans="1:17" x14ac:dyDescent="0.3">
      <c r="A421" t="s">
        <v>1551</v>
      </c>
      <c r="B421" s="17">
        <v>43290</v>
      </c>
      <c r="C421" t="s">
        <v>108</v>
      </c>
      <c r="D421" t="s">
        <v>96</v>
      </c>
      <c r="E421">
        <v>22</v>
      </c>
      <c r="F421">
        <v>16</v>
      </c>
      <c r="G421">
        <v>352</v>
      </c>
      <c r="H421">
        <v>0.01</v>
      </c>
      <c r="I421" t="s">
        <v>114</v>
      </c>
      <c r="J421">
        <v>3.52</v>
      </c>
      <c r="Q421" s="22"/>
    </row>
    <row r="422" spans="1:17" x14ac:dyDescent="0.3">
      <c r="A422" t="s">
        <v>1552</v>
      </c>
      <c r="B422" s="17">
        <v>43290</v>
      </c>
      <c r="C422" t="s">
        <v>98</v>
      </c>
      <c r="D422" t="s">
        <v>109</v>
      </c>
      <c r="E422">
        <v>7</v>
      </c>
      <c r="F422">
        <v>40</v>
      </c>
      <c r="G422">
        <v>280</v>
      </c>
      <c r="H422">
        <v>0.12</v>
      </c>
      <c r="I422" t="s">
        <v>97</v>
      </c>
      <c r="J422">
        <v>33.6</v>
      </c>
      <c r="Q422" s="21"/>
    </row>
    <row r="423" spans="1:17" x14ac:dyDescent="0.3">
      <c r="A423" t="s">
        <v>1553</v>
      </c>
      <c r="B423" s="17">
        <v>43290</v>
      </c>
      <c r="C423" t="s">
        <v>95</v>
      </c>
      <c r="D423" t="s">
        <v>99</v>
      </c>
      <c r="E423">
        <v>2</v>
      </c>
      <c r="F423">
        <v>80</v>
      </c>
      <c r="G423">
        <v>160</v>
      </c>
      <c r="H423">
        <v>0.04</v>
      </c>
      <c r="I423" t="s">
        <v>100</v>
      </c>
      <c r="J423">
        <v>6.4</v>
      </c>
      <c r="Q423" s="22"/>
    </row>
    <row r="424" spans="1:17" x14ac:dyDescent="0.3">
      <c r="A424" t="s">
        <v>1554</v>
      </c>
      <c r="B424" s="17">
        <v>43290</v>
      </c>
      <c r="C424" t="s">
        <v>98</v>
      </c>
      <c r="D424" t="s">
        <v>106</v>
      </c>
      <c r="E424">
        <v>6</v>
      </c>
      <c r="F424">
        <v>40</v>
      </c>
      <c r="G424">
        <v>240</v>
      </c>
      <c r="H424">
        <v>7.0000000000000007E-2</v>
      </c>
      <c r="I424" t="s">
        <v>102</v>
      </c>
      <c r="J424">
        <v>16.8</v>
      </c>
      <c r="Q424" s="21"/>
    </row>
    <row r="425" spans="1:17" x14ac:dyDescent="0.3">
      <c r="A425" t="s">
        <v>1555</v>
      </c>
      <c r="B425" s="17">
        <v>43290</v>
      </c>
      <c r="C425" t="s">
        <v>95</v>
      </c>
      <c r="D425" t="s">
        <v>104</v>
      </c>
      <c r="E425">
        <v>6</v>
      </c>
      <c r="F425">
        <v>80</v>
      </c>
      <c r="G425">
        <v>480</v>
      </c>
      <c r="H425">
        <v>0.01</v>
      </c>
      <c r="I425" t="s">
        <v>103</v>
      </c>
      <c r="J425">
        <v>4.8</v>
      </c>
      <c r="Q425" s="22"/>
    </row>
    <row r="426" spans="1:17" x14ac:dyDescent="0.3">
      <c r="A426" t="s">
        <v>1556</v>
      </c>
      <c r="B426" s="17">
        <v>43290</v>
      </c>
      <c r="C426" t="s">
        <v>108</v>
      </c>
      <c r="D426" t="s">
        <v>99</v>
      </c>
      <c r="E426">
        <v>22</v>
      </c>
      <c r="F426">
        <v>16</v>
      </c>
      <c r="G426">
        <v>352</v>
      </c>
      <c r="H426">
        <v>0.01</v>
      </c>
      <c r="I426" t="s">
        <v>105</v>
      </c>
      <c r="J426">
        <v>3.52</v>
      </c>
      <c r="Q426" s="21"/>
    </row>
    <row r="427" spans="1:17" x14ac:dyDescent="0.3">
      <c r="A427" t="s">
        <v>1557</v>
      </c>
      <c r="B427" s="17">
        <v>43290</v>
      </c>
      <c r="C427" t="s">
        <v>101</v>
      </c>
      <c r="D427" t="s">
        <v>106</v>
      </c>
      <c r="E427">
        <v>7</v>
      </c>
      <c r="F427">
        <v>230</v>
      </c>
      <c r="G427">
        <v>1610</v>
      </c>
      <c r="H427">
        <v>0.06</v>
      </c>
      <c r="I427" t="s">
        <v>107</v>
      </c>
      <c r="J427">
        <v>96.6</v>
      </c>
      <c r="Q427" s="22"/>
    </row>
    <row r="428" spans="1:17" x14ac:dyDescent="0.3">
      <c r="A428" t="s">
        <v>1558</v>
      </c>
      <c r="B428" s="17">
        <v>43291</v>
      </c>
      <c r="C428" t="s">
        <v>108</v>
      </c>
      <c r="D428" t="s">
        <v>106</v>
      </c>
      <c r="E428">
        <v>22</v>
      </c>
      <c r="F428">
        <v>16</v>
      </c>
      <c r="G428">
        <v>352</v>
      </c>
      <c r="H428">
        <v>0.03</v>
      </c>
      <c r="I428" t="s">
        <v>110</v>
      </c>
      <c r="J428">
        <v>10.559999999999999</v>
      </c>
      <c r="Q428" s="21"/>
    </row>
    <row r="429" spans="1:17" x14ac:dyDescent="0.3">
      <c r="A429" t="s">
        <v>1559</v>
      </c>
      <c r="B429" s="17">
        <v>43291</v>
      </c>
      <c r="C429" t="s">
        <v>98</v>
      </c>
      <c r="D429" t="s">
        <v>109</v>
      </c>
      <c r="E429">
        <v>20</v>
      </c>
      <c r="F429">
        <v>40</v>
      </c>
      <c r="G429">
        <v>800</v>
      </c>
      <c r="H429">
        <v>0.05</v>
      </c>
      <c r="I429" t="s">
        <v>112</v>
      </c>
      <c r="J429">
        <v>40</v>
      </c>
      <c r="Q429" s="22"/>
    </row>
    <row r="430" spans="1:17" x14ac:dyDescent="0.3">
      <c r="A430" t="s">
        <v>1560</v>
      </c>
      <c r="B430" s="17">
        <v>43291</v>
      </c>
      <c r="C430" t="s">
        <v>98</v>
      </c>
      <c r="D430" t="s">
        <v>99</v>
      </c>
      <c r="E430">
        <v>19</v>
      </c>
      <c r="F430">
        <v>40</v>
      </c>
      <c r="G430">
        <v>760</v>
      </c>
      <c r="H430">
        <v>0.1</v>
      </c>
      <c r="I430" t="s">
        <v>113</v>
      </c>
      <c r="J430">
        <v>76</v>
      </c>
      <c r="Q430" s="21"/>
    </row>
    <row r="431" spans="1:17" x14ac:dyDescent="0.3">
      <c r="A431" t="s">
        <v>1561</v>
      </c>
      <c r="B431" s="17">
        <v>43291</v>
      </c>
      <c r="C431" t="s">
        <v>108</v>
      </c>
      <c r="D431" t="s">
        <v>96</v>
      </c>
      <c r="E431">
        <v>18</v>
      </c>
      <c r="F431">
        <v>16</v>
      </c>
      <c r="G431">
        <v>288</v>
      </c>
      <c r="H431">
        <v>0.05</v>
      </c>
      <c r="I431" t="s">
        <v>114</v>
      </c>
      <c r="J431">
        <v>14.4</v>
      </c>
      <c r="Q431" s="22"/>
    </row>
    <row r="432" spans="1:17" x14ac:dyDescent="0.3">
      <c r="A432" t="s">
        <v>1562</v>
      </c>
      <c r="B432" s="17">
        <v>43291</v>
      </c>
      <c r="C432" t="s">
        <v>98</v>
      </c>
      <c r="D432" t="s">
        <v>104</v>
      </c>
      <c r="E432">
        <v>2</v>
      </c>
      <c r="F432">
        <v>40</v>
      </c>
      <c r="G432">
        <v>80</v>
      </c>
      <c r="H432">
        <v>0.02</v>
      </c>
      <c r="I432" t="s">
        <v>115</v>
      </c>
      <c r="J432">
        <v>1.6</v>
      </c>
      <c r="Q432" s="21"/>
    </row>
    <row r="433" spans="1:17" x14ac:dyDescent="0.3">
      <c r="A433" t="s">
        <v>1563</v>
      </c>
      <c r="B433" s="17">
        <v>43291</v>
      </c>
      <c r="C433" t="s">
        <v>98</v>
      </c>
      <c r="D433" t="s">
        <v>106</v>
      </c>
      <c r="E433">
        <v>7</v>
      </c>
      <c r="F433">
        <v>40</v>
      </c>
      <c r="G433">
        <v>280</v>
      </c>
      <c r="H433">
        <v>7.0000000000000007E-2</v>
      </c>
      <c r="I433" t="s">
        <v>116</v>
      </c>
      <c r="J433">
        <v>19.600000000000001</v>
      </c>
      <c r="Q433" s="22"/>
    </row>
    <row r="434" spans="1:17" x14ac:dyDescent="0.3">
      <c r="A434" t="s">
        <v>1564</v>
      </c>
      <c r="B434" s="17">
        <v>43291</v>
      </c>
      <c r="C434" t="s">
        <v>111</v>
      </c>
      <c r="D434" t="s">
        <v>104</v>
      </c>
      <c r="E434">
        <v>11</v>
      </c>
      <c r="F434">
        <v>150</v>
      </c>
      <c r="G434">
        <v>1650</v>
      </c>
      <c r="H434">
        <v>0.05</v>
      </c>
      <c r="I434" t="s">
        <v>97</v>
      </c>
      <c r="J434">
        <v>82.5</v>
      </c>
      <c r="Q434" s="21"/>
    </row>
    <row r="435" spans="1:17" x14ac:dyDescent="0.3">
      <c r="A435" t="s">
        <v>1565</v>
      </c>
      <c r="B435" s="17">
        <v>43291</v>
      </c>
      <c r="C435" t="s">
        <v>95</v>
      </c>
      <c r="D435" t="s">
        <v>99</v>
      </c>
      <c r="E435">
        <v>14</v>
      </c>
      <c r="F435">
        <v>80</v>
      </c>
      <c r="G435">
        <v>1120</v>
      </c>
      <c r="H435">
        <v>0.11</v>
      </c>
      <c r="I435" t="s">
        <v>100</v>
      </c>
      <c r="J435">
        <v>123.2</v>
      </c>
      <c r="Q435" s="22"/>
    </row>
    <row r="436" spans="1:17" x14ac:dyDescent="0.3">
      <c r="A436" t="s">
        <v>1566</v>
      </c>
      <c r="B436" s="17">
        <v>43291</v>
      </c>
      <c r="C436" t="s">
        <v>98</v>
      </c>
      <c r="D436" t="s">
        <v>109</v>
      </c>
      <c r="E436">
        <v>7</v>
      </c>
      <c r="F436">
        <v>40</v>
      </c>
      <c r="G436">
        <v>280</v>
      </c>
      <c r="H436">
        <v>0.04</v>
      </c>
      <c r="I436" t="s">
        <v>102</v>
      </c>
      <c r="J436">
        <v>11.200000000000001</v>
      </c>
      <c r="Q436" s="21"/>
    </row>
    <row r="437" spans="1:17" x14ac:dyDescent="0.3">
      <c r="A437" t="s">
        <v>1567</v>
      </c>
      <c r="B437" s="17">
        <v>43291</v>
      </c>
      <c r="C437" t="s">
        <v>95</v>
      </c>
      <c r="D437" t="s">
        <v>106</v>
      </c>
      <c r="E437">
        <v>14</v>
      </c>
      <c r="F437">
        <v>80</v>
      </c>
      <c r="G437">
        <v>1120</v>
      </c>
      <c r="H437">
        <v>0.05</v>
      </c>
      <c r="I437" t="s">
        <v>103</v>
      </c>
      <c r="J437">
        <v>56</v>
      </c>
      <c r="Q437" s="22"/>
    </row>
    <row r="438" spans="1:17" x14ac:dyDescent="0.3">
      <c r="A438" t="s">
        <v>1568</v>
      </c>
      <c r="B438" s="17">
        <v>43292</v>
      </c>
      <c r="C438" t="s">
        <v>108</v>
      </c>
      <c r="D438" t="s">
        <v>104</v>
      </c>
      <c r="E438">
        <v>12</v>
      </c>
      <c r="F438">
        <v>16</v>
      </c>
      <c r="G438">
        <v>192</v>
      </c>
      <c r="H438">
        <v>0.11</v>
      </c>
      <c r="I438" t="s">
        <v>105</v>
      </c>
      <c r="J438">
        <v>21.12</v>
      </c>
      <c r="Q438" s="21"/>
    </row>
    <row r="439" spans="1:17" x14ac:dyDescent="0.3">
      <c r="A439" t="s">
        <v>1569</v>
      </c>
      <c r="B439" s="17">
        <v>43292</v>
      </c>
      <c r="C439" t="s">
        <v>98</v>
      </c>
      <c r="D439" t="s">
        <v>109</v>
      </c>
      <c r="E439">
        <v>11</v>
      </c>
      <c r="F439">
        <v>40</v>
      </c>
      <c r="G439">
        <v>440</v>
      </c>
      <c r="H439">
        <v>0.05</v>
      </c>
      <c r="I439" t="s">
        <v>107</v>
      </c>
      <c r="J439">
        <v>22</v>
      </c>
      <c r="Q439" s="22"/>
    </row>
    <row r="440" spans="1:17" x14ac:dyDescent="0.3">
      <c r="A440" t="s">
        <v>1570</v>
      </c>
      <c r="B440" s="17">
        <v>43292</v>
      </c>
      <c r="C440" t="s">
        <v>108</v>
      </c>
      <c r="D440" t="s">
        <v>104</v>
      </c>
      <c r="E440">
        <v>14</v>
      </c>
      <c r="F440">
        <v>16</v>
      </c>
      <c r="G440">
        <v>224</v>
      </c>
      <c r="H440">
        <v>0.01</v>
      </c>
      <c r="I440" t="s">
        <v>110</v>
      </c>
      <c r="J440">
        <v>2.2400000000000002</v>
      </c>
      <c r="Q440" s="21"/>
    </row>
    <row r="441" spans="1:17" x14ac:dyDescent="0.3">
      <c r="A441" t="s">
        <v>1571</v>
      </c>
      <c r="B441" s="17">
        <v>43292</v>
      </c>
      <c r="C441" t="s">
        <v>101</v>
      </c>
      <c r="D441" t="s">
        <v>106</v>
      </c>
      <c r="E441">
        <v>2</v>
      </c>
      <c r="F441">
        <v>230</v>
      </c>
      <c r="G441">
        <v>460</v>
      </c>
      <c r="H441">
        <v>0.08</v>
      </c>
      <c r="I441" t="s">
        <v>112</v>
      </c>
      <c r="J441">
        <v>36.800000000000004</v>
      </c>
      <c r="Q441" s="22"/>
    </row>
    <row r="442" spans="1:17" x14ac:dyDescent="0.3">
      <c r="A442" t="s">
        <v>1572</v>
      </c>
      <c r="B442" s="17">
        <v>43292</v>
      </c>
      <c r="C442" t="s">
        <v>108</v>
      </c>
      <c r="D442" t="s">
        <v>96</v>
      </c>
      <c r="E442">
        <v>20</v>
      </c>
      <c r="F442">
        <v>16</v>
      </c>
      <c r="G442">
        <v>320</v>
      </c>
      <c r="H442">
        <v>0.11</v>
      </c>
      <c r="I442" t="s">
        <v>113</v>
      </c>
      <c r="J442">
        <v>35.200000000000003</v>
      </c>
      <c r="Q442" s="21"/>
    </row>
    <row r="443" spans="1:17" x14ac:dyDescent="0.3">
      <c r="A443" t="s">
        <v>1573</v>
      </c>
      <c r="B443" s="17">
        <v>43292</v>
      </c>
      <c r="C443" t="s">
        <v>108</v>
      </c>
      <c r="D443" t="s">
        <v>104</v>
      </c>
      <c r="E443">
        <v>6</v>
      </c>
      <c r="F443">
        <v>16</v>
      </c>
      <c r="G443">
        <v>96</v>
      </c>
      <c r="H443">
        <v>0.06</v>
      </c>
      <c r="I443" t="s">
        <v>114</v>
      </c>
      <c r="J443">
        <v>5.76</v>
      </c>
      <c r="Q443" s="22"/>
    </row>
    <row r="444" spans="1:17" x14ac:dyDescent="0.3">
      <c r="A444" t="s">
        <v>1574</v>
      </c>
      <c r="B444" s="17">
        <v>43292</v>
      </c>
      <c r="C444" t="s">
        <v>95</v>
      </c>
      <c r="D444" t="s">
        <v>106</v>
      </c>
      <c r="E444">
        <v>17</v>
      </c>
      <c r="F444">
        <v>80</v>
      </c>
      <c r="G444">
        <v>1360</v>
      </c>
      <c r="H444">
        <v>0.05</v>
      </c>
      <c r="I444" t="s">
        <v>115</v>
      </c>
      <c r="J444">
        <v>68</v>
      </c>
      <c r="Q444" s="21"/>
    </row>
    <row r="445" spans="1:17" x14ac:dyDescent="0.3">
      <c r="A445" t="s">
        <v>1575</v>
      </c>
      <c r="B445" s="17">
        <v>43292</v>
      </c>
      <c r="C445" t="s">
        <v>98</v>
      </c>
      <c r="D445" t="s">
        <v>96</v>
      </c>
      <c r="E445">
        <v>2</v>
      </c>
      <c r="F445">
        <v>40</v>
      </c>
      <c r="G445">
        <v>80</v>
      </c>
      <c r="H445">
        <v>0.12</v>
      </c>
      <c r="I445" t="s">
        <v>116</v>
      </c>
      <c r="J445">
        <v>9.6</v>
      </c>
      <c r="Q445" s="22"/>
    </row>
    <row r="446" spans="1:17" x14ac:dyDescent="0.3">
      <c r="A446" t="s">
        <v>1576</v>
      </c>
      <c r="B446" s="17">
        <v>43292</v>
      </c>
      <c r="C446" t="s">
        <v>108</v>
      </c>
      <c r="D446" t="s">
        <v>96</v>
      </c>
      <c r="E446">
        <v>7</v>
      </c>
      <c r="F446">
        <v>16</v>
      </c>
      <c r="G446">
        <v>112</v>
      </c>
      <c r="H446">
        <v>0.12</v>
      </c>
      <c r="I446" t="s">
        <v>97</v>
      </c>
      <c r="J446">
        <v>13.44</v>
      </c>
      <c r="Q446" s="21"/>
    </row>
    <row r="447" spans="1:17" x14ac:dyDescent="0.3">
      <c r="A447" t="s">
        <v>1577</v>
      </c>
      <c r="B447" s="17">
        <v>43292</v>
      </c>
      <c r="C447" t="s">
        <v>111</v>
      </c>
      <c r="D447" t="s">
        <v>96</v>
      </c>
      <c r="E447">
        <v>7</v>
      </c>
      <c r="F447">
        <v>150</v>
      </c>
      <c r="G447">
        <v>1050</v>
      </c>
      <c r="H447">
        <v>0.02</v>
      </c>
      <c r="I447" t="s">
        <v>100</v>
      </c>
      <c r="J447">
        <v>21</v>
      </c>
      <c r="Q447" s="22"/>
    </row>
    <row r="448" spans="1:17" x14ac:dyDescent="0.3">
      <c r="A448" t="s">
        <v>1578</v>
      </c>
      <c r="B448" s="17">
        <v>43292</v>
      </c>
      <c r="C448" t="s">
        <v>95</v>
      </c>
      <c r="D448" t="s">
        <v>96</v>
      </c>
      <c r="E448">
        <v>20</v>
      </c>
      <c r="F448">
        <v>80</v>
      </c>
      <c r="G448">
        <v>1600</v>
      </c>
      <c r="H448">
        <v>0.01</v>
      </c>
      <c r="I448" t="s">
        <v>102</v>
      </c>
      <c r="J448">
        <v>16</v>
      </c>
      <c r="Q448" s="21"/>
    </row>
    <row r="449" spans="1:17" x14ac:dyDescent="0.3">
      <c r="A449" t="s">
        <v>1579</v>
      </c>
      <c r="B449" s="17">
        <v>43292</v>
      </c>
      <c r="C449" t="s">
        <v>95</v>
      </c>
      <c r="D449" t="s">
        <v>106</v>
      </c>
      <c r="E449">
        <v>11</v>
      </c>
      <c r="F449">
        <v>80</v>
      </c>
      <c r="G449">
        <v>880</v>
      </c>
      <c r="H449">
        <v>0.01</v>
      </c>
      <c r="I449" t="s">
        <v>103</v>
      </c>
      <c r="J449">
        <v>8.8000000000000007</v>
      </c>
      <c r="Q449" s="22"/>
    </row>
    <row r="450" spans="1:17" x14ac:dyDescent="0.3">
      <c r="A450" t="s">
        <v>1580</v>
      </c>
      <c r="B450" s="17">
        <v>43292</v>
      </c>
      <c r="C450" t="s">
        <v>95</v>
      </c>
      <c r="D450" t="s">
        <v>104</v>
      </c>
      <c r="E450">
        <v>10</v>
      </c>
      <c r="F450">
        <v>80</v>
      </c>
      <c r="G450">
        <v>800</v>
      </c>
      <c r="H450">
        <v>0.08</v>
      </c>
      <c r="I450" t="s">
        <v>105</v>
      </c>
      <c r="J450">
        <v>64</v>
      </c>
      <c r="Q450" s="21"/>
    </row>
    <row r="451" spans="1:17" x14ac:dyDescent="0.3">
      <c r="A451" t="s">
        <v>1581</v>
      </c>
      <c r="B451" s="17">
        <v>43293</v>
      </c>
      <c r="C451" t="s">
        <v>95</v>
      </c>
      <c r="D451" t="s">
        <v>99</v>
      </c>
      <c r="E451">
        <v>5</v>
      </c>
      <c r="F451">
        <v>80</v>
      </c>
      <c r="G451">
        <v>400</v>
      </c>
      <c r="H451">
        <v>0.04</v>
      </c>
      <c r="I451" t="s">
        <v>107</v>
      </c>
      <c r="J451">
        <v>16</v>
      </c>
      <c r="Q451" s="22"/>
    </row>
    <row r="452" spans="1:17" x14ac:dyDescent="0.3">
      <c r="A452" t="s">
        <v>1582</v>
      </c>
      <c r="B452" s="17">
        <v>43293</v>
      </c>
      <c r="C452" t="s">
        <v>95</v>
      </c>
      <c r="D452" t="s">
        <v>106</v>
      </c>
      <c r="E452">
        <v>4</v>
      </c>
      <c r="F452">
        <v>80</v>
      </c>
      <c r="G452">
        <v>320</v>
      </c>
      <c r="H452">
        <v>0.11</v>
      </c>
      <c r="I452" t="s">
        <v>110</v>
      </c>
      <c r="J452">
        <v>35.200000000000003</v>
      </c>
      <c r="Q452" s="21"/>
    </row>
    <row r="453" spans="1:17" x14ac:dyDescent="0.3">
      <c r="A453" t="s">
        <v>1583</v>
      </c>
      <c r="B453" s="17">
        <v>43293</v>
      </c>
      <c r="C453" t="s">
        <v>108</v>
      </c>
      <c r="D453" t="s">
        <v>104</v>
      </c>
      <c r="E453">
        <v>3</v>
      </c>
      <c r="F453">
        <v>16</v>
      </c>
      <c r="G453">
        <v>48</v>
      </c>
      <c r="H453">
        <v>0.05</v>
      </c>
      <c r="I453" t="s">
        <v>112</v>
      </c>
      <c r="J453">
        <v>2.4000000000000004</v>
      </c>
      <c r="Q453" s="22"/>
    </row>
    <row r="454" spans="1:17" x14ac:dyDescent="0.3">
      <c r="A454" t="s">
        <v>1584</v>
      </c>
      <c r="B454" s="17">
        <v>43293</v>
      </c>
      <c r="C454" t="s">
        <v>95</v>
      </c>
      <c r="D454" t="s">
        <v>96</v>
      </c>
      <c r="E454">
        <v>9</v>
      </c>
      <c r="F454">
        <v>80</v>
      </c>
      <c r="G454">
        <v>720</v>
      </c>
      <c r="H454">
        <v>0.04</v>
      </c>
      <c r="I454" t="s">
        <v>113</v>
      </c>
      <c r="J454">
        <v>28.8</v>
      </c>
      <c r="Q454" s="21"/>
    </row>
    <row r="455" spans="1:17" x14ac:dyDescent="0.3">
      <c r="A455" t="s">
        <v>1585</v>
      </c>
      <c r="B455" s="17">
        <v>43293</v>
      </c>
      <c r="C455" t="s">
        <v>95</v>
      </c>
      <c r="D455" t="s">
        <v>109</v>
      </c>
      <c r="E455">
        <v>16</v>
      </c>
      <c r="F455">
        <v>80</v>
      </c>
      <c r="G455">
        <v>1280</v>
      </c>
      <c r="H455">
        <v>0.09</v>
      </c>
      <c r="I455" t="s">
        <v>114</v>
      </c>
      <c r="J455">
        <v>115.19999999999999</v>
      </c>
      <c r="Q455" s="22"/>
    </row>
    <row r="456" spans="1:17" x14ac:dyDescent="0.3">
      <c r="A456" t="s">
        <v>1586</v>
      </c>
      <c r="B456" s="17">
        <v>43294</v>
      </c>
      <c r="C456" t="s">
        <v>108</v>
      </c>
      <c r="D456" t="s">
        <v>99</v>
      </c>
      <c r="E456">
        <v>7</v>
      </c>
      <c r="F456">
        <v>16</v>
      </c>
      <c r="G456">
        <v>112</v>
      </c>
      <c r="H456">
        <v>0.08</v>
      </c>
      <c r="I456" t="s">
        <v>115</v>
      </c>
      <c r="J456">
        <v>8.9600000000000009</v>
      </c>
      <c r="Q456" s="21"/>
    </row>
    <row r="457" spans="1:17" x14ac:dyDescent="0.3">
      <c r="A457" t="s">
        <v>1587</v>
      </c>
      <c r="B457" s="17">
        <v>43294</v>
      </c>
      <c r="C457" t="s">
        <v>111</v>
      </c>
      <c r="D457" t="s">
        <v>99</v>
      </c>
      <c r="E457">
        <v>16</v>
      </c>
      <c r="F457">
        <v>150</v>
      </c>
      <c r="G457">
        <v>2400</v>
      </c>
      <c r="H457">
        <v>0.05</v>
      </c>
      <c r="I457" t="s">
        <v>116</v>
      </c>
      <c r="J457">
        <v>120</v>
      </c>
      <c r="Q457" s="22"/>
    </row>
    <row r="458" spans="1:17" x14ac:dyDescent="0.3">
      <c r="A458" t="s">
        <v>1588</v>
      </c>
      <c r="B458" s="17">
        <v>43294</v>
      </c>
      <c r="C458" t="s">
        <v>108</v>
      </c>
      <c r="D458" t="s">
        <v>106</v>
      </c>
      <c r="E458">
        <v>10</v>
      </c>
      <c r="F458">
        <v>16</v>
      </c>
      <c r="G458">
        <v>160</v>
      </c>
      <c r="H458">
        <v>0.04</v>
      </c>
      <c r="I458" t="s">
        <v>97</v>
      </c>
      <c r="J458">
        <v>6.4</v>
      </c>
      <c r="Q458" s="21"/>
    </row>
    <row r="459" spans="1:17" x14ac:dyDescent="0.3">
      <c r="A459" t="s">
        <v>1589</v>
      </c>
      <c r="B459" s="17">
        <v>43294</v>
      </c>
      <c r="C459" t="s">
        <v>98</v>
      </c>
      <c r="D459" t="s">
        <v>99</v>
      </c>
      <c r="E459">
        <v>4</v>
      </c>
      <c r="F459">
        <v>40</v>
      </c>
      <c r="G459">
        <v>160</v>
      </c>
      <c r="H459">
        <v>0.03</v>
      </c>
      <c r="I459" t="s">
        <v>100</v>
      </c>
      <c r="J459">
        <v>4.8</v>
      </c>
      <c r="Q459" s="22"/>
    </row>
    <row r="460" spans="1:17" x14ac:dyDescent="0.3">
      <c r="A460" t="s">
        <v>1590</v>
      </c>
      <c r="B460" s="17">
        <v>43294</v>
      </c>
      <c r="C460" t="s">
        <v>98</v>
      </c>
      <c r="D460" t="s">
        <v>99</v>
      </c>
      <c r="E460">
        <v>15</v>
      </c>
      <c r="F460">
        <v>40</v>
      </c>
      <c r="G460">
        <v>600</v>
      </c>
      <c r="H460">
        <v>0.02</v>
      </c>
      <c r="I460" t="s">
        <v>102</v>
      </c>
      <c r="J460">
        <v>12</v>
      </c>
      <c r="Q460" s="21"/>
    </row>
    <row r="461" spans="1:17" x14ac:dyDescent="0.3">
      <c r="A461" t="s">
        <v>1591</v>
      </c>
      <c r="B461" s="17">
        <v>43294</v>
      </c>
      <c r="C461" t="s">
        <v>95</v>
      </c>
      <c r="D461" t="s">
        <v>104</v>
      </c>
      <c r="E461">
        <v>6</v>
      </c>
      <c r="F461">
        <v>80</v>
      </c>
      <c r="G461">
        <v>480</v>
      </c>
      <c r="H461">
        <v>0.09</v>
      </c>
      <c r="I461" t="s">
        <v>103</v>
      </c>
      <c r="J461">
        <v>43.199999999999996</v>
      </c>
      <c r="Q461" s="22"/>
    </row>
    <row r="462" spans="1:17" x14ac:dyDescent="0.3">
      <c r="A462" t="s">
        <v>1592</v>
      </c>
      <c r="B462" s="17">
        <v>43294</v>
      </c>
      <c r="C462" t="s">
        <v>111</v>
      </c>
      <c r="D462" t="s">
        <v>96</v>
      </c>
      <c r="E462">
        <v>20</v>
      </c>
      <c r="F462">
        <v>150</v>
      </c>
      <c r="G462">
        <v>3000</v>
      </c>
      <c r="H462">
        <v>0.01</v>
      </c>
      <c r="I462" t="s">
        <v>105</v>
      </c>
      <c r="J462">
        <v>30</v>
      </c>
      <c r="Q462" s="21"/>
    </row>
    <row r="463" spans="1:17" x14ac:dyDescent="0.3">
      <c r="A463" t="s">
        <v>1593</v>
      </c>
      <c r="B463" s="17">
        <v>43294</v>
      </c>
      <c r="C463" t="s">
        <v>108</v>
      </c>
      <c r="D463" t="s">
        <v>96</v>
      </c>
      <c r="E463">
        <v>7</v>
      </c>
      <c r="F463">
        <v>16</v>
      </c>
      <c r="G463">
        <v>112</v>
      </c>
      <c r="H463">
        <v>0.08</v>
      </c>
      <c r="I463" t="s">
        <v>107</v>
      </c>
      <c r="J463">
        <v>8.9600000000000009</v>
      </c>
      <c r="Q463" s="22"/>
    </row>
    <row r="464" spans="1:17" x14ac:dyDescent="0.3">
      <c r="A464" t="s">
        <v>1594</v>
      </c>
      <c r="B464" s="17">
        <v>43294</v>
      </c>
      <c r="C464" t="s">
        <v>95</v>
      </c>
      <c r="D464" t="s">
        <v>99</v>
      </c>
      <c r="E464">
        <v>2</v>
      </c>
      <c r="F464">
        <v>80</v>
      </c>
      <c r="G464">
        <v>160</v>
      </c>
      <c r="H464">
        <v>7.0000000000000007E-2</v>
      </c>
      <c r="I464" t="s">
        <v>110</v>
      </c>
      <c r="J464">
        <v>11.200000000000001</v>
      </c>
      <c r="Q464" s="21"/>
    </row>
    <row r="465" spans="1:17" x14ac:dyDescent="0.3">
      <c r="A465" t="s">
        <v>1595</v>
      </c>
      <c r="B465" s="17">
        <v>43294</v>
      </c>
      <c r="C465" t="s">
        <v>98</v>
      </c>
      <c r="D465" t="s">
        <v>99</v>
      </c>
      <c r="E465">
        <v>23</v>
      </c>
      <c r="F465">
        <v>40</v>
      </c>
      <c r="G465">
        <v>920</v>
      </c>
      <c r="H465">
        <v>0.06</v>
      </c>
      <c r="I465" t="s">
        <v>112</v>
      </c>
      <c r="J465">
        <v>55.199999999999996</v>
      </c>
      <c r="Q465" s="22"/>
    </row>
    <row r="466" spans="1:17" x14ac:dyDescent="0.3">
      <c r="A466" t="s">
        <v>1596</v>
      </c>
      <c r="B466" s="17">
        <v>43294</v>
      </c>
      <c r="C466" t="s">
        <v>108</v>
      </c>
      <c r="D466" t="s">
        <v>96</v>
      </c>
      <c r="E466">
        <v>12</v>
      </c>
      <c r="F466">
        <v>16</v>
      </c>
      <c r="G466">
        <v>192</v>
      </c>
      <c r="H466">
        <v>0.11</v>
      </c>
      <c r="I466" t="s">
        <v>113</v>
      </c>
      <c r="J466">
        <v>21.12</v>
      </c>
      <c r="Q466" s="21"/>
    </row>
    <row r="467" spans="1:17" x14ac:dyDescent="0.3">
      <c r="A467" t="s">
        <v>1597</v>
      </c>
      <c r="B467" s="17">
        <v>43294</v>
      </c>
      <c r="C467" t="s">
        <v>101</v>
      </c>
      <c r="D467" t="s">
        <v>106</v>
      </c>
      <c r="E467">
        <v>2</v>
      </c>
      <c r="F467">
        <v>230</v>
      </c>
      <c r="G467">
        <v>460</v>
      </c>
      <c r="H467">
        <v>0.09</v>
      </c>
      <c r="I467" t="s">
        <v>114</v>
      </c>
      <c r="J467">
        <v>41.4</v>
      </c>
      <c r="Q467" s="22"/>
    </row>
    <row r="468" spans="1:17" x14ac:dyDescent="0.3">
      <c r="A468" t="s">
        <v>1598</v>
      </c>
      <c r="B468" s="17">
        <v>43294</v>
      </c>
      <c r="C468" t="s">
        <v>111</v>
      </c>
      <c r="D468" t="s">
        <v>96</v>
      </c>
      <c r="E468">
        <v>4</v>
      </c>
      <c r="F468">
        <v>150</v>
      </c>
      <c r="G468">
        <v>600</v>
      </c>
      <c r="H468">
        <v>0.06</v>
      </c>
      <c r="I468" t="s">
        <v>115</v>
      </c>
      <c r="J468">
        <v>36</v>
      </c>
      <c r="Q468" s="21"/>
    </row>
    <row r="469" spans="1:17" x14ac:dyDescent="0.3">
      <c r="A469" t="s">
        <v>1599</v>
      </c>
      <c r="B469" s="17">
        <v>43294</v>
      </c>
      <c r="C469" t="s">
        <v>98</v>
      </c>
      <c r="D469" t="s">
        <v>96</v>
      </c>
      <c r="E469">
        <v>23</v>
      </c>
      <c r="F469">
        <v>40</v>
      </c>
      <c r="G469">
        <v>920</v>
      </c>
      <c r="H469">
        <v>7.0000000000000007E-2</v>
      </c>
      <c r="I469" t="s">
        <v>116</v>
      </c>
      <c r="J469">
        <v>64.400000000000006</v>
      </c>
      <c r="Q469" s="22"/>
    </row>
    <row r="470" spans="1:17" x14ac:dyDescent="0.3">
      <c r="A470" t="s">
        <v>1600</v>
      </c>
      <c r="B470" s="17">
        <v>43294</v>
      </c>
      <c r="C470" t="s">
        <v>108</v>
      </c>
      <c r="D470" t="s">
        <v>109</v>
      </c>
      <c r="E470">
        <v>2</v>
      </c>
      <c r="F470">
        <v>16</v>
      </c>
      <c r="G470">
        <v>32</v>
      </c>
      <c r="H470">
        <v>0.04</v>
      </c>
      <c r="I470" t="s">
        <v>97</v>
      </c>
      <c r="J470">
        <v>1.28</v>
      </c>
      <c r="Q470" s="21"/>
    </row>
    <row r="471" spans="1:17" x14ac:dyDescent="0.3">
      <c r="A471" t="s">
        <v>1601</v>
      </c>
      <c r="B471" s="17">
        <v>43294</v>
      </c>
      <c r="C471" t="s">
        <v>111</v>
      </c>
      <c r="D471" t="s">
        <v>106</v>
      </c>
      <c r="E471">
        <v>7</v>
      </c>
      <c r="F471">
        <v>150</v>
      </c>
      <c r="G471">
        <v>1050</v>
      </c>
      <c r="H471">
        <v>0.05</v>
      </c>
      <c r="I471" t="s">
        <v>100</v>
      </c>
      <c r="J471">
        <v>52.5</v>
      </c>
      <c r="Q471" s="22"/>
    </row>
    <row r="472" spans="1:17" x14ac:dyDescent="0.3">
      <c r="A472" t="s">
        <v>1602</v>
      </c>
      <c r="B472" s="17">
        <v>43295</v>
      </c>
      <c r="C472" t="s">
        <v>98</v>
      </c>
      <c r="D472" t="s">
        <v>96</v>
      </c>
      <c r="E472">
        <v>15</v>
      </c>
      <c r="F472">
        <v>40</v>
      </c>
      <c r="G472">
        <v>600</v>
      </c>
      <c r="H472">
        <v>0.06</v>
      </c>
      <c r="I472" t="s">
        <v>102</v>
      </c>
      <c r="J472">
        <v>36</v>
      </c>
      <c r="Q472" s="21"/>
    </row>
    <row r="473" spans="1:17" x14ac:dyDescent="0.3">
      <c r="A473" t="s">
        <v>1603</v>
      </c>
      <c r="B473" s="17">
        <v>43295</v>
      </c>
      <c r="C473" t="s">
        <v>95</v>
      </c>
      <c r="D473" t="s">
        <v>106</v>
      </c>
      <c r="E473">
        <v>16</v>
      </c>
      <c r="F473">
        <v>80</v>
      </c>
      <c r="G473">
        <v>1280</v>
      </c>
      <c r="H473">
        <v>0.05</v>
      </c>
      <c r="I473" t="s">
        <v>103</v>
      </c>
      <c r="J473">
        <v>64</v>
      </c>
      <c r="Q473" s="22"/>
    </row>
    <row r="474" spans="1:17" x14ac:dyDescent="0.3">
      <c r="A474" t="s">
        <v>1604</v>
      </c>
      <c r="B474" s="17">
        <v>43295</v>
      </c>
      <c r="C474" t="s">
        <v>98</v>
      </c>
      <c r="D474" t="s">
        <v>109</v>
      </c>
      <c r="E474">
        <v>16</v>
      </c>
      <c r="F474">
        <v>40</v>
      </c>
      <c r="G474">
        <v>640</v>
      </c>
      <c r="H474">
        <v>0.11</v>
      </c>
      <c r="I474" t="s">
        <v>105</v>
      </c>
      <c r="J474">
        <v>70.400000000000006</v>
      </c>
      <c r="Q474" s="21"/>
    </row>
    <row r="475" spans="1:17" x14ac:dyDescent="0.3">
      <c r="A475" t="s">
        <v>1605</v>
      </c>
      <c r="B475" s="17">
        <v>43295</v>
      </c>
      <c r="C475" t="s">
        <v>108</v>
      </c>
      <c r="D475" t="s">
        <v>109</v>
      </c>
      <c r="E475">
        <v>23</v>
      </c>
      <c r="F475">
        <v>16</v>
      </c>
      <c r="G475">
        <v>368</v>
      </c>
      <c r="H475">
        <v>0.01</v>
      </c>
      <c r="I475" t="s">
        <v>107</v>
      </c>
      <c r="J475">
        <v>3.68</v>
      </c>
      <c r="Q475" s="22"/>
    </row>
    <row r="476" spans="1:17" x14ac:dyDescent="0.3">
      <c r="A476" t="s">
        <v>1606</v>
      </c>
      <c r="B476" s="17">
        <v>43295</v>
      </c>
      <c r="C476" t="s">
        <v>101</v>
      </c>
      <c r="D476" t="s">
        <v>99</v>
      </c>
      <c r="E476">
        <v>12</v>
      </c>
      <c r="F476">
        <v>230</v>
      </c>
      <c r="G476">
        <v>2760</v>
      </c>
      <c r="H476">
        <v>0.03</v>
      </c>
      <c r="I476" t="s">
        <v>110</v>
      </c>
      <c r="J476">
        <v>82.8</v>
      </c>
      <c r="Q476" s="21"/>
    </row>
    <row r="477" spans="1:17" x14ac:dyDescent="0.3">
      <c r="A477" t="s">
        <v>1607</v>
      </c>
      <c r="B477" s="17">
        <v>43295</v>
      </c>
      <c r="C477" t="s">
        <v>108</v>
      </c>
      <c r="D477" t="s">
        <v>96</v>
      </c>
      <c r="E477">
        <v>4</v>
      </c>
      <c r="F477">
        <v>16</v>
      </c>
      <c r="G477">
        <v>64</v>
      </c>
      <c r="H477">
        <v>0.12</v>
      </c>
      <c r="I477" t="s">
        <v>112</v>
      </c>
      <c r="J477">
        <v>7.68</v>
      </c>
      <c r="Q477" s="22"/>
    </row>
    <row r="478" spans="1:17" x14ac:dyDescent="0.3">
      <c r="A478" t="s">
        <v>1608</v>
      </c>
      <c r="B478" s="17">
        <v>43295</v>
      </c>
      <c r="C478" t="s">
        <v>111</v>
      </c>
      <c r="D478" t="s">
        <v>106</v>
      </c>
      <c r="E478">
        <v>3</v>
      </c>
      <c r="F478">
        <v>150</v>
      </c>
      <c r="G478">
        <v>450</v>
      </c>
      <c r="H478">
        <v>0.01</v>
      </c>
      <c r="I478" t="s">
        <v>113</v>
      </c>
      <c r="J478">
        <v>4.5</v>
      </c>
      <c r="Q478" s="21"/>
    </row>
    <row r="479" spans="1:17" x14ac:dyDescent="0.3">
      <c r="A479" t="s">
        <v>1609</v>
      </c>
      <c r="B479" s="17">
        <v>43295</v>
      </c>
      <c r="C479" t="s">
        <v>111</v>
      </c>
      <c r="D479" t="s">
        <v>99</v>
      </c>
      <c r="E479">
        <v>10</v>
      </c>
      <c r="F479">
        <v>150</v>
      </c>
      <c r="G479">
        <v>1500</v>
      </c>
      <c r="H479">
        <v>0.01</v>
      </c>
      <c r="I479" t="s">
        <v>114</v>
      </c>
      <c r="J479">
        <v>15</v>
      </c>
      <c r="Q479" s="22"/>
    </row>
    <row r="480" spans="1:17" x14ac:dyDescent="0.3">
      <c r="A480" t="s">
        <v>1610</v>
      </c>
      <c r="B480" s="17">
        <v>43295</v>
      </c>
      <c r="C480" t="s">
        <v>95</v>
      </c>
      <c r="D480" t="s">
        <v>99</v>
      </c>
      <c r="E480">
        <v>13</v>
      </c>
      <c r="F480">
        <v>80</v>
      </c>
      <c r="G480">
        <v>1040</v>
      </c>
      <c r="H480">
        <v>0.06</v>
      </c>
      <c r="I480" t="s">
        <v>115</v>
      </c>
      <c r="J480">
        <v>62.4</v>
      </c>
      <c r="Q480" s="21"/>
    </row>
    <row r="481" spans="1:17" x14ac:dyDescent="0.3">
      <c r="A481" t="s">
        <v>1611</v>
      </c>
      <c r="B481" s="17">
        <v>43295</v>
      </c>
      <c r="C481" t="s">
        <v>101</v>
      </c>
      <c r="D481" t="s">
        <v>104</v>
      </c>
      <c r="E481">
        <v>15</v>
      </c>
      <c r="F481">
        <v>230</v>
      </c>
      <c r="G481">
        <v>3450</v>
      </c>
      <c r="H481">
        <v>0.04</v>
      </c>
      <c r="I481" t="s">
        <v>116</v>
      </c>
      <c r="J481">
        <v>138</v>
      </c>
      <c r="Q481" s="22"/>
    </row>
    <row r="482" spans="1:17" x14ac:dyDescent="0.3">
      <c r="A482" t="s">
        <v>1612</v>
      </c>
      <c r="B482" s="17">
        <v>43295</v>
      </c>
      <c r="C482" t="s">
        <v>111</v>
      </c>
      <c r="D482" t="s">
        <v>96</v>
      </c>
      <c r="E482">
        <v>23</v>
      </c>
      <c r="F482">
        <v>150</v>
      </c>
      <c r="G482">
        <v>3450</v>
      </c>
      <c r="H482">
        <v>0.1</v>
      </c>
      <c r="I482" t="s">
        <v>97</v>
      </c>
      <c r="J482">
        <v>345</v>
      </c>
      <c r="Q482" s="21"/>
    </row>
    <row r="483" spans="1:17" x14ac:dyDescent="0.3">
      <c r="A483" t="s">
        <v>1613</v>
      </c>
      <c r="B483" s="17">
        <v>43295</v>
      </c>
      <c r="C483" t="s">
        <v>111</v>
      </c>
      <c r="D483" t="s">
        <v>99</v>
      </c>
      <c r="E483">
        <v>15</v>
      </c>
      <c r="F483">
        <v>150</v>
      </c>
      <c r="G483">
        <v>2250</v>
      </c>
      <c r="H483">
        <v>0.12</v>
      </c>
      <c r="I483" t="s">
        <v>100</v>
      </c>
      <c r="J483">
        <v>270</v>
      </c>
      <c r="Q483" s="22"/>
    </row>
    <row r="484" spans="1:17" x14ac:dyDescent="0.3">
      <c r="A484" t="s">
        <v>1614</v>
      </c>
      <c r="B484" s="17">
        <v>43295</v>
      </c>
      <c r="C484" t="s">
        <v>111</v>
      </c>
      <c r="D484" t="s">
        <v>104</v>
      </c>
      <c r="E484">
        <v>20</v>
      </c>
      <c r="F484">
        <v>150</v>
      </c>
      <c r="G484">
        <v>3000</v>
      </c>
      <c r="H484">
        <v>0.12</v>
      </c>
      <c r="I484" t="s">
        <v>102</v>
      </c>
      <c r="J484">
        <v>360</v>
      </c>
      <c r="Q484" s="21"/>
    </row>
    <row r="485" spans="1:17" x14ac:dyDescent="0.3">
      <c r="A485" t="s">
        <v>1615</v>
      </c>
      <c r="B485" s="17">
        <v>43295</v>
      </c>
      <c r="C485" t="s">
        <v>98</v>
      </c>
      <c r="D485" t="s">
        <v>106</v>
      </c>
      <c r="E485">
        <v>13</v>
      </c>
      <c r="F485">
        <v>40</v>
      </c>
      <c r="G485">
        <v>520</v>
      </c>
      <c r="H485">
        <v>0.09</v>
      </c>
      <c r="I485" t="s">
        <v>103</v>
      </c>
      <c r="J485">
        <v>46.8</v>
      </c>
      <c r="Q485" s="22"/>
    </row>
    <row r="486" spans="1:17" x14ac:dyDescent="0.3">
      <c r="A486" t="s">
        <v>1616</v>
      </c>
      <c r="B486" s="17">
        <v>43296</v>
      </c>
      <c r="C486" t="s">
        <v>108</v>
      </c>
      <c r="D486" t="s">
        <v>104</v>
      </c>
      <c r="E486">
        <v>11</v>
      </c>
      <c r="F486">
        <v>16</v>
      </c>
      <c r="G486">
        <v>176</v>
      </c>
      <c r="H486">
        <v>0.04</v>
      </c>
      <c r="I486" t="s">
        <v>105</v>
      </c>
      <c r="J486">
        <v>7.04</v>
      </c>
      <c r="Q486" s="21"/>
    </row>
    <row r="487" spans="1:17" x14ac:dyDescent="0.3">
      <c r="A487" t="s">
        <v>1617</v>
      </c>
      <c r="B487" s="17">
        <v>43296</v>
      </c>
      <c r="C487" t="s">
        <v>111</v>
      </c>
      <c r="D487" t="s">
        <v>104</v>
      </c>
      <c r="E487">
        <v>20</v>
      </c>
      <c r="F487">
        <v>150</v>
      </c>
      <c r="G487">
        <v>3000</v>
      </c>
      <c r="H487">
        <v>0.04</v>
      </c>
      <c r="I487" t="s">
        <v>107</v>
      </c>
      <c r="J487">
        <v>120</v>
      </c>
      <c r="Q487" s="22"/>
    </row>
    <row r="488" spans="1:17" x14ac:dyDescent="0.3">
      <c r="A488" t="s">
        <v>1618</v>
      </c>
      <c r="B488" s="17">
        <v>43296</v>
      </c>
      <c r="C488" t="s">
        <v>98</v>
      </c>
      <c r="D488" t="s">
        <v>96</v>
      </c>
      <c r="E488">
        <v>18</v>
      </c>
      <c r="F488">
        <v>40</v>
      </c>
      <c r="G488">
        <v>720</v>
      </c>
      <c r="H488">
        <v>0.11</v>
      </c>
      <c r="I488" t="s">
        <v>110</v>
      </c>
      <c r="J488">
        <v>79.2</v>
      </c>
      <c r="Q488" s="21"/>
    </row>
    <row r="489" spans="1:17" x14ac:dyDescent="0.3">
      <c r="A489" t="s">
        <v>1619</v>
      </c>
      <c r="B489" s="17">
        <v>43296</v>
      </c>
      <c r="C489" t="s">
        <v>98</v>
      </c>
      <c r="D489" t="s">
        <v>104</v>
      </c>
      <c r="E489">
        <v>2</v>
      </c>
      <c r="F489">
        <v>40</v>
      </c>
      <c r="G489">
        <v>80</v>
      </c>
      <c r="H489">
        <v>0.03</v>
      </c>
      <c r="I489" t="s">
        <v>112</v>
      </c>
      <c r="J489">
        <v>2.4</v>
      </c>
      <c r="Q489" s="22"/>
    </row>
    <row r="490" spans="1:17" x14ac:dyDescent="0.3">
      <c r="A490" t="s">
        <v>1620</v>
      </c>
      <c r="B490" s="17">
        <v>43296</v>
      </c>
      <c r="C490" t="s">
        <v>108</v>
      </c>
      <c r="D490" t="s">
        <v>106</v>
      </c>
      <c r="E490">
        <v>15</v>
      </c>
      <c r="F490">
        <v>16</v>
      </c>
      <c r="G490">
        <v>240</v>
      </c>
      <c r="H490">
        <v>0.12</v>
      </c>
      <c r="I490" t="s">
        <v>113</v>
      </c>
      <c r="J490">
        <v>28.799999999999997</v>
      </c>
      <c r="Q490" s="21"/>
    </row>
    <row r="491" spans="1:17" x14ac:dyDescent="0.3">
      <c r="A491" t="s">
        <v>1621</v>
      </c>
      <c r="B491" s="17">
        <v>43296</v>
      </c>
      <c r="C491" t="s">
        <v>108</v>
      </c>
      <c r="D491" t="s">
        <v>104</v>
      </c>
      <c r="E491">
        <v>9</v>
      </c>
      <c r="F491">
        <v>16</v>
      </c>
      <c r="G491">
        <v>144</v>
      </c>
      <c r="H491">
        <v>0.05</v>
      </c>
      <c r="I491" t="s">
        <v>114</v>
      </c>
      <c r="J491">
        <v>7.2</v>
      </c>
      <c r="Q491" s="22"/>
    </row>
    <row r="492" spans="1:17" x14ac:dyDescent="0.3">
      <c r="A492" t="s">
        <v>1622</v>
      </c>
      <c r="B492" s="17">
        <v>43296</v>
      </c>
      <c r="C492" t="s">
        <v>98</v>
      </c>
      <c r="D492" t="s">
        <v>109</v>
      </c>
      <c r="E492">
        <v>7</v>
      </c>
      <c r="F492">
        <v>40</v>
      </c>
      <c r="G492">
        <v>280</v>
      </c>
      <c r="H492">
        <v>0.05</v>
      </c>
      <c r="I492" t="s">
        <v>97</v>
      </c>
      <c r="J492">
        <v>14</v>
      </c>
      <c r="Q492" s="21"/>
    </row>
    <row r="493" spans="1:17" x14ac:dyDescent="0.3">
      <c r="A493" t="s">
        <v>1623</v>
      </c>
      <c r="B493" s="17">
        <v>43296</v>
      </c>
      <c r="C493" t="s">
        <v>111</v>
      </c>
      <c r="D493" t="s">
        <v>109</v>
      </c>
      <c r="E493">
        <v>4</v>
      </c>
      <c r="F493">
        <v>150</v>
      </c>
      <c r="G493">
        <v>600</v>
      </c>
      <c r="H493">
        <v>0.05</v>
      </c>
      <c r="I493" t="s">
        <v>100</v>
      </c>
      <c r="J493">
        <v>30</v>
      </c>
      <c r="Q493" s="22"/>
    </row>
    <row r="494" spans="1:17" x14ac:dyDescent="0.3">
      <c r="A494" t="s">
        <v>1624</v>
      </c>
      <c r="B494" s="17">
        <v>43296</v>
      </c>
      <c r="C494" t="s">
        <v>101</v>
      </c>
      <c r="D494" t="s">
        <v>96</v>
      </c>
      <c r="E494">
        <v>15</v>
      </c>
      <c r="F494">
        <v>230</v>
      </c>
      <c r="G494">
        <v>3450</v>
      </c>
      <c r="H494">
        <v>0.05</v>
      </c>
      <c r="I494" t="s">
        <v>102</v>
      </c>
      <c r="J494">
        <v>172.5</v>
      </c>
      <c r="Q494" s="21"/>
    </row>
    <row r="495" spans="1:17" x14ac:dyDescent="0.3">
      <c r="A495" t="s">
        <v>1625</v>
      </c>
      <c r="B495" s="17">
        <v>43297</v>
      </c>
      <c r="C495" t="s">
        <v>98</v>
      </c>
      <c r="D495" t="s">
        <v>99</v>
      </c>
      <c r="E495">
        <v>12</v>
      </c>
      <c r="F495">
        <v>40</v>
      </c>
      <c r="G495">
        <v>480</v>
      </c>
      <c r="H495">
        <v>0.1</v>
      </c>
      <c r="I495" t="s">
        <v>103</v>
      </c>
      <c r="J495">
        <v>48</v>
      </c>
      <c r="Q495" s="22"/>
    </row>
    <row r="496" spans="1:17" x14ac:dyDescent="0.3">
      <c r="A496" t="s">
        <v>1626</v>
      </c>
      <c r="B496" s="17">
        <v>43297</v>
      </c>
      <c r="C496" t="s">
        <v>101</v>
      </c>
      <c r="D496" t="s">
        <v>106</v>
      </c>
      <c r="E496">
        <v>23</v>
      </c>
      <c r="F496">
        <v>230</v>
      </c>
      <c r="G496">
        <v>5290</v>
      </c>
      <c r="H496">
        <v>0.06</v>
      </c>
      <c r="I496" t="s">
        <v>105</v>
      </c>
      <c r="J496">
        <v>317.39999999999998</v>
      </c>
      <c r="Q496" s="21"/>
    </row>
    <row r="497" spans="1:17" x14ac:dyDescent="0.3">
      <c r="A497" t="s">
        <v>1627</v>
      </c>
      <c r="B497" s="17">
        <v>43297</v>
      </c>
      <c r="C497" t="s">
        <v>108</v>
      </c>
      <c r="D497" t="s">
        <v>96</v>
      </c>
      <c r="E497">
        <v>11</v>
      </c>
      <c r="F497">
        <v>16</v>
      </c>
      <c r="G497">
        <v>176</v>
      </c>
      <c r="H497">
        <v>0.09</v>
      </c>
      <c r="I497" t="s">
        <v>107</v>
      </c>
      <c r="J497">
        <v>15.84</v>
      </c>
      <c r="Q497" s="22"/>
    </row>
    <row r="498" spans="1:17" x14ac:dyDescent="0.3">
      <c r="A498" t="s">
        <v>1628</v>
      </c>
      <c r="B498" s="17">
        <v>43297</v>
      </c>
      <c r="C498" t="s">
        <v>111</v>
      </c>
      <c r="D498" t="s">
        <v>96</v>
      </c>
      <c r="E498">
        <v>9</v>
      </c>
      <c r="F498">
        <v>150</v>
      </c>
      <c r="G498">
        <v>1350</v>
      </c>
      <c r="H498">
        <v>0.1</v>
      </c>
      <c r="I498" t="s">
        <v>110</v>
      </c>
      <c r="J498">
        <v>135</v>
      </c>
      <c r="Q498" s="21"/>
    </row>
    <row r="499" spans="1:17" x14ac:dyDescent="0.3">
      <c r="A499" t="s">
        <v>1629</v>
      </c>
      <c r="B499" s="17">
        <v>43297</v>
      </c>
      <c r="C499" t="s">
        <v>95</v>
      </c>
      <c r="D499" t="s">
        <v>96</v>
      </c>
      <c r="E499">
        <v>18</v>
      </c>
      <c r="F499">
        <v>80</v>
      </c>
      <c r="G499">
        <v>1440</v>
      </c>
      <c r="H499">
        <v>0.02</v>
      </c>
      <c r="I499" t="s">
        <v>112</v>
      </c>
      <c r="J499">
        <v>28.8</v>
      </c>
      <c r="Q499" s="22"/>
    </row>
    <row r="500" spans="1:17" x14ac:dyDescent="0.3">
      <c r="A500" t="s">
        <v>1630</v>
      </c>
      <c r="B500" s="17">
        <v>43297</v>
      </c>
      <c r="C500" t="s">
        <v>98</v>
      </c>
      <c r="D500" t="s">
        <v>109</v>
      </c>
      <c r="E500">
        <v>23</v>
      </c>
      <c r="F500">
        <v>40</v>
      </c>
      <c r="G500">
        <v>920</v>
      </c>
      <c r="H500">
        <v>0.04</v>
      </c>
      <c r="I500" t="s">
        <v>113</v>
      </c>
      <c r="J500">
        <v>36.800000000000004</v>
      </c>
      <c r="Q500" s="21"/>
    </row>
    <row r="501" spans="1:17" x14ac:dyDescent="0.3">
      <c r="A501" t="s">
        <v>1631</v>
      </c>
      <c r="B501" s="17">
        <v>43297</v>
      </c>
      <c r="C501" t="s">
        <v>108</v>
      </c>
      <c r="D501" t="s">
        <v>109</v>
      </c>
      <c r="E501">
        <v>17</v>
      </c>
      <c r="F501">
        <v>16</v>
      </c>
      <c r="G501">
        <v>272</v>
      </c>
      <c r="H501">
        <v>0.1</v>
      </c>
      <c r="I501" t="s">
        <v>114</v>
      </c>
      <c r="J501">
        <v>27.200000000000003</v>
      </c>
      <c r="Q501" s="22"/>
    </row>
    <row r="502" spans="1:17" x14ac:dyDescent="0.3">
      <c r="A502" t="s">
        <v>1632</v>
      </c>
      <c r="B502" s="17">
        <v>43297</v>
      </c>
      <c r="C502" t="s">
        <v>111</v>
      </c>
      <c r="D502" t="s">
        <v>109</v>
      </c>
      <c r="E502">
        <v>17</v>
      </c>
      <c r="F502">
        <v>150</v>
      </c>
      <c r="G502">
        <v>2550</v>
      </c>
      <c r="H502">
        <v>0.02</v>
      </c>
      <c r="I502" t="s">
        <v>115</v>
      </c>
      <c r="J502">
        <v>51</v>
      </c>
      <c r="Q502" s="21"/>
    </row>
    <row r="503" spans="1:17" x14ac:dyDescent="0.3">
      <c r="A503" t="s">
        <v>1633</v>
      </c>
      <c r="B503" s="17">
        <v>43297</v>
      </c>
      <c r="C503" t="s">
        <v>95</v>
      </c>
      <c r="D503" t="s">
        <v>106</v>
      </c>
      <c r="E503">
        <v>21</v>
      </c>
      <c r="F503">
        <v>80</v>
      </c>
      <c r="G503">
        <v>1680</v>
      </c>
      <c r="H503">
        <v>0.02</v>
      </c>
      <c r="I503" t="s">
        <v>116</v>
      </c>
      <c r="J503">
        <v>33.6</v>
      </c>
      <c r="Q503" s="22"/>
    </row>
    <row r="504" spans="1:17" x14ac:dyDescent="0.3">
      <c r="A504" t="s">
        <v>1634</v>
      </c>
      <c r="B504" s="17">
        <v>43297</v>
      </c>
      <c r="C504" t="s">
        <v>98</v>
      </c>
      <c r="D504" t="s">
        <v>106</v>
      </c>
      <c r="E504">
        <v>11</v>
      </c>
      <c r="F504">
        <v>40</v>
      </c>
      <c r="G504">
        <v>440</v>
      </c>
      <c r="H504">
        <v>0.06</v>
      </c>
      <c r="I504" t="s">
        <v>97</v>
      </c>
      <c r="J504">
        <v>26.4</v>
      </c>
      <c r="Q504" s="21"/>
    </row>
    <row r="505" spans="1:17" x14ac:dyDescent="0.3">
      <c r="A505" t="s">
        <v>1635</v>
      </c>
      <c r="B505" s="17">
        <v>43297</v>
      </c>
      <c r="C505" t="s">
        <v>98</v>
      </c>
      <c r="D505" t="s">
        <v>96</v>
      </c>
      <c r="E505">
        <v>19</v>
      </c>
      <c r="F505">
        <v>40</v>
      </c>
      <c r="G505">
        <v>760</v>
      </c>
      <c r="H505">
        <v>0.04</v>
      </c>
      <c r="I505" t="s">
        <v>100</v>
      </c>
      <c r="J505">
        <v>30.400000000000002</v>
      </c>
      <c r="Q505" s="22"/>
    </row>
    <row r="506" spans="1:17" x14ac:dyDescent="0.3">
      <c r="A506" t="s">
        <v>1636</v>
      </c>
      <c r="B506" s="17">
        <v>43297</v>
      </c>
      <c r="C506" t="s">
        <v>98</v>
      </c>
      <c r="D506" t="s">
        <v>96</v>
      </c>
      <c r="E506">
        <v>23</v>
      </c>
      <c r="F506">
        <v>40</v>
      </c>
      <c r="G506">
        <v>920</v>
      </c>
      <c r="H506">
        <v>0.03</v>
      </c>
      <c r="I506" t="s">
        <v>102</v>
      </c>
      <c r="J506">
        <v>27.599999999999998</v>
      </c>
      <c r="Q506" s="21"/>
    </row>
    <row r="507" spans="1:17" x14ac:dyDescent="0.3">
      <c r="A507" t="s">
        <v>1637</v>
      </c>
      <c r="B507" s="17">
        <v>43297</v>
      </c>
      <c r="C507" t="s">
        <v>101</v>
      </c>
      <c r="D507" t="s">
        <v>99</v>
      </c>
      <c r="E507">
        <v>14</v>
      </c>
      <c r="F507">
        <v>230</v>
      </c>
      <c r="G507">
        <v>3220</v>
      </c>
      <c r="H507">
        <v>0.05</v>
      </c>
      <c r="I507" t="s">
        <v>103</v>
      </c>
      <c r="J507">
        <v>161</v>
      </c>
      <c r="Q507" s="22"/>
    </row>
    <row r="508" spans="1:17" x14ac:dyDescent="0.3">
      <c r="A508" t="s">
        <v>1638</v>
      </c>
      <c r="B508" s="17">
        <v>43297</v>
      </c>
      <c r="C508" t="s">
        <v>98</v>
      </c>
      <c r="D508" t="s">
        <v>104</v>
      </c>
      <c r="E508">
        <v>18</v>
      </c>
      <c r="F508">
        <v>40</v>
      </c>
      <c r="G508">
        <v>720</v>
      </c>
      <c r="H508">
        <v>0.03</v>
      </c>
      <c r="I508" t="s">
        <v>105</v>
      </c>
      <c r="J508">
        <v>21.599999999999998</v>
      </c>
      <c r="Q508" s="21"/>
    </row>
    <row r="509" spans="1:17" x14ac:dyDescent="0.3">
      <c r="A509" t="s">
        <v>1639</v>
      </c>
      <c r="B509" s="17">
        <v>43297</v>
      </c>
      <c r="C509" t="s">
        <v>111</v>
      </c>
      <c r="D509" t="s">
        <v>99</v>
      </c>
      <c r="E509">
        <v>2</v>
      </c>
      <c r="F509">
        <v>150</v>
      </c>
      <c r="G509">
        <v>300</v>
      </c>
      <c r="H509">
        <v>0.09</v>
      </c>
      <c r="I509" t="s">
        <v>107</v>
      </c>
      <c r="J509">
        <v>27</v>
      </c>
      <c r="Q509" s="22"/>
    </row>
    <row r="510" spans="1:17" x14ac:dyDescent="0.3">
      <c r="A510" t="s">
        <v>1640</v>
      </c>
      <c r="B510" s="17">
        <v>43297</v>
      </c>
      <c r="C510" t="s">
        <v>101</v>
      </c>
      <c r="D510" t="s">
        <v>99</v>
      </c>
      <c r="E510">
        <v>7</v>
      </c>
      <c r="F510">
        <v>230</v>
      </c>
      <c r="G510">
        <v>1610</v>
      </c>
      <c r="H510">
        <v>0.05</v>
      </c>
      <c r="I510" t="s">
        <v>110</v>
      </c>
      <c r="J510">
        <v>80.5</v>
      </c>
      <c r="Q510" s="21"/>
    </row>
    <row r="511" spans="1:17" x14ac:dyDescent="0.3">
      <c r="A511" t="s">
        <v>1641</v>
      </c>
      <c r="B511" s="17">
        <v>43298</v>
      </c>
      <c r="C511" t="s">
        <v>111</v>
      </c>
      <c r="D511" t="s">
        <v>104</v>
      </c>
      <c r="E511">
        <v>9</v>
      </c>
      <c r="F511">
        <v>150</v>
      </c>
      <c r="G511">
        <v>1350</v>
      </c>
      <c r="H511">
        <v>0.02</v>
      </c>
      <c r="I511" t="s">
        <v>112</v>
      </c>
      <c r="J511">
        <v>27</v>
      </c>
      <c r="Q511" s="22"/>
    </row>
    <row r="512" spans="1:17" x14ac:dyDescent="0.3">
      <c r="A512" t="s">
        <v>1642</v>
      </c>
      <c r="B512" s="17">
        <v>43298</v>
      </c>
      <c r="C512" t="s">
        <v>98</v>
      </c>
      <c r="D512" t="s">
        <v>109</v>
      </c>
      <c r="E512">
        <v>3</v>
      </c>
      <c r="F512">
        <v>40</v>
      </c>
      <c r="G512">
        <v>120</v>
      </c>
      <c r="H512">
        <v>0.03</v>
      </c>
      <c r="I512" t="s">
        <v>113</v>
      </c>
      <c r="J512">
        <v>3.5999999999999996</v>
      </c>
      <c r="Q512" s="21"/>
    </row>
    <row r="513" spans="1:17" x14ac:dyDescent="0.3">
      <c r="A513" t="s">
        <v>1643</v>
      </c>
      <c r="B513" s="17">
        <v>43298</v>
      </c>
      <c r="C513" t="s">
        <v>95</v>
      </c>
      <c r="D513" t="s">
        <v>106</v>
      </c>
      <c r="E513">
        <v>2</v>
      </c>
      <c r="F513">
        <v>80</v>
      </c>
      <c r="G513">
        <v>160</v>
      </c>
      <c r="H513">
        <v>0.08</v>
      </c>
      <c r="I513" t="s">
        <v>114</v>
      </c>
      <c r="J513">
        <v>12.8</v>
      </c>
      <c r="Q513" s="22"/>
    </row>
    <row r="514" spans="1:17" x14ac:dyDescent="0.3">
      <c r="A514" t="s">
        <v>1644</v>
      </c>
      <c r="B514" s="17">
        <v>43298</v>
      </c>
      <c r="C514" t="s">
        <v>108</v>
      </c>
      <c r="D514" t="s">
        <v>109</v>
      </c>
      <c r="E514">
        <v>19</v>
      </c>
      <c r="F514">
        <v>16</v>
      </c>
      <c r="G514">
        <v>304</v>
      </c>
      <c r="H514">
        <v>0.02</v>
      </c>
      <c r="I514" t="s">
        <v>115</v>
      </c>
      <c r="J514">
        <v>6.08</v>
      </c>
      <c r="Q514" s="21"/>
    </row>
    <row r="515" spans="1:17" x14ac:dyDescent="0.3">
      <c r="A515" t="s">
        <v>1645</v>
      </c>
      <c r="B515" s="17">
        <v>43298</v>
      </c>
      <c r="C515" t="s">
        <v>108</v>
      </c>
      <c r="D515" t="s">
        <v>99</v>
      </c>
      <c r="E515">
        <v>21</v>
      </c>
      <c r="F515">
        <v>16</v>
      </c>
      <c r="G515">
        <v>336</v>
      </c>
      <c r="H515">
        <v>0.02</v>
      </c>
      <c r="I515" t="s">
        <v>116</v>
      </c>
      <c r="J515">
        <v>6.72</v>
      </c>
      <c r="Q515" s="22"/>
    </row>
    <row r="516" spans="1:17" x14ac:dyDescent="0.3">
      <c r="A516" t="s">
        <v>1646</v>
      </c>
      <c r="B516" s="17">
        <v>43298</v>
      </c>
      <c r="C516" t="s">
        <v>95</v>
      </c>
      <c r="D516" t="s">
        <v>106</v>
      </c>
      <c r="E516">
        <v>21</v>
      </c>
      <c r="F516">
        <v>80</v>
      </c>
      <c r="G516">
        <v>1680</v>
      </c>
      <c r="H516">
        <v>0.05</v>
      </c>
      <c r="I516" t="s">
        <v>97</v>
      </c>
      <c r="J516">
        <v>84</v>
      </c>
      <c r="Q516" s="21"/>
    </row>
    <row r="517" spans="1:17" x14ac:dyDescent="0.3">
      <c r="A517" t="s">
        <v>1647</v>
      </c>
      <c r="B517" s="17">
        <v>43298</v>
      </c>
      <c r="C517" t="s">
        <v>101</v>
      </c>
      <c r="D517" t="s">
        <v>109</v>
      </c>
      <c r="E517">
        <v>3</v>
      </c>
      <c r="F517">
        <v>230</v>
      </c>
      <c r="G517">
        <v>690</v>
      </c>
      <c r="H517">
        <v>0.1</v>
      </c>
      <c r="I517" t="s">
        <v>100</v>
      </c>
      <c r="J517">
        <v>69</v>
      </c>
      <c r="Q517" s="22"/>
    </row>
    <row r="518" spans="1:17" x14ac:dyDescent="0.3">
      <c r="A518" t="s">
        <v>1648</v>
      </c>
      <c r="B518" s="17">
        <v>43298</v>
      </c>
      <c r="C518" t="s">
        <v>98</v>
      </c>
      <c r="D518" t="s">
        <v>104</v>
      </c>
      <c r="E518">
        <v>4</v>
      </c>
      <c r="F518">
        <v>40</v>
      </c>
      <c r="G518">
        <v>160</v>
      </c>
      <c r="H518">
        <v>0.11</v>
      </c>
      <c r="I518" t="s">
        <v>102</v>
      </c>
      <c r="J518">
        <v>17.600000000000001</v>
      </c>
      <c r="Q518" s="21"/>
    </row>
    <row r="519" spans="1:17" x14ac:dyDescent="0.3">
      <c r="A519" t="s">
        <v>1649</v>
      </c>
      <c r="B519" s="17">
        <v>43298</v>
      </c>
      <c r="C519" t="s">
        <v>111</v>
      </c>
      <c r="D519" t="s">
        <v>109</v>
      </c>
      <c r="E519">
        <v>7</v>
      </c>
      <c r="F519">
        <v>150</v>
      </c>
      <c r="G519">
        <v>1050</v>
      </c>
      <c r="H519">
        <v>0.03</v>
      </c>
      <c r="I519" t="s">
        <v>103</v>
      </c>
      <c r="J519">
        <v>31.5</v>
      </c>
      <c r="Q519" s="22"/>
    </row>
    <row r="520" spans="1:17" x14ac:dyDescent="0.3">
      <c r="A520" t="s">
        <v>1650</v>
      </c>
      <c r="B520" s="17">
        <v>43298</v>
      </c>
      <c r="C520" t="s">
        <v>108</v>
      </c>
      <c r="D520" t="s">
        <v>104</v>
      </c>
      <c r="E520">
        <v>11</v>
      </c>
      <c r="F520">
        <v>16</v>
      </c>
      <c r="G520">
        <v>176</v>
      </c>
      <c r="H520">
        <v>0.12</v>
      </c>
      <c r="I520" t="s">
        <v>105</v>
      </c>
      <c r="J520">
        <v>21.119999999999997</v>
      </c>
      <c r="Q520" s="21"/>
    </row>
    <row r="521" spans="1:17" x14ac:dyDescent="0.3">
      <c r="A521" t="s">
        <v>1651</v>
      </c>
      <c r="B521" s="17">
        <v>43298</v>
      </c>
      <c r="C521" t="s">
        <v>95</v>
      </c>
      <c r="D521" t="s">
        <v>96</v>
      </c>
      <c r="E521">
        <v>17</v>
      </c>
      <c r="F521">
        <v>80</v>
      </c>
      <c r="G521">
        <v>1360</v>
      </c>
      <c r="H521">
        <v>7.0000000000000007E-2</v>
      </c>
      <c r="I521" t="s">
        <v>107</v>
      </c>
      <c r="J521">
        <v>95.2</v>
      </c>
      <c r="Q521" s="22"/>
    </row>
    <row r="522" spans="1:17" x14ac:dyDescent="0.3">
      <c r="A522" t="s">
        <v>1652</v>
      </c>
      <c r="B522" s="17">
        <v>43298</v>
      </c>
      <c r="C522" t="s">
        <v>108</v>
      </c>
      <c r="D522" t="s">
        <v>106</v>
      </c>
      <c r="E522">
        <v>5</v>
      </c>
      <c r="F522">
        <v>16</v>
      </c>
      <c r="G522">
        <v>80</v>
      </c>
      <c r="H522">
        <v>0.09</v>
      </c>
      <c r="I522" t="s">
        <v>110</v>
      </c>
      <c r="J522">
        <v>7.1999999999999993</v>
      </c>
      <c r="Q522" s="21"/>
    </row>
    <row r="523" spans="1:17" x14ac:dyDescent="0.3">
      <c r="A523" t="s">
        <v>1653</v>
      </c>
      <c r="B523" s="17">
        <v>43298</v>
      </c>
      <c r="C523" t="s">
        <v>108</v>
      </c>
      <c r="D523" t="s">
        <v>109</v>
      </c>
      <c r="E523">
        <v>13</v>
      </c>
      <c r="F523">
        <v>16</v>
      </c>
      <c r="G523">
        <v>208</v>
      </c>
      <c r="H523">
        <v>7.0000000000000007E-2</v>
      </c>
      <c r="I523" t="s">
        <v>112</v>
      </c>
      <c r="J523">
        <v>14.560000000000002</v>
      </c>
      <c r="Q523" s="22"/>
    </row>
    <row r="524" spans="1:17" x14ac:dyDescent="0.3">
      <c r="A524" t="s">
        <v>1654</v>
      </c>
      <c r="B524" s="17">
        <v>43298</v>
      </c>
      <c r="C524" t="s">
        <v>95</v>
      </c>
      <c r="D524" t="s">
        <v>109</v>
      </c>
      <c r="E524">
        <v>9</v>
      </c>
      <c r="F524">
        <v>80</v>
      </c>
      <c r="G524">
        <v>720</v>
      </c>
      <c r="H524">
        <v>0.02</v>
      </c>
      <c r="I524" t="s">
        <v>113</v>
      </c>
      <c r="J524">
        <v>14.4</v>
      </c>
      <c r="Q524" s="21"/>
    </row>
    <row r="525" spans="1:17" x14ac:dyDescent="0.3">
      <c r="A525" t="s">
        <v>1655</v>
      </c>
      <c r="B525" s="17">
        <v>43299</v>
      </c>
      <c r="C525" t="s">
        <v>95</v>
      </c>
      <c r="D525" t="s">
        <v>109</v>
      </c>
      <c r="E525">
        <v>9</v>
      </c>
      <c r="F525">
        <v>80</v>
      </c>
      <c r="G525">
        <v>720</v>
      </c>
      <c r="H525">
        <v>0.02</v>
      </c>
      <c r="I525" t="s">
        <v>114</v>
      </c>
      <c r="J525">
        <v>14.4</v>
      </c>
      <c r="Q525" s="22"/>
    </row>
    <row r="526" spans="1:17" x14ac:dyDescent="0.3">
      <c r="A526" t="s">
        <v>1656</v>
      </c>
      <c r="B526" s="17">
        <v>43299</v>
      </c>
      <c r="C526" t="s">
        <v>95</v>
      </c>
      <c r="D526" t="s">
        <v>106</v>
      </c>
      <c r="E526">
        <v>22</v>
      </c>
      <c r="F526">
        <v>80</v>
      </c>
      <c r="G526">
        <v>1760</v>
      </c>
      <c r="H526">
        <v>0.03</v>
      </c>
      <c r="I526" t="s">
        <v>115</v>
      </c>
      <c r="J526">
        <v>52.8</v>
      </c>
      <c r="Q526" s="21"/>
    </row>
    <row r="527" spans="1:17" x14ac:dyDescent="0.3">
      <c r="A527" t="s">
        <v>1657</v>
      </c>
      <c r="B527" s="17">
        <v>43299</v>
      </c>
      <c r="C527" t="s">
        <v>111</v>
      </c>
      <c r="D527" t="s">
        <v>96</v>
      </c>
      <c r="E527">
        <v>13</v>
      </c>
      <c r="F527">
        <v>150</v>
      </c>
      <c r="G527">
        <v>1950</v>
      </c>
      <c r="H527">
        <v>0.05</v>
      </c>
      <c r="I527" t="s">
        <v>116</v>
      </c>
      <c r="J527">
        <v>97.5</v>
      </c>
      <c r="Q527" s="22"/>
    </row>
    <row r="528" spans="1:17" x14ac:dyDescent="0.3">
      <c r="A528" t="s">
        <v>1658</v>
      </c>
      <c r="B528" s="17">
        <v>43299</v>
      </c>
      <c r="C528" t="s">
        <v>95</v>
      </c>
      <c r="D528" t="s">
        <v>96</v>
      </c>
      <c r="E528">
        <v>14</v>
      </c>
      <c r="F528">
        <v>80</v>
      </c>
      <c r="G528">
        <v>1120</v>
      </c>
      <c r="H528">
        <v>0.08</v>
      </c>
      <c r="I528" t="s">
        <v>97</v>
      </c>
      <c r="J528">
        <v>89.600000000000009</v>
      </c>
      <c r="Q528" s="21"/>
    </row>
    <row r="529" spans="1:17" x14ac:dyDescent="0.3">
      <c r="A529" t="s">
        <v>1659</v>
      </c>
      <c r="B529" s="17">
        <v>43299</v>
      </c>
      <c r="C529" t="s">
        <v>95</v>
      </c>
      <c r="D529" t="s">
        <v>96</v>
      </c>
      <c r="E529">
        <v>6</v>
      </c>
      <c r="F529">
        <v>80</v>
      </c>
      <c r="G529">
        <v>480</v>
      </c>
      <c r="H529">
        <v>7.0000000000000007E-2</v>
      </c>
      <c r="I529" t="s">
        <v>100</v>
      </c>
      <c r="J529">
        <v>33.6</v>
      </c>
      <c r="Q529" s="22"/>
    </row>
    <row r="530" spans="1:17" x14ac:dyDescent="0.3">
      <c r="A530" t="s">
        <v>1660</v>
      </c>
      <c r="B530" s="17">
        <v>43299</v>
      </c>
      <c r="C530" t="s">
        <v>95</v>
      </c>
      <c r="D530" t="s">
        <v>96</v>
      </c>
      <c r="E530">
        <v>16</v>
      </c>
      <c r="F530">
        <v>80</v>
      </c>
      <c r="G530">
        <v>1280</v>
      </c>
      <c r="H530">
        <v>0.03</v>
      </c>
      <c r="I530" t="s">
        <v>102</v>
      </c>
      <c r="J530">
        <v>38.4</v>
      </c>
      <c r="Q530" s="21"/>
    </row>
    <row r="531" spans="1:17" x14ac:dyDescent="0.3">
      <c r="A531" t="s">
        <v>1661</v>
      </c>
      <c r="B531" s="17">
        <v>43299</v>
      </c>
      <c r="C531" t="s">
        <v>111</v>
      </c>
      <c r="D531" t="s">
        <v>104</v>
      </c>
      <c r="E531">
        <v>22</v>
      </c>
      <c r="F531">
        <v>150</v>
      </c>
      <c r="G531">
        <v>3300</v>
      </c>
      <c r="H531">
        <v>0.09</v>
      </c>
      <c r="I531" t="s">
        <v>103</v>
      </c>
      <c r="J531">
        <v>297</v>
      </c>
      <c r="Q531" s="22"/>
    </row>
    <row r="532" spans="1:17" x14ac:dyDescent="0.3">
      <c r="A532" t="s">
        <v>1662</v>
      </c>
      <c r="B532" s="17">
        <v>43299</v>
      </c>
      <c r="C532" t="s">
        <v>111</v>
      </c>
      <c r="D532" t="s">
        <v>106</v>
      </c>
      <c r="E532">
        <v>4</v>
      </c>
      <c r="F532">
        <v>150</v>
      </c>
      <c r="G532">
        <v>600</v>
      </c>
      <c r="H532">
        <v>0.12</v>
      </c>
      <c r="I532" t="s">
        <v>105</v>
      </c>
      <c r="J532">
        <v>72</v>
      </c>
      <c r="Q532" s="21"/>
    </row>
    <row r="533" spans="1:17" x14ac:dyDescent="0.3">
      <c r="A533" t="s">
        <v>1663</v>
      </c>
      <c r="B533" s="17">
        <v>43299</v>
      </c>
      <c r="C533" t="s">
        <v>101</v>
      </c>
      <c r="D533" t="s">
        <v>109</v>
      </c>
      <c r="E533">
        <v>7</v>
      </c>
      <c r="F533">
        <v>230</v>
      </c>
      <c r="G533">
        <v>1610</v>
      </c>
      <c r="H533">
        <v>0.05</v>
      </c>
      <c r="I533" t="s">
        <v>107</v>
      </c>
      <c r="J533">
        <v>80.5</v>
      </c>
      <c r="Q533" s="22"/>
    </row>
    <row r="534" spans="1:17" x14ac:dyDescent="0.3">
      <c r="A534" t="s">
        <v>1664</v>
      </c>
      <c r="B534" s="17">
        <v>43299</v>
      </c>
      <c r="C534" t="s">
        <v>111</v>
      </c>
      <c r="D534" t="s">
        <v>106</v>
      </c>
      <c r="E534">
        <v>20</v>
      </c>
      <c r="F534">
        <v>150</v>
      </c>
      <c r="G534">
        <v>3000</v>
      </c>
      <c r="H534">
        <v>0.1</v>
      </c>
      <c r="I534" t="s">
        <v>110</v>
      </c>
      <c r="J534">
        <v>300</v>
      </c>
      <c r="Q534" s="21"/>
    </row>
    <row r="535" spans="1:17" x14ac:dyDescent="0.3">
      <c r="A535" t="s">
        <v>1665</v>
      </c>
      <c r="B535" s="17">
        <v>43299</v>
      </c>
      <c r="C535" t="s">
        <v>101</v>
      </c>
      <c r="D535" t="s">
        <v>106</v>
      </c>
      <c r="E535">
        <v>8</v>
      </c>
      <c r="F535">
        <v>230</v>
      </c>
      <c r="G535">
        <v>1840</v>
      </c>
      <c r="H535">
        <v>0.05</v>
      </c>
      <c r="I535" t="s">
        <v>112</v>
      </c>
      <c r="J535">
        <v>92</v>
      </c>
      <c r="Q535" s="22"/>
    </row>
    <row r="536" spans="1:17" x14ac:dyDescent="0.3">
      <c r="A536" t="s">
        <v>1666</v>
      </c>
      <c r="B536" s="17">
        <v>43300</v>
      </c>
      <c r="C536" t="s">
        <v>98</v>
      </c>
      <c r="D536" t="s">
        <v>106</v>
      </c>
      <c r="E536">
        <v>9</v>
      </c>
      <c r="F536">
        <v>40</v>
      </c>
      <c r="G536">
        <v>360</v>
      </c>
      <c r="H536">
        <v>0.06</v>
      </c>
      <c r="I536" t="s">
        <v>113</v>
      </c>
      <c r="J536">
        <v>21.599999999999998</v>
      </c>
      <c r="Q536" s="21"/>
    </row>
    <row r="537" spans="1:17" x14ac:dyDescent="0.3">
      <c r="A537" t="s">
        <v>1667</v>
      </c>
      <c r="B537" s="17">
        <v>43300</v>
      </c>
      <c r="C537" t="s">
        <v>101</v>
      </c>
      <c r="D537" t="s">
        <v>106</v>
      </c>
      <c r="E537">
        <v>19</v>
      </c>
      <c r="F537">
        <v>230</v>
      </c>
      <c r="G537">
        <v>4370</v>
      </c>
      <c r="H537">
        <v>0.06</v>
      </c>
      <c r="I537" t="s">
        <v>114</v>
      </c>
      <c r="J537">
        <v>262.2</v>
      </c>
      <c r="Q537" s="22"/>
    </row>
    <row r="538" spans="1:17" x14ac:dyDescent="0.3">
      <c r="A538" t="s">
        <v>1668</v>
      </c>
      <c r="B538" s="17">
        <v>43300</v>
      </c>
      <c r="C538" t="s">
        <v>98</v>
      </c>
      <c r="D538" t="s">
        <v>106</v>
      </c>
      <c r="E538">
        <v>22</v>
      </c>
      <c r="F538">
        <v>40</v>
      </c>
      <c r="G538">
        <v>880</v>
      </c>
      <c r="H538">
        <v>0.01</v>
      </c>
      <c r="I538" t="s">
        <v>115</v>
      </c>
      <c r="J538">
        <v>8.8000000000000007</v>
      </c>
      <c r="Q538" s="21"/>
    </row>
    <row r="539" spans="1:17" x14ac:dyDescent="0.3">
      <c r="A539" t="s">
        <v>1669</v>
      </c>
      <c r="B539" s="17">
        <v>43300</v>
      </c>
      <c r="C539" t="s">
        <v>98</v>
      </c>
      <c r="D539" t="s">
        <v>96</v>
      </c>
      <c r="E539">
        <v>22</v>
      </c>
      <c r="F539">
        <v>40</v>
      </c>
      <c r="G539">
        <v>880</v>
      </c>
      <c r="H539">
        <v>0.02</v>
      </c>
      <c r="I539" t="s">
        <v>116</v>
      </c>
      <c r="J539">
        <v>17.600000000000001</v>
      </c>
      <c r="Q539" s="22"/>
    </row>
    <row r="540" spans="1:17" x14ac:dyDescent="0.3">
      <c r="A540" t="s">
        <v>1670</v>
      </c>
      <c r="B540" s="17">
        <v>43300</v>
      </c>
      <c r="C540" t="s">
        <v>95</v>
      </c>
      <c r="D540" t="s">
        <v>109</v>
      </c>
      <c r="E540">
        <v>10</v>
      </c>
      <c r="F540">
        <v>80</v>
      </c>
      <c r="G540">
        <v>800</v>
      </c>
      <c r="H540">
        <v>0.06</v>
      </c>
      <c r="I540" t="s">
        <v>97</v>
      </c>
      <c r="J540">
        <v>48</v>
      </c>
      <c r="Q540" s="21"/>
    </row>
    <row r="541" spans="1:17" x14ac:dyDescent="0.3">
      <c r="A541" t="s">
        <v>1671</v>
      </c>
      <c r="B541" s="17">
        <v>43300</v>
      </c>
      <c r="C541" t="s">
        <v>98</v>
      </c>
      <c r="D541" t="s">
        <v>106</v>
      </c>
      <c r="E541">
        <v>7</v>
      </c>
      <c r="F541">
        <v>40</v>
      </c>
      <c r="G541">
        <v>280</v>
      </c>
      <c r="H541">
        <v>0.11</v>
      </c>
      <c r="I541" t="s">
        <v>100</v>
      </c>
      <c r="J541">
        <v>30.8</v>
      </c>
      <c r="Q541" s="22"/>
    </row>
    <row r="542" spans="1:17" x14ac:dyDescent="0.3">
      <c r="A542" t="s">
        <v>1672</v>
      </c>
      <c r="B542" s="17">
        <v>43300</v>
      </c>
      <c r="C542" t="s">
        <v>101</v>
      </c>
      <c r="D542" t="s">
        <v>96</v>
      </c>
      <c r="E542">
        <v>7</v>
      </c>
      <c r="F542">
        <v>230</v>
      </c>
      <c r="G542">
        <v>1610</v>
      </c>
      <c r="H542">
        <v>0.08</v>
      </c>
      <c r="I542" t="s">
        <v>102</v>
      </c>
      <c r="J542">
        <v>128.80000000000001</v>
      </c>
      <c r="Q542" s="21"/>
    </row>
    <row r="543" spans="1:17" x14ac:dyDescent="0.3">
      <c r="A543" t="s">
        <v>1673</v>
      </c>
      <c r="B543" s="17">
        <v>43300</v>
      </c>
      <c r="C543" t="s">
        <v>108</v>
      </c>
      <c r="D543" t="s">
        <v>96</v>
      </c>
      <c r="E543">
        <v>18</v>
      </c>
      <c r="F543">
        <v>16</v>
      </c>
      <c r="G543">
        <v>288</v>
      </c>
      <c r="H543">
        <v>0.11</v>
      </c>
      <c r="I543" t="s">
        <v>103</v>
      </c>
      <c r="J543">
        <v>31.68</v>
      </c>
      <c r="Q543" s="22"/>
    </row>
    <row r="544" spans="1:17" x14ac:dyDescent="0.3">
      <c r="A544" t="s">
        <v>1674</v>
      </c>
      <c r="B544" s="17">
        <v>43300</v>
      </c>
      <c r="C544" t="s">
        <v>101</v>
      </c>
      <c r="D544" t="s">
        <v>104</v>
      </c>
      <c r="E544">
        <v>14</v>
      </c>
      <c r="F544">
        <v>230</v>
      </c>
      <c r="G544">
        <v>3220</v>
      </c>
      <c r="H544">
        <v>0.12</v>
      </c>
      <c r="I544" t="s">
        <v>105</v>
      </c>
      <c r="J544">
        <v>386.4</v>
      </c>
      <c r="Q544" s="21"/>
    </row>
    <row r="545" spans="1:17" x14ac:dyDescent="0.3">
      <c r="A545" t="s">
        <v>1675</v>
      </c>
      <c r="B545" s="17">
        <v>43300</v>
      </c>
      <c r="C545" t="s">
        <v>98</v>
      </c>
      <c r="D545" t="s">
        <v>99</v>
      </c>
      <c r="E545">
        <v>21</v>
      </c>
      <c r="F545">
        <v>40</v>
      </c>
      <c r="G545">
        <v>840</v>
      </c>
      <c r="H545">
        <v>0.03</v>
      </c>
      <c r="I545" t="s">
        <v>107</v>
      </c>
      <c r="J545">
        <v>25.2</v>
      </c>
      <c r="Q545" s="22"/>
    </row>
    <row r="546" spans="1:17" x14ac:dyDescent="0.3">
      <c r="A546" t="s">
        <v>1676</v>
      </c>
      <c r="B546" s="17">
        <v>43300</v>
      </c>
      <c r="C546" t="s">
        <v>111</v>
      </c>
      <c r="D546" t="s">
        <v>96</v>
      </c>
      <c r="E546">
        <v>3</v>
      </c>
      <c r="F546">
        <v>150</v>
      </c>
      <c r="G546">
        <v>450</v>
      </c>
      <c r="H546">
        <v>0.03</v>
      </c>
      <c r="I546" t="s">
        <v>110</v>
      </c>
      <c r="J546">
        <v>13.5</v>
      </c>
      <c r="Q546" s="21"/>
    </row>
    <row r="547" spans="1:17" x14ac:dyDescent="0.3">
      <c r="A547" t="s">
        <v>1677</v>
      </c>
      <c r="B547" s="17">
        <v>43300</v>
      </c>
      <c r="C547" t="s">
        <v>95</v>
      </c>
      <c r="D547" t="s">
        <v>96</v>
      </c>
      <c r="E547">
        <v>12</v>
      </c>
      <c r="F547">
        <v>80</v>
      </c>
      <c r="G547">
        <v>960</v>
      </c>
      <c r="H547">
        <v>0.04</v>
      </c>
      <c r="I547" t="s">
        <v>112</v>
      </c>
      <c r="J547">
        <v>38.4</v>
      </c>
      <c r="Q547" s="22"/>
    </row>
    <row r="548" spans="1:17" x14ac:dyDescent="0.3">
      <c r="A548" t="s">
        <v>1678</v>
      </c>
      <c r="B548" s="17">
        <v>43301</v>
      </c>
      <c r="C548" t="s">
        <v>111</v>
      </c>
      <c r="D548" t="s">
        <v>106</v>
      </c>
      <c r="E548">
        <v>6</v>
      </c>
      <c r="F548">
        <v>150</v>
      </c>
      <c r="G548">
        <v>900</v>
      </c>
      <c r="H548">
        <v>0.03</v>
      </c>
      <c r="I548" t="s">
        <v>113</v>
      </c>
      <c r="J548">
        <v>27</v>
      </c>
      <c r="Q548" s="21"/>
    </row>
    <row r="549" spans="1:17" x14ac:dyDescent="0.3">
      <c r="A549" t="s">
        <v>1679</v>
      </c>
      <c r="B549" s="17">
        <v>43301</v>
      </c>
      <c r="C549" t="s">
        <v>98</v>
      </c>
      <c r="D549" t="s">
        <v>104</v>
      </c>
      <c r="E549">
        <v>20</v>
      </c>
      <c r="F549">
        <v>40</v>
      </c>
      <c r="G549">
        <v>800</v>
      </c>
      <c r="H549">
        <v>0.01</v>
      </c>
      <c r="I549" t="s">
        <v>114</v>
      </c>
      <c r="J549">
        <v>8</v>
      </c>
      <c r="Q549" s="22"/>
    </row>
    <row r="550" spans="1:17" x14ac:dyDescent="0.3">
      <c r="A550" t="s">
        <v>1680</v>
      </c>
      <c r="B550" s="17">
        <v>43301</v>
      </c>
      <c r="C550" t="s">
        <v>101</v>
      </c>
      <c r="D550" t="s">
        <v>96</v>
      </c>
      <c r="E550">
        <v>3</v>
      </c>
      <c r="F550">
        <v>230</v>
      </c>
      <c r="G550">
        <v>690</v>
      </c>
      <c r="H550">
        <v>0.06</v>
      </c>
      <c r="I550" t="s">
        <v>110</v>
      </c>
      <c r="J550">
        <v>41.4</v>
      </c>
      <c r="Q550" s="21"/>
    </row>
    <row r="551" spans="1:17" x14ac:dyDescent="0.3">
      <c r="A551" t="s">
        <v>1681</v>
      </c>
      <c r="B551" s="17">
        <v>43301</v>
      </c>
      <c r="C551" t="s">
        <v>101</v>
      </c>
      <c r="D551" t="s">
        <v>106</v>
      </c>
      <c r="E551">
        <v>3</v>
      </c>
      <c r="F551">
        <v>230</v>
      </c>
      <c r="G551">
        <v>690</v>
      </c>
      <c r="H551">
        <v>0.01</v>
      </c>
      <c r="I551" t="s">
        <v>112</v>
      </c>
      <c r="J551">
        <v>6.9</v>
      </c>
      <c r="Q551" s="22"/>
    </row>
    <row r="552" spans="1:17" x14ac:dyDescent="0.3">
      <c r="A552" t="s">
        <v>1682</v>
      </c>
      <c r="B552" s="17">
        <v>43301</v>
      </c>
      <c r="C552" t="s">
        <v>98</v>
      </c>
      <c r="D552" t="s">
        <v>96</v>
      </c>
      <c r="E552">
        <v>20</v>
      </c>
      <c r="F552">
        <v>40</v>
      </c>
      <c r="G552">
        <v>800</v>
      </c>
      <c r="H552">
        <v>0.04</v>
      </c>
      <c r="I552" t="s">
        <v>113</v>
      </c>
      <c r="J552">
        <v>32</v>
      </c>
      <c r="Q552" s="21"/>
    </row>
    <row r="553" spans="1:17" x14ac:dyDescent="0.3">
      <c r="A553" t="s">
        <v>1683</v>
      </c>
      <c r="B553" s="17">
        <v>43301</v>
      </c>
      <c r="C553" t="s">
        <v>95</v>
      </c>
      <c r="D553" t="s">
        <v>104</v>
      </c>
      <c r="E553">
        <v>16</v>
      </c>
      <c r="F553">
        <v>80</v>
      </c>
      <c r="G553">
        <v>1280</v>
      </c>
      <c r="H553">
        <v>0.02</v>
      </c>
      <c r="I553" t="s">
        <v>114</v>
      </c>
      <c r="J553">
        <v>25.6</v>
      </c>
      <c r="Q553" s="22"/>
    </row>
    <row r="554" spans="1:17" x14ac:dyDescent="0.3">
      <c r="A554" t="s">
        <v>1684</v>
      </c>
      <c r="B554" s="17">
        <v>43301</v>
      </c>
      <c r="C554" t="s">
        <v>111</v>
      </c>
      <c r="D554" t="s">
        <v>96</v>
      </c>
      <c r="E554">
        <v>8</v>
      </c>
      <c r="F554">
        <v>150</v>
      </c>
      <c r="G554">
        <v>1200</v>
      </c>
      <c r="H554">
        <v>0.09</v>
      </c>
      <c r="I554" t="s">
        <v>110</v>
      </c>
      <c r="J554">
        <v>108</v>
      </c>
      <c r="Q554" s="21"/>
    </row>
    <row r="555" spans="1:17" x14ac:dyDescent="0.3">
      <c r="A555" t="s">
        <v>1685</v>
      </c>
      <c r="B555" s="17">
        <v>43302</v>
      </c>
      <c r="C555" t="s">
        <v>101</v>
      </c>
      <c r="D555" t="s">
        <v>99</v>
      </c>
      <c r="E555">
        <v>7</v>
      </c>
      <c r="F555">
        <v>230</v>
      </c>
      <c r="G555">
        <v>1610</v>
      </c>
      <c r="H555">
        <v>0.01</v>
      </c>
      <c r="I555" t="s">
        <v>112</v>
      </c>
      <c r="J555">
        <v>16.100000000000001</v>
      </c>
      <c r="Q555" s="22"/>
    </row>
    <row r="556" spans="1:17" x14ac:dyDescent="0.3">
      <c r="A556" t="s">
        <v>1686</v>
      </c>
      <c r="B556" s="17">
        <v>43302</v>
      </c>
      <c r="C556" t="s">
        <v>111</v>
      </c>
      <c r="D556" t="s">
        <v>99</v>
      </c>
      <c r="E556">
        <v>23</v>
      </c>
      <c r="F556">
        <v>150</v>
      </c>
      <c r="G556">
        <v>3450</v>
      </c>
      <c r="H556">
        <v>0.11</v>
      </c>
      <c r="I556" t="s">
        <v>113</v>
      </c>
      <c r="J556">
        <v>379.5</v>
      </c>
      <c r="Q556" s="21"/>
    </row>
    <row r="557" spans="1:17" x14ac:dyDescent="0.3">
      <c r="A557" t="s">
        <v>1687</v>
      </c>
      <c r="B557" s="17">
        <v>43302</v>
      </c>
      <c r="C557" t="s">
        <v>98</v>
      </c>
      <c r="D557" t="s">
        <v>109</v>
      </c>
      <c r="E557">
        <v>16</v>
      </c>
      <c r="F557">
        <v>40</v>
      </c>
      <c r="G557">
        <v>640</v>
      </c>
      <c r="H557">
        <v>0.09</v>
      </c>
      <c r="I557" t="s">
        <v>114</v>
      </c>
      <c r="J557">
        <v>57.599999999999994</v>
      </c>
      <c r="Q557" s="22"/>
    </row>
    <row r="558" spans="1:17" x14ac:dyDescent="0.3">
      <c r="A558" t="s">
        <v>1688</v>
      </c>
      <c r="B558" s="17">
        <v>43302</v>
      </c>
      <c r="C558" t="s">
        <v>98</v>
      </c>
      <c r="D558" t="s">
        <v>109</v>
      </c>
      <c r="E558">
        <v>20</v>
      </c>
      <c r="F558">
        <v>40</v>
      </c>
      <c r="G558">
        <v>800</v>
      </c>
      <c r="H558">
        <v>0.1</v>
      </c>
      <c r="I558" t="s">
        <v>110</v>
      </c>
      <c r="J558">
        <v>80</v>
      </c>
      <c r="Q558" s="21"/>
    </row>
    <row r="559" spans="1:17" x14ac:dyDescent="0.3">
      <c r="A559" t="s">
        <v>1689</v>
      </c>
      <c r="B559" s="17">
        <v>43302</v>
      </c>
      <c r="C559" t="s">
        <v>98</v>
      </c>
      <c r="D559" t="s">
        <v>99</v>
      </c>
      <c r="E559">
        <v>18</v>
      </c>
      <c r="F559">
        <v>40</v>
      </c>
      <c r="G559">
        <v>720</v>
      </c>
      <c r="H559">
        <v>0.08</v>
      </c>
      <c r="I559" t="s">
        <v>112</v>
      </c>
      <c r="J559">
        <v>57.6</v>
      </c>
      <c r="Q559" s="22"/>
    </row>
    <row r="560" spans="1:17" x14ac:dyDescent="0.3">
      <c r="A560" t="s">
        <v>1690</v>
      </c>
      <c r="B560" s="17">
        <v>43302</v>
      </c>
      <c r="C560" t="s">
        <v>95</v>
      </c>
      <c r="D560" t="s">
        <v>109</v>
      </c>
      <c r="E560">
        <v>22</v>
      </c>
      <c r="F560">
        <v>80</v>
      </c>
      <c r="G560">
        <v>1760</v>
      </c>
      <c r="H560">
        <v>0.09</v>
      </c>
      <c r="I560" t="s">
        <v>113</v>
      </c>
      <c r="J560">
        <v>158.4</v>
      </c>
      <c r="Q560" s="21"/>
    </row>
    <row r="561" spans="1:17" x14ac:dyDescent="0.3">
      <c r="A561" t="s">
        <v>1691</v>
      </c>
      <c r="B561" s="17">
        <v>43302</v>
      </c>
      <c r="C561" t="s">
        <v>111</v>
      </c>
      <c r="D561" t="s">
        <v>99</v>
      </c>
      <c r="E561">
        <v>22</v>
      </c>
      <c r="F561">
        <v>150</v>
      </c>
      <c r="G561">
        <v>3300</v>
      </c>
      <c r="H561">
        <v>0.02</v>
      </c>
      <c r="I561" t="s">
        <v>114</v>
      </c>
      <c r="J561">
        <v>66</v>
      </c>
      <c r="Q561" s="22"/>
    </row>
    <row r="562" spans="1:17" x14ac:dyDescent="0.3">
      <c r="A562" t="s">
        <v>1692</v>
      </c>
      <c r="B562" s="17">
        <v>43302</v>
      </c>
      <c r="C562" t="s">
        <v>111</v>
      </c>
      <c r="D562" t="s">
        <v>99</v>
      </c>
      <c r="E562">
        <v>20</v>
      </c>
      <c r="F562">
        <v>150</v>
      </c>
      <c r="G562">
        <v>3000</v>
      </c>
      <c r="H562">
        <v>0.09</v>
      </c>
      <c r="I562" t="s">
        <v>110</v>
      </c>
      <c r="J562">
        <v>270</v>
      </c>
      <c r="Q562" s="21"/>
    </row>
    <row r="563" spans="1:17" x14ac:dyDescent="0.3">
      <c r="A563" t="s">
        <v>1693</v>
      </c>
      <c r="B563" s="17">
        <v>43302</v>
      </c>
      <c r="C563" t="s">
        <v>108</v>
      </c>
      <c r="D563" t="s">
        <v>96</v>
      </c>
      <c r="E563">
        <v>10</v>
      </c>
      <c r="F563">
        <v>16</v>
      </c>
      <c r="G563">
        <v>160</v>
      </c>
      <c r="H563">
        <v>0.08</v>
      </c>
      <c r="I563" t="s">
        <v>112</v>
      </c>
      <c r="J563">
        <v>12.8</v>
      </c>
      <c r="Q563" s="22"/>
    </row>
    <row r="564" spans="1:17" x14ac:dyDescent="0.3">
      <c r="A564" t="s">
        <v>1694</v>
      </c>
      <c r="B564" s="17">
        <v>43302</v>
      </c>
      <c r="C564" t="s">
        <v>98</v>
      </c>
      <c r="D564" t="s">
        <v>104</v>
      </c>
      <c r="E564">
        <v>12</v>
      </c>
      <c r="F564">
        <v>40</v>
      </c>
      <c r="G564">
        <v>480</v>
      </c>
      <c r="H564">
        <v>0.02</v>
      </c>
      <c r="I564" t="s">
        <v>113</v>
      </c>
      <c r="J564">
        <v>9.6</v>
      </c>
      <c r="Q564" s="21"/>
    </row>
    <row r="565" spans="1:17" x14ac:dyDescent="0.3">
      <c r="A565" t="s">
        <v>1695</v>
      </c>
      <c r="B565" s="17">
        <v>43302</v>
      </c>
      <c r="C565" t="s">
        <v>111</v>
      </c>
      <c r="D565" t="s">
        <v>96</v>
      </c>
      <c r="E565">
        <v>4</v>
      </c>
      <c r="F565">
        <v>150</v>
      </c>
      <c r="G565">
        <v>600</v>
      </c>
      <c r="H565">
        <v>0.1</v>
      </c>
      <c r="I565" t="s">
        <v>114</v>
      </c>
      <c r="J565">
        <v>60</v>
      </c>
      <c r="Q565" s="22"/>
    </row>
    <row r="566" spans="1:17" x14ac:dyDescent="0.3">
      <c r="A566" t="s">
        <v>1696</v>
      </c>
      <c r="B566" s="17">
        <v>43302</v>
      </c>
      <c r="C566" t="s">
        <v>95</v>
      </c>
      <c r="D566" t="s">
        <v>104</v>
      </c>
      <c r="E566">
        <v>5</v>
      </c>
      <c r="F566">
        <v>80</v>
      </c>
      <c r="G566">
        <v>400</v>
      </c>
      <c r="H566">
        <v>0.09</v>
      </c>
      <c r="I566" t="s">
        <v>110</v>
      </c>
      <c r="J566">
        <v>36</v>
      </c>
      <c r="Q566" s="21"/>
    </row>
    <row r="567" spans="1:17" x14ac:dyDescent="0.3">
      <c r="A567" t="s">
        <v>1697</v>
      </c>
      <c r="B567" s="17">
        <v>43302</v>
      </c>
      <c r="C567" t="s">
        <v>98</v>
      </c>
      <c r="D567" t="s">
        <v>96</v>
      </c>
      <c r="E567">
        <v>11</v>
      </c>
      <c r="F567">
        <v>40</v>
      </c>
      <c r="G567">
        <v>440</v>
      </c>
      <c r="H567">
        <v>0.04</v>
      </c>
      <c r="I567" t="s">
        <v>112</v>
      </c>
      <c r="J567">
        <v>17.600000000000001</v>
      </c>
      <c r="Q567" s="22"/>
    </row>
    <row r="568" spans="1:17" x14ac:dyDescent="0.3">
      <c r="A568" t="s">
        <v>1698</v>
      </c>
      <c r="B568" s="17">
        <v>43302</v>
      </c>
      <c r="C568" t="s">
        <v>111</v>
      </c>
      <c r="D568" t="s">
        <v>99</v>
      </c>
      <c r="E568">
        <v>13</v>
      </c>
      <c r="F568">
        <v>150</v>
      </c>
      <c r="G568">
        <v>1950</v>
      </c>
      <c r="H568">
        <v>0.08</v>
      </c>
      <c r="I568" t="s">
        <v>113</v>
      </c>
      <c r="J568">
        <v>156</v>
      </c>
      <c r="Q568" s="21"/>
    </row>
    <row r="569" spans="1:17" x14ac:dyDescent="0.3">
      <c r="A569" t="s">
        <v>1699</v>
      </c>
      <c r="B569" s="17">
        <v>43302</v>
      </c>
      <c r="C569" t="s">
        <v>95</v>
      </c>
      <c r="D569" t="s">
        <v>106</v>
      </c>
      <c r="E569">
        <v>19</v>
      </c>
      <c r="F569">
        <v>80</v>
      </c>
      <c r="G569">
        <v>1520</v>
      </c>
      <c r="H569">
        <v>0.02</v>
      </c>
      <c r="I569" t="s">
        <v>114</v>
      </c>
      <c r="J569">
        <v>30.400000000000002</v>
      </c>
      <c r="Q569" s="22"/>
    </row>
    <row r="570" spans="1:17" x14ac:dyDescent="0.3">
      <c r="A570" t="s">
        <v>1700</v>
      </c>
      <c r="B570" s="17">
        <v>43302</v>
      </c>
      <c r="C570" t="s">
        <v>101</v>
      </c>
      <c r="D570" t="s">
        <v>99</v>
      </c>
      <c r="E570">
        <v>7</v>
      </c>
      <c r="F570">
        <v>230</v>
      </c>
      <c r="G570">
        <v>1610</v>
      </c>
      <c r="H570">
        <v>0.01</v>
      </c>
      <c r="I570" t="s">
        <v>110</v>
      </c>
      <c r="J570">
        <v>16.100000000000001</v>
      </c>
      <c r="Q570" s="21"/>
    </row>
    <row r="571" spans="1:17" x14ac:dyDescent="0.3">
      <c r="A571" t="s">
        <v>1701</v>
      </c>
      <c r="B571" s="17">
        <v>43303</v>
      </c>
      <c r="C571" t="s">
        <v>95</v>
      </c>
      <c r="D571" t="s">
        <v>109</v>
      </c>
      <c r="E571">
        <v>16</v>
      </c>
      <c r="F571">
        <v>80</v>
      </c>
      <c r="G571">
        <v>1280</v>
      </c>
      <c r="H571">
        <v>0.09</v>
      </c>
      <c r="I571" t="s">
        <v>112</v>
      </c>
      <c r="J571">
        <v>115.19999999999999</v>
      </c>
      <c r="Q571" s="22"/>
    </row>
    <row r="572" spans="1:17" x14ac:dyDescent="0.3">
      <c r="A572" t="s">
        <v>1702</v>
      </c>
      <c r="B572" s="17">
        <v>43303</v>
      </c>
      <c r="C572" t="s">
        <v>101</v>
      </c>
      <c r="D572" t="s">
        <v>96</v>
      </c>
      <c r="E572">
        <v>7</v>
      </c>
      <c r="F572">
        <v>230</v>
      </c>
      <c r="G572">
        <v>1610</v>
      </c>
      <c r="H572">
        <v>0.02</v>
      </c>
      <c r="I572" t="s">
        <v>113</v>
      </c>
      <c r="J572">
        <v>32.200000000000003</v>
      </c>
      <c r="Q572" s="21"/>
    </row>
    <row r="573" spans="1:17" x14ac:dyDescent="0.3">
      <c r="A573" t="s">
        <v>1703</v>
      </c>
      <c r="B573" s="17">
        <v>43303</v>
      </c>
      <c r="C573" t="s">
        <v>98</v>
      </c>
      <c r="D573" t="s">
        <v>96</v>
      </c>
      <c r="E573">
        <v>5</v>
      </c>
      <c r="F573">
        <v>40</v>
      </c>
      <c r="G573">
        <v>200</v>
      </c>
      <c r="H573">
        <v>0.06</v>
      </c>
      <c r="I573" t="s">
        <v>114</v>
      </c>
      <c r="J573">
        <v>12</v>
      </c>
      <c r="Q573" s="22"/>
    </row>
    <row r="574" spans="1:17" x14ac:dyDescent="0.3">
      <c r="A574" t="s">
        <v>1704</v>
      </c>
      <c r="B574" s="17">
        <v>43303</v>
      </c>
      <c r="C574" t="s">
        <v>111</v>
      </c>
      <c r="D574" t="s">
        <v>104</v>
      </c>
      <c r="E574">
        <v>9</v>
      </c>
      <c r="F574">
        <v>150</v>
      </c>
      <c r="G574">
        <v>1350</v>
      </c>
      <c r="H574">
        <v>0.06</v>
      </c>
      <c r="I574" t="s">
        <v>110</v>
      </c>
      <c r="J574">
        <v>81</v>
      </c>
      <c r="Q574" s="21"/>
    </row>
    <row r="575" spans="1:17" x14ac:dyDescent="0.3">
      <c r="A575" t="s">
        <v>1705</v>
      </c>
      <c r="B575" s="17">
        <v>43303</v>
      </c>
      <c r="C575" t="s">
        <v>98</v>
      </c>
      <c r="D575" t="s">
        <v>109</v>
      </c>
      <c r="E575">
        <v>20</v>
      </c>
      <c r="F575">
        <v>40</v>
      </c>
      <c r="G575">
        <v>800</v>
      </c>
      <c r="H575">
        <v>7.0000000000000007E-2</v>
      </c>
      <c r="I575" t="s">
        <v>112</v>
      </c>
      <c r="J575">
        <v>56.000000000000007</v>
      </c>
      <c r="Q575" s="22"/>
    </row>
    <row r="576" spans="1:17" x14ac:dyDescent="0.3">
      <c r="A576" t="s">
        <v>1706</v>
      </c>
      <c r="B576" s="17">
        <v>43303</v>
      </c>
      <c r="C576" t="s">
        <v>108</v>
      </c>
      <c r="D576" t="s">
        <v>99</v>
      </c>
      <c r="E576">
        <v>20</v>
      </c>
      <c r="F576">
        <v>16</v>
      </c>
      <c r="G576">
        <v>320</v>
      </c>
      <c r="H576">
        <v>0.06</v>
      </c>
      <c r="I576" t="s">
        <v>113</v>
      </c>
      <c r="J576">
        <v>19.2</v>
      </c>
      <c r="Q576" s="21"/>
    </row>
    <row r="577" spans="1:17" x14ac:dyDescent="0.3">
      <c r="A577" t="s">
        <v>1707</v>
      </c>
      <c r="B577" s="17">
        <v>43303</v>
      </c>
      <c r="C577" t="s">
        <v>98</v>
      </c>
      <c r="D577" t="s">
        <v>109</v>
      </c>
      <c r="E577">
        <v>5</v>
      </c>
      <c r="F577">
        <v>40</v>
      </c>
      <c r="G577">
        <v>200</v>
      </c>
      <c r="H577">
        <v>0.03</v>
      </c>
      <c r="I577" t="s">
        <v>114</v>
      </c>
      <c r="J577">
        <v>6</v>
      </c>
      <c r="Q577" s="22"/>
    </row>
    <row r="578" spans="1:17" x14ac:dyDescent="0.3">
      <c r="A578" t="s">
        <v>1708</v>
      </c>
      <c r="B578" s="17">
        <v>43304</v>
      </c>
      <c r="C578" t="s">
        <v>95</v>
      </c>
      <c r="D578" t="s">
        <v>106</v>
      </c>
      <c r="E578">
        <v>7</v>
      </c>
      <c r="F578">
        <v>80</v>
      </c>
      <c r="G578">
        <v>560</v>
      </c>
      <c r="H578">
        <v>7.0000000000000007E-2</v>
      </c>
      <c r="I578" t="s">
        <v>110</v>
      </c>
      <c r="J578">
        <v>39.200000000000003</v>
      </c>
      <c r="Q578" s="21"/>
    </row>
    <row r="579" spans="1:17" x14ac:dyDescent="0.3">
      <c r="A579" t="s">
        <v>1709</v>
      </c>
      <c r="B579" s="17">
        <v>43304</v>
      </c>
      <c r="C579" t="s">
        <v>108</v>
      </c>
      <c r="D579" t="s">
        <v>109</v>
      </c>
      <c r="E579">
        <v>22</v>
      </c>
      <c r="F579">
        <v>16</v>
      </c>
      <c r="G579">
        <v>352</v>
      </c>
      <c r="H579">
        <v>0.12</v>
      </c>
      <c r="I579" t="s">
        <v>112</v>
      </c>
      <c r="J579">
        <v>42.239999999999995</v>
      </c>
      <c r="Q579" s="22"/>
    </row>
    <row r="580" spans="1:17" x14ac:dyDescent="0.3">
      <c r="A580" t="s">
        <v>1710</v>
      </c>
      <c r="B580" s="17">
        <v>43304</v>
      </c>
      <c r="C580" t="s">
        <v>108</v>
      </c>
      <c r="D580" t="s">
        <v>109</v>
      </c>
      <c r="E580">
        <v>11</v>
      </c>
      <c r="F580">
        <v>16</v>
      </c>
      <c r="G580">
        <v>176</v>
      </c>
      <c r="H580">
        <v>0.12</v>
      </c>
      <c r="I580" t="s">
        <v>113</v>
      </c>
      <c r="J580">
        <v>21.119999999999997</v>
      </c>
      <c r="Q580" s="21"/>
    </row>
    <row r="581" spans="1:17" x14ac:dyDescent="0.3">
      <c r="A581" t="s">
        <v>1711</v>
      </c>
      <c r="B581" s="17">
        <v>43304</v>
      </c>
      <c r="C581" t="s">
        <v>101</v>
      </c>
      <c r="D581" t="s">
        <v>106</v>
      </c>
      <c r="E581">
        <v>17</v>
      </c>
      <c r="F581">
        <v>230</v>
      </c>
      <c r="G581">
        <v>3910</v>
      </c>
      <c r="H581">
        <v>0.12</v>
      </c>
      <c r="I581" t="s">
        <v>114</v>
      </c>
      <c r="J581">
        <v>469.2</v>
      </c>
      <c r="Q581" s="22"/>
    </row>
    <row r="582" spans="1:17" x14ac:dyDescent="0.3">
      <c r="A582" t="s">
        <v>1712</v>
      </c>
      <c r="B582" s="17">
        <v>43304</v>
      </c>
      <c r="C582" t="s">
        <v>95</v>
      </c>
      <c r="D582" t="s">
        <v>96</v>
      </c>
      <c r="E582">
        <v>7</v>
      </c>
      <c r="F582">
        <v>80</v>
      </c>
      <c r="G582">
        <v>560</v>
      </c>
      <c r="H582">
        <v>0.02</v>
      </c>
      <c r="I582" t="s">
        <v>110</v>
      </c>
      <c r="J582">
        <v>11.200000000000001</v>
      </c>
      <c r="Q582" s="21"/>
    </row>
    <row r="583" spans="1:17" x14ac:dyDescent="0.3">
      <c r="A583" t="s">
        <v>1713</v>
      </c>
      <c r="B583" s="17">
        <v>43304</v>
      </c>
      <c r="C583" t="s">
        <v>108</v>
      </c>
      <c r="D583" t="s">
        <v>99</v>
      </c>
      <c r="E583">
        <v>5</v>
      </c>
      <c r="F583">
        <v>16</v>
      </c>
      <c r="G583">
        <v>80</v>
      </c>
      <c r="H583">
        <v>0.11</v>
      </c>
      <c r="I583" t="s">
        <v>112</v>
      </c>
      <c r="J583">
        <v>8.8000000000000007</v>
      </c>
      <c r="Q583" s="22"/>
    </row>
    <row r="584" spans="1:17" x14ac:dyDescent="0.3">
      <c r="A584" t="s">
        <v>1714</v>
      </c>
      <c r="B584" s="17">
        <v>43304</v>
      </c>
      <c r="C584" t="s">
        <v>111</v>
      </c>
      <c r="D584" t="s">
        <v>109</v>
      </c>
      <c r="E584">
        <v>18</v>
      </c>
      <c r="F584">
        <v>150</v>
      </c>
      <c r="G584">
        <v>2700</v>
      </c>
      <c r="H584">
        <v>0.12</v>
      </c>
      <c r="I584" t="s">
        <v>113</v>
      </c>
      <c r="J584">
        <v>324</v>
      </c>
      <c r="Q584" s="21"/>
    </row>
    <row r="585" spans="1:17" x14ac:dyDescent="0.3">
      <c r="A585" t="s">
        <v>1715</v>
      </c>
      <c r="B585" s="17">
        <v>43304</v>
      </c>
      <c r="C585" t="s">
        <v>98</v>
      </c>
      <c r="D585" t="s">
        <v>109</v>
      </c>
      <c r="E585">
        <v>10</v>
      </c>
      <c r="F585">
        <v>40</v>
      </c>
      <c r="G585">
        <v>400</v>
      </c>
      <c r="H585">
        <v>0.03</v>
      </c>
      <c r="I585" t="s">
        <v>114</v>
      </c>
      <c r="J585">
        <v>12</v>
      </c>
      <c r="Q585" s="22"/>
    </row>
    <row r="586" spans="1:17" x14ac:dyDescent="0.3">
      <c r="A586" t="s">
        <v>1716</v>
      </c>
      <c r="B586" s="17">
        <v>43304</v>
      </c>
      <c r="C586" t="s">
        <v>98</v>
      </c>
      <c r="D586" t="s">
        <v>109</v>
      </c>
      <c r="E586">
        <v>14</v>
      </c>
      <c r="F586">
        <v>40</v>
      </c>
      <c r="G586">
        <v>560</v>
      </c>
      <c r="H586">
        <v>0.11</v>
      </c>
      <c r="I586" t="s">
        <v>110</v>
      </c>
      <c r="J586">
        <v>61.6</v>
      </c>
      <c r="Q586" s="21"/>
    </row>
    <row r="587" spans="1:17" x14ac:dyDescent="0.3">
      <c r="A587" t="s">
        <v>1717</v>
      </c>
      <c r="B587" s="17">
        <v>43304</v>
      </c>
      <c r="C587" t="s">
        <v>98</v>
      </c>
      <c r="D587" t="s">
        <v>109</v>
      </c>
      <c r="E587">
        <v>16</v>
      </c>
      <c r="F587">
        <v>40</v>
      </c>
      <c r="G587">
        <v>640</v>
      </c>
      <c r="H587">
        <v>0.09</v>
      </c>
      <c r="I587" t="s">
        <v>112</v>
      </c>
      <c r="J587">
        <v>57.599999999999994</v>
      </c>
      <c r="Q587" s="22"/>
    </row>
    <row r="588" spans="1:17" x14ac:dyDescent="0.3">
      <c r="A588" t="s">
        <v>1718</v>
      </c>
      <c r="B588" s="17">
        <v>43305</v>
      </c>
      <c r="C588" t="s">
        <v>98</v>
      </c>
      <c r="D588" t="s">
        <v>106</v>
      </c>
      <c r="E588">
        <v>23</v>
      </c>
      <c r="F588">
        <v>40</v>
      </c>
      <c r="G588">
        <v>920</v>
      </c>
      <c r="H588">
        <v>0.06</v>
      </c>
      <c r="I588" t="s">
        <v>113</v>
      </c>
      <c r="J588">
        <v>55.199999999999996</v>
      </c>
      <c r="Q588" s="21"/>
    </row>
    <row r="589" spans="1:17" x14ac:dyDescent="0.3">
      <c r="A589" t="s">
        <v>1719</v>
      </c>
      <c r="B589" s="17">
        <v>43305</v>
      </c>
      <c r="C589" t="s">
        <v>101</v>
      </c>
      <c r="D589" t="s">
        <v>106</v>
      </c>
      <c r="E589">
        <v>8</v>
      </c>
      <c r="F589">
        <v>230</v>
      </c>
      <c r="G589">
        <v>1840</v>
      </c>
      <c r="H589">
        <v>0.05</v>
      </c>
      <c r="I589" t="s">
        <v>114</v>
      </c>
      <c r="J589">
        <v>92</v>
      </c>
      <c r="Q589" s="22"/>
    </row>
    <row r="590" spans="1:17" x14ac:dyDescent="0.3">
      <c r="A590" t="s">
        <v>1720</v>
      </c>
      <c r="B590" s="17">
        <v>43305</v>
      </c>
      <c r="C590" t="s">
        <v>108</v>
      </c>
      <c r="D590" t="s">
        <v>106</v>
      </c>
      <c r="E590">
        <v>14</v>
      </c>
      <c r="F590">
        <v>16</v>
      </c>
      <c r="G590">
        <v>224</v>
      </c>
      <c r="H590">
        <v>0.12</v>
      </c>
      <c r="I590" t="s">
        <v>110</v>
      </c>
      <c r="J590">
        <v>26.88</v>
      </c>
      <c r="Q590" s="21"/>
    </row>
    <row r="591" spans="1:17" x14ac:dyDescent="0.3">
      <c r="A591" t="s">
        <v>1721</v>
      </c>
      <c r="B591" s="17">
        <v>43305</v>
      </c>
      <c r="C591" t="s">
        <v>95</v>
      </c>
      <c r="D591" t="s">
        <v>96</v>
      </c>
      <c r="E591">
        <v>17</v>
      </c>
      <c r="F591">
        <v>80</v>
      </c>
      <c r="G591">
        <v>1360</v>
      </c>
      <c r="H591">
        <v>0.09</v>
      </c>
      <c r="I591" t="s">
        <v>112</v>
      </c>
      <c r="J591">
        <v>122.39999999999999</v>
      </c>
      <c r="Q591" s="22"/>
    </row>
    <row r="592" spans="1:17" x14ac:dyDescent="0.3">
      <c r="A592" t="s">
        <v>1722</v>
      </c>
      <c r="B592" s="17">
        <v>43305</v>
      </c>
      <c r="C592" t="s">
        <v>111</v>
      </c>
      <c r="D592" t="s">
        <v>104</v>
      </c>
      <c r="E592">
        <v>11</v>
      </c>
      <c r="F592">
        <v>150</v>
      </c>
      <c r="G592">
        <v>1650</v>
      </c>
      <c r="H592">
        <v>0.11</v>
      </c>
      <c r="I592" t="s">
        <v>113</v>
      </c>
      <c r="J592">
        <v>181.5</v>
      </c>
      <c r="Q592" s="21"/>
    </row>
    <row r="593" spans="1:17" x14ac:dyDescent="0.3">
      <c r="A593" t="s">
        <v>1723</v>
      </c>
      <c r="B593" s="17">
        <v>43305</v>
      </c>
      <c r="C593" t="s">
        <v>98</v>
      </c>
      <c r="D593" t="s">
        <v>106</v>
      </c>
      <c r="E593">
        <v>15</v>
      </c>
      <c r="F593">
        <v>40</v>
      </c>
      <c r="G593">
        <v>600</v>
      </c>
      <c r="H593">
        <v>0.03</v>
      </c>
      <c r="I593" t="s">
        <v>114</v>
      </c>
      <c r="J593">
        <v>18</v>
      </c>
      <c r="Q593" s="22"/>
    </row>
    <row r="594" spans="1:17" x14ac:dyDescent="0.3">
      <c r="A594" t="s">
        <v>1724</v>
      </c>
      <c r="B594" s="17">
        <v>43305</v>
      </c>
      <c r="C594" t="s">
        <v>95</v>
      </c>
      <c r="D594" t="s">
        <v>109</v>
      </c>
      <c r="E594">
        <v>9</v>
      </c>
      <c r="F594">
        <v>80</v>
      </c>
      <c r="G594">
        <v>720</v>
      </c>
      <c r="H594">
        <v>7.0000000000000007E-2</v>
      </c>
      <c r="I594" t="s">
        <v>110</v>
      </c>
      <c r="J594">
        <v>50.400000000000006</v>
      </c>
      <c r="Q594" s="21"/>
    </row>
    <row r="595" spans="1:17" x14ac:dyDescent="0.3">
      <c r="A595" t="s">
        <v>1725</v>
      </c>
      <c r="B595" s="17">
        <v>43305</v>
      </c>
      <c r="C595" t="s">
        <v>101</v>
      </c>
      <c r="D595" t="s">
        <v>99</v>
      </c>
      <c r="E595">
        <v>22</v>
      </c>
      <c r="F595">
        <v>230</v>
      </c>
      <c r="G595">
        <v>5060</v>
      </c>
      <c r="H595">
        <v>0.04</v>
      </c>
      <c r="I595" t="s">
        <v>112</v>
      </c>
      <c r="J595">
        <v>202.4</v>
      </c>
      <c r="Q595" s="22"/>
    </row>
    <row r="596" spans="1:17" x14ac:dyDescent="0.3">
      <c r="A596" t="s">
        <v>1726</v>
      </c>
      <c r="B596" s="17">
        <v>43305</v>
      </c>
      <c r="C596" t="s">
        <v>101</v>
      </c>
      <c r="D596" t="s">
        <v>99</v>
      </c>
      <c r="E596">
        <v>11</v>
      </c>
      <c r="F596">
        <v>230</v>
      </c>
      <c r="G596">
        <v>2530</v>
      </c>
      <c r="H596">
        <v>0.1</v>
      </c>
      <c r="I596" t="s">
        <v>113</v>
      </c>
      <c r="J596">
        <v>253</v>
      </c>
      <c r="Q596" s="21"/>
    </row>
    <row r="597" spans="1:17" x14ac:dyDescent="0.3">
      <c r="A597" t="s">
        <v>1727</v>
      </c>
      <c r="B597" s="17">
        <v>43305</v>
      </c>
      <c r="C597" t="s">
        <v>98</v>
      </c>
      <c r="D597" t="s">
        <v>104</v>
      </c>
      <c r="E597">
        <v>11</v>
      </c>
      <c r="F597">
        <v>40</v>
      </c>
      <c r="G597">
        <v>440</v>
      </c>
      <c r="H597">
        <v>0.12</v>
      </c>
      <c r="I597" t="s">
        <v>114</v>
      </c>
      <c r="J597">
        <v>52.8</v>
      </c>
      <c r="Q597" s="22"/>
    </row>
    <row r="598" spans="1:17" x14ac:dyDescent="0.3">
      <c r="A598" t="s">
        <v>1728</v>
      </c>
      <c r="B598" s="17">
        <v>43305</v>
      </c>
      <c r="C598" t="s">
        <v>98</v>
      </c>
      <c r="D598" t="s">
        <v>106</v>
      </c>
      <c r="E598">
        <v>9</v>
      </c>
      <c r="F598">
        <v>40</v>
      </c>
      <c r="G598">
        <v>360</v>
      </c>
      <c r="H598">
        <v>0.06</v>
      </c>
      <c r="I598" t="s">
        <v>110</v>
      </c>
      <c r="J598">
        <v>21.599999999999998</v>
      </c>
      <c r="Q598" s="21"/>
    </row>
    <row r="599" spans="1:17" x14ac:dyDescent="0.3">
      <c r="A599" t="s">
        <v>1729</v>
      </c>
      <c r="B599" s="17">
        <v>43306</v>
      </c>
      <c r="C599" t="s">
        <v>98</v>
      </c>
      <c r="D599" t="s">
        <v>106</v>
      </c>
      <c r="E599">
        <v>13</v>
      </c>
      <c r="F599">
        <v>40</v>
      </c>
      <c r="G599">
        <v>520</v>
      </c>
      <c r="H599">
        <v>0.09</v>
      </c>
      <c r="I599" t="s">
        <v>112</v>
      </c>
      <c r="J599">
        <v>46.8</v>
      </c>
      <c r="Q599" s="22"/>
    </row>
    <row r="600" spans="1:17" x14ac:dyDescent="0.3">
      <c r="A600" t="s">
        <v>1730</v>
      </c>
      <c r="B600" s="17">
        <v>43306</v>
      </c>
      <c r="C600" t="s">
        <v>98</v>
      </c>
      <c r="D600" t="s">
        <v>99</v>
      </c>
      <c r="E600">
        <v>4</v>
      </c>
      <c r="F600">
        <v>40</v>
      </c>
      <c r="G600">
        <v>160</v>
      </c>
      <c r="H600">
        <v>0.12</v>
      </c>
      <c r="I600" t="s">
        <v>113</v>
      </c>
      <c r="J600">
        <v>19.2</v>
      </c>
      <c r="Q600" s="21"/>
    </row>
    <row r="601" spans="1:17" x14ac:dyDescent="0.3">
      <c r="A601" t="s">
        <v>1731</v>
      </c>
      <c r="B601" s="17">
        <v>43306</v>
      </c>
      <c r="C601" t="s">
        <v>111</v>
      </c>
      <c r="D601" t="s">
        <v>96</v>
      </c>
      <c r="E601">
        <v>22</v>
      </c>
      <c r="F601">
        <v>150</v>
      </c>
      <c r="G601">
        <v>3300</v>
      </c>
      <c r="H601">
        <v>0.05</v>
      </c>
      <c r="I601" t="s">
        <v>114</v>
      </c>
      <c r="J601">
        <v>165</v>
      </c>
      <c r="Q601" s="22"/>
    </row>
    <row r="602" spans="1:17" x14ac:dyDescent="0.3">
      <c r="A602" t="s">
        <v>1732</v>
      </c>
      <c r="B602" s="17">
        <v>43306</v>
      </c>
      <c r="C602" t="s">
        <v>98</v>
      </c>
      <c r="D602" t="s">
        <v>109</v>
      </c>
      <c r="E602">
        <v>21</v>
      </c>
      <c r="F602">
        <v>40</v>
      </c>
      <c r="G602">
        <v>840</v>
      </c>
      <c r="H602">
        <v>0.01</v>
      </c>
      <c r="I602" t="s">
        <v>110</v>
      </c>
      <c r="J602">
        <v>8.4</v>
      </c>
      <c r="Q602" s="21"/>
    </row>
    <row r="603" spans="1:17" x14ac:dyDescent="0.3">
      <c r="A603" t="s">
        <v>1733</v>
      </c>
      <c r="B603" s="17">
        <v>43306</v>
      </c>
      <c r="C603" t="s">
        <v>108</v>
      </c>
      <c r="D603" t="s">
        <v>96</v>
      </c>
      <c r="E603">
        <v>16</v>
      </c>
      <c r="F603">
        <v>16</v>
      </c>
      <c r="G603">
        <v>256</v>
      </c>
      <c r="H603">
        <v>0.03</v>
      </c>
      <c r="I603" t="s">
        <v>112</v>
      </c>
      <c r="J603">
        <v>7.68</v>
      </c>
      <c r="Q603" s="22"/>
    </row>
    <row r="604" spans="1:17" x14ac:dyDescent="0.3">
      <c r="A604" t="s">
        <v>1734</v>
      </c>
      <c r="B604" s="17">
        <v>43306</v>
      </c>
      <c r="C604" t="s">
        <v>95</v>
      </c>
      <c r="D604" t="s">
        <v>106</v>
      </c>
      <c r="E604">
        <v>16</v>
      </c>
      <c r="F604">
        <v>80</v>
      </c>
      <c r="G604">
        <v>1280</v>
      </c>
      <c r="H604">
        <v>7.0000000000000007E-2</v>
      </c>
      <c r="I604" t="s">
        <v>113</v>
      </c>
      <c r="J604">
        <v>89.600000000000009</v>
      </c>
      <c r="Q604" s="21"/>
    </row>
    <row r="605" spans="1:17" x14ac:dyDescent="0.3">
      <c r="A605" t="s">
        <v>1735</v>
      </c>
      <c r="B605" s="17">
        <v>43306</v>
      </c>
      <c r="C605" t="s">
        <v>95</v>
      </c>
      <c r="D605" t="s">
        <v>99</v>
      </c>
      <c r="E605">
        <v>15</v>
      </c>
      <c r="F605">
        <v>80</v>
      </c>
      <c r="G605">
        <v>1200</v>
      </c>
      <c r="H605">
        <v>0.12</v>
      </c>
      <c r="I605" t="s">
        <v>114</v>
      </c>
      <c r="J605">
        <v>144</v>
      </c>
      <c r="Q605" s="22"/>
    </row>
    <row r="606" spans="1:17" x14ac:dyDescent="0.3">
      <c r="A606" t="s">
        <v>1736</v>
      </c>
      <c r="B606" s="17">
        <v>43306</v>
      </c>
      <c r="C606" t="s">
        <v>111</v>
      </c>
      <c r="D606" t="s">
        <v>96</v>
      </c>
      <c r="E606">
        <v>20</v>
      </c>
      <c r="F606">
        <v>150</v>
      </c>
      <c r="G606">
        <v>3000</v>
      </c>
      <c r="H606">
        <v>0.03</v>
      </c>
      <c r="I606" t="s">
        <v>110</v>
      </c>
      <c r="J606">
        <v>90</v>
      </c>
      <c r="Q606" s="21"/>
    </row>
    <row r="607" spans="1:17" x14ac:dyDescent="0.3">
      <c r="A607" t="s">
        <v>1737</v>
      </c>
      <c r="B607" s="17">
        <v>43306</v>
      </c>
      <c r="C607" t="s">
        <v>98</v>
      </c>
      <c r="D607" t="s">
        <v>106</v>
      </c>
      <c r="E607">
        <v>13</v>
      </c>
      <c r="F607">
        <v>40</v>
      </c>
      <c r="G607">
        <v>520</v>
      </c>
      <c r="H607">
        <v>0.06</v>
      </c>
      <c r="I607" t="s">
        <v>112</v>
      </c>
      <c r="J607">
        <v>31.2</v>
      </c>
      <c r="Q607" s="22"/>
    </row>
    <row r="608" spans="1:17" x14ac:dyDescent="0.3">
      <c r="A608" t="s">
        <v>1738</v>
      </c>
      <c r="B608" s="17">
        <v>43306</v>
      </c>
      <c r="C608" t="s">
        <v>108</v>
      </c>
      <c r="D608" t="s">
        <v>109</v>
      </c>
      <c r="E608">
        <v>3</v>
      </c>
      <c r="F608">
        <v>16</v>
      </c>
      <c r="G608">
        <v>48</v>
      </c>
      <c r="H608">
        <v>0.06</v>
      </c>
      <c r="I608" t="s">
        <v>113</v>
      </c>
      <c r="J608">
        <v>2.88</v>
      </c>
      <c r="Q608" s="21"/>
    </row>
    <row r="609" spans="1:17" x14ac:dyDescent="0.3">
      <c r="A609" t="s">
        <v>1739</v>
      </c>
      <c r="B609" s="17">
        <v>43306</v>
      </c>
      <c r="C609" t="s">
        <v>108</v>
      </c>
      <c r="D609" t="s">
        <v>104</v>
      </c>
      <c r="E609">
        <v>11</v>
      </c>
      <c r="F609">
        <v>16</v>
      </c>
      <c r="G609">
        <v>176</v>
      </c>
      <c r="H609">
        <v>0.04</v>
      </c>
      <c r="I609" t="s">
        <v>114</v>
      </c>
      <c r="J609">
        <v>7.04</v>
      </c>
      <c r="Q609" s="22"/>
    </row>
    <row r="610" spans="1:17" x14ac:dyDescent="0.3">
      <c r="A610" t="s">
        <v>1740</v>
      </c>
      <c r="B610" s="17">
        <v>43307</v>
      </c>
      <c r="C610" t="s">
        <v>98</v>
      </c>
      <c r="D610" t="s">
        <v>109</v>
      </c>
      <c r="E610">
        <v>16</v>
      </c>
      <c r="F610">
        <v>40</v>
      </c>
      <c r="G610">
        <v>640</v>
      </c>
      <c r="H610">
        <v>0.09</v>
      </c>
      <c r="I610" t="s">
        <v>110</v>
      </c>
      <c r="J610">
        <v>57.599999999999994</v>
      </c>
      <c r="Q610" s="21"/>
    </row>
    <row r="611" spans="1:17" x14ac:dyDescent="0.3">
      <c r="A611" t="s">
        <v>1741</v>
      </c>
      <c r="B611" s="17">
        <v>43307</v>
      </c>
      <c r="C611" t="s">
        <v>98</v>
      </c>
      <c r="D611" t="s">
        <v>104</v>
      </c>
      <c r="E611">
        <v>4</v>
      </c>
      <c r="F611">
        <v>40</v>
      </c>
      <c r="G611">
        <v>160</v>
      </c>
      <c r="H611">
        <v>0.06</v>
      </c>
      <c r="I611" t="s">
        <v>112</v>
      </c>
      <c r="J611">
        <v>9.6</v>
      </c>
      <c r="Q611" s="22"/>
    </row>
    <row r="612" spans="1:17" x14ac:dyDescent="0.3">
      <c r="A612" t="s">
        <v>1742</v>
      </c>
      <c r="B612" s="17">
        <v>43307</v>
      </c>
      <c r="C612" t="s">
        <v>98</v>
      </c>
      <c r="D612" t="s">
        <v>104</v>
      </c>
      <c r="E612">
        <v>20</v>
      </c>
      <c r="F612">
        <v>40</v>
      </c>
      <c r="G612">
        <v>800</v>
      </c>
      <c r="H612">
        <v>0.01</v>
      </c>
      <c r="I612" t="s">
        <v>113</v>
      </c>
      <c r="J612">
        <v>8</v>
      </c>
      <c r="Q612" s="21"/>
    </row>
    <row r="613" spans="1:17" x14ac:dyDescent="0.3">
      <c r="A613" t="s">
        <v>1743</v>
      </c>
      <c r="B613" s="17">
        <v>43307</v>
      </c>
      <c r="C613" t="s">
        <v>98</v>
      </c>
      <c r="D613" t="s">
        <v>104</v>
      </c>
      <c r="E613">
        <v>4</v>
      </c>
      <c r="F613">
        <v>40</v>
      </c>
      <c r="G613">
        <v>160</v>
      </c>
      <c r="H613">
        <v>0.1</v>
      </c>
      <c r="I613" t="s">
        <v>114</v>
      </c>
      <c r="J613">
        <v>16</v>
      </c>
      <c r="Q613" s="22"/>
    </row>
    <row r="614" spans="1:17" x14ac:dyDescent="0.3">
      <c r="A614" t="s">
        <v>1744</v>
      </c>
      <c r="B614" s="17">
        <v>43307</v>
      </c>
      <c r="C614" t="s">
        <v>95</v>
      </c>
      <c r="D614" t="s">
        <v>99</v>
      </c>
      <c r="E614">
        <v>14</v>
      </c>
      <c r="F614">
        <v>80</v>
      </c>
      <c r="G614">
        <v>1120</v>
      </c>
      <c r="H614">
        <v>0.06</v>
      </c>
      <c r="I614" t="s">
        <v>110</v>
      </c>
      <c r="J614">
        <v>67.2</v>
      </c>
      <c r="Q614" s="21"/>
    </row>
    <row r="615" spans="1:17" x14ac:dyDescent="0.3">
      <c r="A615" t="s">
        <v>1745</v>
      </c>
      <c r="B615" s="17">
        <v>43307</v>
      </c>
      <c r="C615" t="s">
        <v>111</v>
      </c>
      <c r="D615" t="s">
        <v>99</v>
      </c>
      <c r="E615">
        <v>15</v>
      </c>
      <c r="F615">
        <v>150</v>
      </c>
      <c r="G615">
        <v>2250</v>
      </c>
      <c r="H615">
        <v>0.02</v>
      </c>
      <c r="I615" t="s">
        <v>112</v>
      </c>
      <c r="J615">
        <v>45</v>
      </c>
      <c r="Q615" s="22"/>
    </row>
    <row r="616" spans="1:17" x14ac:dyDescent="0.3">
      <c r="A616" t="s">
        <v>1746</v>
      </c>
      <c r="B616" s="17">
        <v>43307</v>
      </c>
      <c r="C616" t="s">
        <v>95</v>
      </c>
      <c r="D616" t="s">
        <v>104</v>
      </c>
      <c r="E616">
        <v>14</v>
      </c>
      <c r="F616">
        <v>80</v>
      </c>
      <c r="G616">
        <v>1120</v>
      </c>
      <c r="H616">
        <v>0.1</v>
      </c>
      <c r="I616" t="s">
        <v>113</v>
      </c>
      <c r="J616">
        <v>112</v>
      </c>
      <c r="Q616" s="21"/>
    </row>
    <row r="617" spans="1:17" x14ac:dyDescent="0.3">
      <c r="A617" t="s">
        <v>1747</v>
      </c>
      <c r="B617" s="17">
        <v>43307</v>
      </c>
      <c r="C617" t="s">
        <v>111</v>
      </c>
      <c r="D617" t="s">
        <v>96</v>
      </c>
      <c r="E617">
        <v>20</v>
      </c>
      <c r="F617">
        <v>150</v>
      </c>
      <c r="G617">
        <v>3000</v>
      </c>
      <c r="H617">
        <v>0.04</v>
      </c>
      <c r="I617" t="s">
        <v>114</v>
      </c>
      <c r="J617">
        <v>120</v>
      </c>
      <c r="Q617" s="22"/>
    </row>
    <row r="618" spans="1:17" x14ac:dyDescent="0.3">
      <c r="A618" t="s">
        <v>1748</v>
      </c>
      <c r="B618" s="17">
        <v>43307</v>
      </c>
      <c r="C618" t="s">
        <v>95</v>
      </c>
      <c r="D618" t="s">
        <v>109</v>
      </c>
      <c r="E618">
        <v>22</v>
      </c>
      <c r="F618">
        <v>80</v>
      </c>
      <c r="G618">
        <v>1760</v>
      </c>
      <c r="H618">
        <v>0.1</v>
      </c>
      <c r="I618" t="s">
        <v>110</v>
      </c>
      <c r="J618">
        <v>176</v>
      </c>
      <c r="Q618" s="21"/>
    </row>
    <row r="619" spans="1:17" x14ac:dyDescent="0.3">
      <c r="A619" t="s">
        <v>1749</v>
      </c>
      <c r="B619" s="17">
        <v>43307</v>
      </c>
      <c r="C619" t="s">
        <v>101</v>
      </c>
      <c r="D619" t="s">
        <v>109</v>
      </c>
      <c r="E619">
        <v>20</v>
      </c>
      <c r="F619">
        <v>230</v>
      </c>
      <c r="G619">
        <v>4600</v>
      </c>
      <c r="H619">
        <v>0.09</v>
      </c>
      <c r="I619" t="s">
        <v>112</v>
      </c>
      <c r="J619">
        <v>414</v>
      </c>
      <c r="Q619" s="22"/>
    </row>
    <row r="620" spans="1:17" x14ac:dyDescent="0.3">
      <c r="A620" t="s">
        <v>1750</v>
      </c>
      <c r="B620" s="17">
        <v>43307</v>
      </c>
      <c r="C620" t="s">
        <v>101</v>
      </c>
      <c r="D620" t="s">
        <v>104</v>
      </c>
      <c r="E620">
        <v>12</v>
      </c>
      <c r="F620">
        <v>230</v>
      </c>
      <c r="G620">
        <v>2760</v>
      </c>
      <c r="H620">
        <v>0.03</v>
      </c>
      <c r="I620" t="s">
        <v>113</v>
      </c>
      <c r="J620">
        <v>82.8</v>
      </c>
      <c r="Q620" s="21"/>
    </row>
    <row r="621" spans="1:17" x14ac:dyDescent="0.3">
      <c r="A621" t="s">
        <v>1751</v>
      </c>
      <c r="B621" s="17">
        <v>43308</v>
      </c>
      <c r="C621" t="s">
        <v>95</v>
      </c>
      <c r="D621" t="s">
        <v>96</v>
      </c>
      <c r="E621">
        <v>21</v>
      </c>
      <c r="F621">
        <v>80</v>
      </c>
      <c r="G621">
        <v>1680</v>
      </c>
      <c r="H621">
        <v>0.04</v>
      </c>
      <c r="I621" t="s">
        <v>114</v>
      </c>
      <c r="J621">
        <v>67.2</v>
      </c>
      <c r="Q621" s="22"/>
    </row>
    <row r="622" spans="1:17" x14ac:dyDescent="0.3">
      <c r="A622" t="s">
        <v>1752</v>
      </c>
      <c r="B622" s="17">
        <v>43308</v>
      </c>
      <c r="C622" t="s">
        <v>98</v>
      </c>
      <c r="D622" t="s">
        <v>99</v>
      </c>
      <c r="E622">
        <v>15</v>
      </c>
      <c r="F622">
        <v>40</v>
      </c>
      <c r="G622">
        <v>600</v>
      </c>
      <c r="H622">
        <v>0.04</v>
      </c>
      <c r="I622" t="s">
        <v>110</v>
      </c>
      <c r="J622">
        <v>24</v>
      </c>
      <c r="Q622" s="21"/>
    </row>
    <row r="623" spans="1:17" x14ac:dyDescent="0.3">
      <c r="A623" t="s">
        <v>1753</v>
      </c>
      <c r="B623" s="17">
        <v>43308</v>
      </c>
      <c r="C623" t="s">
        <v>95</v>
      </c>
      <c r="D623" t="s">
        <v>106</v>
      </c>
      <c r="E623">
        <v>16</v>
      </c>
      <c r="F623">
        <v>80</v>
      </c>
      <c r="G623">
        <v>1280</v>
      </c>
      <c r="H623">
        <v>0.1</v>
      </c>
      <c r="I623" t="s">
        <v>112</v>
      </c>
      <c r="J623">
        <v>128</v>
      </c>
      <c r="Q623" s="22"/>
    </row>
    <row r="624" spans="1:17" x14ac:dyDescent="0.3">
      <c r="A624" t="s">
        <v>1754</v>
      </c>
      <c r="B624" s="17">
        <v>43308</v>
      </c>
      <c r="C624" t="s">
        <v>101</v>
      </c>
      <c r="D624" t="s">
        <v>109</v>
      </c>
      <c r="E624">
        <v>17</v>
      </c>
      <c r="F624">
        <v>230</v>
      </c>
      <c r="G624">
        <v>3910</v>
      </c>
      <c r="H624">
        <v>0.11</v>
      </c>
      <c r="I624" t="s">
        <v>113</v>
      </c>
      <c r="J624">
        <v>430.1</v>
      </c>
      <c r="Q624" s="21"/>
    </row>
    <row r="625" spans="1:17" x14ac:dyDescent="0.3">
      <c r="A625" t="s">
        <v>1755</v>
      </c>
      <c r="B625" s="17">
        <v>43308</v>
      </c>
      <c r="C625" t="s">
        <v>101</v>
      </c>
      <c r="D625" t="s">
        <v>109</v>
      </c>
      <c r="E625">
        <v>5</v>
      </c>
      <c r="F625">
        <v>230</v>
      </c>
      <c r="G625">
        <v>1150</v>
      </c>
      <c r="H625">
        <v>0.12</v>
      </c>
      <c r="I625" t="s">
        <v>114</v>
      </c>
      <c r="J625">
        <v>138</v>
      </c>
      <c r="Q625" s="22"/>
    </row>
    <row r="626" spans="1:17" x14ac:dyDescent="0.3">
      <c r="A626" t="s">
        <v>1756</v>
      </c>
      <c r="B626" s="17">
        <v>43308</v>
      </c>
      <c r="C626" t="s">
        <v>108</v>
      </c>
      <c r="D626" t="s">
        <v>96</v>
      </c>
      <c r="E626">
        <v>20</v>
      </c>
      <c r="F626">
        <v>16</v>
      </c>
      <c r="G626">
        <v>320</v>
      </c>
      <c r="H626">
        <v>0.01</v>
      </c>
      <c r="I626" t="s">
        <v>110</v>
      </c>
      <c r="J626">
        <v>3.2</v>
      </c>
      <c r="Q626" s="21"/>
    </row>
    <row r="627" spans="1:17" x14ac:dyDescent="0.3">
      <c r="A627" t="s">
        <v>1757</v>
      </c>
      <c r="B627" s="17">
        <v>43308</v>
      </c>
      <c r="C627" t="s">
        <v>101</v>
      </c>
      <c r="D627" t="s">
        <v>96</v>
      </c>
      <c r="E627">
        <v>5</v>
      </c>
      <c r="F627">
        <v>230</v>
      </c>
      <c r="G627">
        <v>1150</v>
      </c>
      <c r="H627">
        <v>0.1</v>
      </c>
      <c r="I627" t="s">
        <v>112</v>
      </c>
      <c r="J627">
        <v>115</v>
      </c>
      <c r="Q627" s="22"/>
    </row>
    <row r="628" spans="1:17" x14ac:dyDescent="0.3">
      <c r="A628" t="s">
        <v>1758</v>
      </c>
      <c r="B628" s="17">
        <v>43308</v>
      </c>
      <c r="C628" t="s">
        <v>98</v>
      </c>
      <c r="D628" t="s">
        <v>99</v>
      </c>
      <c r="E628">
        <v>8</v>
      </c>
      <c r="F628">
        <v>40</v>
      </c>
      <c r="G628">
        <v>320</v>
      </c>
      <c r="H628">
        <v>0.09</v>
      </c>
      <c r="I628" t="s">
        <v>113</v>
      </c>
      <c r="J628">
        <v>28.799999999999997</v>
      </c>
      <c r="Q628" s="21"/>
    </row>
    <row r="629" spans="1:17" x14ac:dyDescent="0.3">
      <c r="A629" t="s">
        <v>1759</v>
      </c>
      <c r="B629" s="17">
        <v>43308</v>
      </c>
      <c r="C629" t="s">
        <v>108</v>
      </c>
      <c r="D629" t="s">
        <v>96</v>
      </c>
      <c r="E629">
        <v>7</v>
      </c>
      <c r="F629">
        <v>16</v>
      </c>
      <c r="G629">
        <v>112</v>
      </c>
      <c r="H629">
        <v>0.02</v>
      </c>
      <c r="I629" t="s">
        <v>114</v>
      </c>
      <c r="J629">
        <v>2.2400000000000002</v>
      </c>
      <c r="Q629" s="22"/>
    </row>
    <row r="630" spans="1:17" x14ac:dyDescent="0.3">
      <c r="A630" t="s">
        <v>1760</v>
      </c>
      <c r="B630" s="17">
        <v>43308</v>
      </c>
      <c r="C630" t="s">
        <v>111</v>
      </c>
      <c r="D630" t="s">
        <v>106</v>
      </c>
      <c r="E630">
        <v>15</v>
      </c>
      <c r="F630">
        <v>150</v>
      </c>
      <c r="G630">
        <v>2250</v>
      </c>
      <c r="H630">
        <v>0.08</v>
      </c>
      <c r="I630" t="s">
        <v>110</v>
      </c>
      <c r="J630">
        <v>180</v>
      </c>
      <c r="Q630" s="21"/>
    </row>
    <row r="631" spans="1:17" x14ac:dyDescent="0.3">
      <c r="A631" t="s">
        <v>1761</v>
      </c>
      <c r="B631" s="17">
        <v>43308</v>
      </c>
      <c r="C631" t="s">
        <v>101</v>
      </c>
      <c r="D631" t="s">
        <v>109</v>
      </c>
      <c r="E631">
        <v>20</v>
      </c>
      <c r="F631">
        <v>230</v>
      </c>
      <c r="G631">
        <v>4600</v>
      </c>
      <c r="H631">
        <v>0.11</v>
      </c>
      <c r="I631" t="s">
        <v>112</v>
      </c>
      <c r="J631">
        <v>506</v>
      </c>
      <c r="Q631" s="22"/>
    </row>
    <row r="632" spans="1:17" x14ac:dyDescent="0.3">
      <c r="A632" t="s">
        <v>1762</v>
      </c>
      <c r="B632" s="17">
        <v>43308</v>
      </c>
      <c r="C632" t="s">
        <v>108</v>
      </c>
      <c r="D632" t="s">
        <v>99</v>
      </c>
      <c r="E632">
        <v>4</v>
      </c>
      <c r="F632">
        <v>16</v>
      </c>
      <c r="G632">
        <v>64</v>
      </c>
      <c r="H632">
        <v>0.09</v>
      </c>
      <c r="I632" t="s">
        <v>113</v>
      </c>
      <c r="J632">
        <v>5.76</v>
      </c>
      <c r="Q632" s="21"/>
    </row>
    <row r="633" spans="1:17" x14ac:dyDescent="0.3">
      <c r="A633" t="s">
        <v>1763</v>
      </c>
      <c r="B633" s="17">
        <v>43308</v>
      </c>
      <c r="C633" t="s">
        <v>98</v>
      </c>
      <c r="D633" t="s">
        <v>106</v>
      </c>
      <c r="E633">
        <v>11</v>
      </c>
      <c r="F633">
        <v>40</v>
      </c>
      <c r="G633">
        <v>440</v>
      </c>
      <c r="H633">
        <v>0.09</v>
      </c>
      <c r="I633" t="s">
        <v>114</v>
      </c>
      <c r="J633">
        <v>39.6</v>
      </c>
      <c r="Q633" s="22"/>
    </row>
    <row r="634" spans="1:17" x14ac:dyDescent="0.3">
      <c r="A634" t="s">
        <v>1764</v>
      </c>
      <c r="B634" s="17">
        <v>43308</v>
      </c>
      <c r="C634" t="s">
        <v>111</v>
      </c>
      <c r="D634" t="s">
        <v>104</v>
      </c>
      <c r="E634">
        <v>15</v>
      </c>
      <c r="F634">
        <v>150</v>
      </c>
      <c r="G634">
        <v>2250</v>
      </c>
      <c r="H634">
        <v>0.05</v>
      </c>
      <c r="I634" t="s">
        <v>110</v>
      </c>
      <c r="J634">
        <v>112.5</v>
      </c>
      <c r="Q634" s="21"/>
    </row>
    <row r="635" spans="1:17" x14ac:dyDescent="0.3">
      <c r="A635" t="s">
        <v>1765</v>
      </c>
      <c r="B635" s="17">
        <v>43308</v>
      </c>
      <c r="C635" t="s">
        <v>101</v>
      </c>
      <c r="D635" t="s">
        <v>104</v>
      </c>
      <c r="E635">
        <v>5</v>
      </c>
      <c r="F635">
        <v>230</v>
      </c>
      <c r="G635">
        <v>1150</v>
      </c>
      <c r="H635">
        <v>0.01</v>
      </c>
      <c r="I635" t="s">
        <v>112</v>
      </c>
      <c r="J635">
        <v>11.5</v>
      </c>
      <c r="Q635" s="22"/>
    </row>
    <row r="636" spans="1:17" x14ac:dyDescent="0.3">
      <c r="A636" t="s">
        <v>1766</v>
      </c>
      <c r="B636" s="17">
        <v>43308</v>
      </c>
      <c r="C636" t="s">
        <v>101</v>
      </c>
      <c r="D636" t="s">
        <v>104</v>
      </c>
      <c r="E636">
        <v>14</v>
      </c>
      <c r="F636">
        <v>230</v>
      </c>
      <c r="G636">
        <v>3220</v>
      </c>
      <c r="H636">
        <v>0.03</v>
      </c>
      <c r="I636" t="s">
        <v>113</v>
      </c>
      <c r="J636">
        <v>96.6</v>
      </c>
      <c r="Q636" s="21"/>
    </row>
    <row r="637" spans="1:17" x14ac:dyDescent="0.3">
      <c r="A637" t="s">
        <v>1767</v>
      </c>
      <c r="B637" s="17">
        <v>43308</v>
      </c>
      <c r="C637" t="s">
        <v>98</v>
      </c>
      <c r="D637" t="s">
        <v>109</v>
      </c>
      <c r="E637">
        <v>23</v>
      </c>
      <c r="F637">
        <v>40</v>
      </c>
      <c r="G637">
        <v>920</v>
      </c>
      <c r="H637">
        <v>0.05</v>
      </c>
      <c r="I637" t="s">
        <v>114</v>
      </c>
      <c r="J637">
        <v>46</v>
      </c>
      <c r="Q637" s="22"/>
    </row>
    <row r="638" spans="1:17" x14ac:dyDescent="0.3">
      <c r="A638" t="s">
        <v>1768</v>
      </c>
      <c r="B638" s="17">
        <v>43308</v>
      </c>
      <c r="C638" t="s">
        <v>95</v>
      </c>
      <c r="D638" t="s">
        <v>106</v>
      </c>
      <c r="E638">
        <v>22</v>
      </c>
      <c r="F638">
        <v>80</v>
      </c>
      <c r="G638">
        <v>1760</v>
      </c>
      <c r="H638">
        <v>0.03</v>
      </c>
      <c r="I638" t="s">
        <v>110</v>
      </c>
      <c r="J638">
        <v>52.8</v>
      </c>
      <c r="Q638" s="21"/>
    </row>
    <row r="639" spans="1:17" x14ac:dyDescent="0.3">
      <c r="A639" t="s">
        <v>1769</v>
      </c>
      <c r="B639" s="17">
        <v>43309</v>
      </c>
      <c r="C639" t="s">
        <v>101</v>
      </c>
      <c r="D639" t="s">
        <v>104</v>
      </c>
      <c r="E639">
        <v>20</v>
      </c>
      <c r="F639">
        <v>230</v>
      </c>
      <c r="G639">
        <v>4600</v>
      </c>
      <c r="H639">
        <v>0.06</v>
      </c>
      <c r="I639" t="s">
        <v>112</v>
      </c>
      <c r="J639">
        <v>276</v>
      </c>
      <c r="Q639" s="22"/>
    </row>
    <row r="640" spans="1:17" x14ac:dyDescent="0.3">
      <c r="A640" t="s">
        <v>1770</v>
      </c>
      <c r="B640" s="17">
        <v>43309</v>
      </c>
      <c r="C640" t="s">
        <v>101</v>
      </c>
      <c r="D640" t="s">
        <v>99</v>
      </c>
      <c r="E640">
        <v>15</v>
      </c>
      <c r="F640">
        <v>230</v>
      </c>
      <c r="G640">
        <v>3450</v>
      </c>
      <c r="H640">
        <v>0.09</v>
      </c>
      <c r="I640" t="s">
        <v>113</v>
      </c>
      <c r="J640">
        <v>310.5</v>
      </c>
      <c r="Q640" s="21"/>
    </row>
    <row r="641" spans="1:17" x14ac:dyDescent="0.3">
      <c r="A641" t="s">
        <v>1771</v>
      </c>
      <c r="B641" s="17">
        <v>43309</v>
      </c>
      <c r="C641" t="s">
        <v>111</v>
      </c>
      <c r="D641" t="s">
        <v>104</v>
      </c>
      <c r="E641">
        <v>18</v>
      </c>
      <c r="F641">
        <v>150</v>
      </c>
      <c r="G641">
        <v>2700</v>
      </c>
      <c r="H641">
        <v>0.06</v>
      </c>
      <c r="I641" t="s">
        <v>114</v>
      </c>
      <c r="J641">
        <v>162</v>
      </c>
      <c r="Q641" s="22"/>
    </row>
    <row r="642" spans="1:17" x14ac:dyDescent="0.3">
      <c r="A642" t="s">
        <v>1772</v>
      </c>
      <c r="B642" s="17">
        <v>43309</v>
      </c>
      <c r="C642" t="s">
        <v>101</v>
      </c>
      <c r="D642" t="s">
        <v>96</v>
      </c>
      <c r="E642">
        <v>3</v>
      </c>
      <c r="F642">
        <v>230</v>
      </c>
      <c r="G642">
        <v>690</v>
      </c>
      <c r="H642">
        <v>0.11</v>
      </c>
      <c r="I642" t="s">
        <v>110</v>
      </c>
      <c r="J642">
        <v>75.900000000000006</v>
      </c>
      <c r="Q642" s="21"/>
    </row>
    <row r="643" spans="1:17" x14ac:dyDescent="0.3">
      <c r="A643" t="s">
        <v>1773</v>
      </c>
      <c r="B643" s="17">
        <v>43309</v>
      </c>
      <c r="C643" t="s">
        <v>111</v>
      </c>
      <c r="D643" t="s">
        <v>109</v>
      </c>
      <c r="E643">
        <v>11</v>
      </c>
      <c r="F643">
        <v>150</v>
      </c>
      <c r="G643">
        <v>1650</v>
      </c>
      <c r="H643">
        <v>0.09</v>
      </c>
      <c r="I643" t="s">
        <v>112</v>
      </c>
      <c r="J643">
        <v>148.5</v>
      </c>
      <c r="Q643" s="22"/>
    </row>
    <row r="644" spans="1:17" x14ac:dyDescent="0.3">
      <c r="A644" t="s">
        <v>1774</v>
      </c>
      <c r="B644" s="17">
        <v>43309</v>
      </c>
      <c r="C644" t="s">
        <v>101</v>
      </c>
      <c r="D644" t="s">
        <v>96</v>
      </c>
      <c r="E644">
        <v>11</v>
      </c>
      <c r="F644">
        <v>230</v>
      </c>
      <c r="G644">
        <v>2530</v>
      </c>
      <c r="H644">
        <v>0.02</v>
      </c>
      <c r="I644" t="s">
        <v>113</v>
      </c>
      <c r="J644">
        <v>50.6</v>
      </c>
      <c r="Q644" s="21"/>
    </row>
    <row r="645" spans="1:17" x14ac:dyDescent="0.3">
      <c r="A645" t="s">
        <v>1775</v>
      </c>
      <c r="B645" s="17">
        <v>43309</v>
      </c>
      <c r="C645" t="s">
        <v>101</v>
      </c>
      <c r="D645" t="s">
        <v>109</v>
      </c>
      <c r="E645">
        <v>13</v>
      </c>
      <c r="F645">
        <v>230</v>
      </c>
      <c r="G645">
        <v>2990</v>
      </c>
      <c r="H645">
        <v>0.06</v>
      </c>
      <c r="I645" t="s">
        <v>114</v>
      </c>
      <c r="J645">
        <v>179.4</v>
      </c>
      <c r="Q645" s="22"/>
    </row>
    <row r="646" spans="1:17" x14ac:dyDescent="0.3">
      <c r="A646" t="s">
        <v>1776</v>
      </c>
      <c r="B646" s="17">
        <v>43310</v>
      </c>
      <c r="C646" t="s">
        <v>95</v>
      </c>
      <c r="D646" t="s">
        <v>106</v>
      </c>
      <c r="E646">
        <v>11</v>
      </c>
      <c r="F646">
        <v>80</v>
      </c>
      <c r="G646">
        <v>880</v>
      </c>
      <c r="H646">
        <v>0.01</v>
      </c>
      <c r="I646" t="s">
        <v>110</v>
      </c>
      <c r="J646">
        <v>8.8000000000000007</v>
      </c>
      <c r="Q646" s="21"/>
    </row>
    <row r="647" spans="1:17" x14ac:dyDescent="0.3">
      <c r="A647" t="s">
        <v>1777</v>
      </c>
      <c r="B647" s="17">
        <v>43310</v>
      </c>
      <c r="C647" t="s">
        <v>95</v>
      </c>
      <c r="D647" t="s">
        <v>109</v>
      </c>
      <c r="E647">
        <v>17</v>
      </c>
      <c r="F647">
        <v>80</v>
      </c>
      <c r="G647">
        <v>1360</v>
      </c>
      <c r="H647">
        <v>7.0000000000000007E-2</v>
      </c>
      <c r="I647" t="s">
        <v>112</v>
      </c>
      <c r="J647">
        <v>95.2</v>
      </c>
      <c r="Q647" s="22"/>
    </row>
    <row r="648" spans="1:17" x14ac:dyDescent="0.3">
      <c r="A648" t="s">
        <v>1778</v>
      </c>
      <c r="B648" s="17">
        <v>43310</v>
      </c>
      <c r="C648" t="s">
        <v>111</v>
      </c>
      <c r="D648" t="s">
        <v>109</v>
      </c>
      <c r="E648">
        <v>15</v>
      </c>
      <c r="F648">
        <v>150</v>
      </c>
      <c r="G648">
        <v>2250</v>
      </c>
      <c r="H648">
        <v>7.0000000000000007E-2</v>
      </c>
      <c r="I648" t="s">
        <v>113</v>
      </c>
      <c r="J648">
        <v>157.50000000000003</v>
      </c>
      <c r="Q648" s="21"/>
    </row>
    <row r="649" spans="1:17" x14ac:dyDescent="0.3">
      <c r="A649" t="s">
        <v>1779</v>
      </c>
      <c r="B649" s="17">
        <v>43310</v>
      </c>
      <c r="C649" t="s">
        <v>108</v>
      </c>
      <c r="D649" t="s">
        <v>109</v>
      </c>
      <c r="E649">
        <v>14</v>
      </c>
      <c r="F649">
        <v>16</v>
      </c>
      <c r="G649">
        <v>224</v>
      </c>
      <c r="H649">
        <v>0.06</v>
      </c>
      <c r="I649" t="s">
        <v>114</v>
      </c>
      <c r="J649">
        <v>13.44</v>
      </c>
      <c r="Q649" s="22"/>
    </row>
    <row r="650" spans="1:17" x14ac:dyDescent="0.3">
      <c r="A650" t="s">
        <v>1780</v>
      </c>
      <c r="B650" s="17">
        <v>43310</v>
      </c>
      <c r="C650" t="s">
        <v>108</v>
      </c>
      <c r="D650" t="s">
        <v>99</v>
      </c>
      <c r="E650">
        <v>4</v>
      </c>
      <c r="F650">
        <v>16</v>
      </c>
      <c r="G650">
        <v>64</v>
      </c>
      <c r="H650">
        <v>7.0000000000000007E-2</v>
      </c>
      <c r="I650" t="s">
        <v>110</v>
      </c>
      <c r="J650">
        <v>4.4800000000000004</v>
      </c>
      <c r="Q650" s="21"/>
    </row>
    <row r="651" spans="1:17" x14ac:dyDescent="0.3">
      <c r="A651" t="s">
        <v>1781</v>
      </c>
      <c r="B651" s="17">
        <v>43310</v>
      </c>
      <c r="C651" t="s">
        <v>111</v>
      </c>
      <c r="D651" t="s">
        <v>109</v>
      </c>
      <c r="E651">
        <v>23</v>
      </c>
      <c r="F651">
        <v>150</v>
      </c>
      <c r="G651">
        <v>3450</v>
      </c>
      <c r="H651">
        <v>0.08</v>
      </c>
      <c r="I651" t="s">
        <v>112</v>
      </c>
      <c r="J651">
        <v>276</v>
      </c>
      <c r="Q651" s="22"/>
    </row>
    <row r="652" spans="1:17" x14ac:dyDescent="0.3">
      <c r="A652" t="s">
        <v>1782</v>
      </c>
      <c r="B652" s="17">
        <v>43310</v>
      </c>
      <c r="C652" t="s">
        <v>95</v>
      </c>
      <c r="D652" t="s">
        <v>104</v>
      </c>
      <c r="E652">
        <v>10</v>
      </c>
      <c r="F652">
        <v>80</v>
      </c>
      <c r="G652">
        <v>800</v>
      </c>
      <c r="H652">
        <v>0.11</v>
      </c>
      <c r="I652" t="s">
        <v>113</v>
      </c>
      <c r="J652">
        <v>88</v>
      </c>
      <c r="Q652" s="21"/>
    </row>
    <row r="653" spans="1:17" x14ac:dyDescent="0.3">
      <c r="A653" t="s">
        <v>1783</v>
      </c>
      <c r="B653" s="17">
        <v>43310</v>
      </c>
      <c r="C653" t="s">
        <v>101</v>
      </c>
      <c r="D653" t="s">
        <v>104</v>
      </c>
      <c r="E653">
        <v>7</v>
      </c>
      <c r="F653">
        <v>230</v>
      </c>
      <c r="G653">
        <v>1610</v>
      </c>
      <c r="H653">
        <v>0.01</v>
      </c>
      <c r="I653" t="s">
        <v>114</v>
      </c>
      <c r="J653">
        <v>16.100000000000001</v>
      </c>
      <c r="Q653" s="22"/>
    </row>
    <row r="654" spans="1:17" x14ac:dyDescent="0.3">
      <c r="A654" t="s">
        <v>1784</v>
      </c>
      <c r="B654" s="17">
        <v>43310</v>
      </c>
      <c r="C654" t="s">
        <v>101</v>
      </c>
      <c r="D654" t="s">
        <v>96</v>
      </c>
      <c r="E654">
        <v>16</v>
      </c>
      <c r="F654">
        <v>230</v>
      </c>
      <c r="G654">
        <v>3680</v>
      </c>
      <c r="H654">
        <v>7.0000000000000007E-2</v>
      </c>
      <c r="I654" t="s">
        <v>110</v>
      </c>
      <c r="J654">
        <v>257.60000000000002</v>
      </c>
      <c r="Q654" s="21"/>
    </row>
    <row r="655" spans="1:17" x14ac:dyDescent="0.3">
      <c r="A655" t="s">
        <v>1785</v>
      </c>
      <c r="B655" s="17">
        <v>43310</v>
      </c>
      <c r="C655" t="s">
        <v>108</v>
      </c>
      <c r="D655" t="s">
        <v>109</v>
      </c>
      <c r="E655">
        <v>17</v>
      </c>
      <c r="F655">
        <v>16</v>
      </c>
      <c r="G655">
        <v>272</v>
      </c>
      <c r="H655">
        <v>0.08</v>
      </c>
      <c r="I655" t="s">
        <v>112</v>
      </c>
      <c r="J655">
        <v>21.76</v>
      </c>
      <c r="Q655" s="22"/>
    </row>
    <row r="656" spans="1:17" x14ac:dyDescent="0.3">
      <c r="A656" t="s">
        <v>1786</v>
      </c>
      <c r="B656" s="17">
        <v>43311</v>
      </c>
      <c r="C656" t="s">
        <v>95</v>
      </c>
      <c r="D656" t="s">
        <v>109</v>
      </c>
      <c r="E656">
        <v>6</v>
      </c>
      <c r="F656">
        <v>80</v>
      </c>
      <c r="G656">
        <v>480</v>
      </c>
      <c r="H656">
        <v>0.09</v>
      </c>
      <c r="I656" t="s">
        <v>113</v>
      </c>
      <c r="J656">
        <v>43.199999999999996</v>
      </c>
      <c r="Q656" s="21"/>
    </row>
    <row r="657" spans="1:17" x14ac:dyDescent="0.3">
      <c r="A657" t="s">
        <v>1787</v>
      </c>
      <c r="B657" s="17">
        <v>43311</v>
      </c>
      <c r="C657" t="s">
        <v>111</v>
      </c>
      <c r="D657" t="s">
        <v>104</v>
      </c>
      <c r="E657">
        <v>22</v>
      </c>
      <c r="F657">
        <v>150</v>
      </c>
      <c r="G657">
        <v>3300</v>
      </c>
      <c r="H657">
        <v>0.04</v>
      </c>
      <c r="I657" t="s">
        <v>114</v>
      </c>
      <c r="J657">
        <v>132</v>
      </c>
      <c r="Q657" s="22"/>
    </row>
    <row r="658" spans="1:17" x14ac:dyDescent="0.3">
      <c r="A658" t="s">
        <v>1788</v>
      </c>
      <c r="B658" s="17">
        <v>43311</v>
      </c>
      <c r="C658" t="s">
        <v>98</v>
      </c>
      <c r="D658" t="s">
        <v>109</v>
      </c>
      <c r="E658">
        <v>20</v>
      </c>
      <c r="F658">
        <v>40</v>
      </c>
      <c r="G658">
        <v>800</v>
      </c>
      <c r="H658">
        <v>0.03</v>
      </c>
      <c r="I658" t="s">
        <v>110</v>
      </c>
      <c r="J658">
        <v>24</v>
      </c>
      <c r="Q658" s="21"/>
    </row>
    <row r="659" spans="1:17" x14ac:dyDescent="0.3">
      <c r="A659" t="s">
        <v>1789</v>
      </c>
      <c r="B659" s="17">
        <v>43311</v>
      </c>
      <c r="C659" t="s">
        <v>111</v>
      </c>
      <c r="D659" t="s">
        <v>99</v>
      </c>
      <c r="E659">
        <v>16</v>
      </c>
      <c r="F659">
        <v>150</v>
      </c>
      <c r="G659">
        <v>2400</v>
      </c>
      <c r="H659">
        <v>0.08</v>
      </c>
      <c r="I659" t="s">
        <v>112</v>
      </c>
      <c r="J659">
        <v>192</v>
      </c>
      <c r="Q659" s="22"/>
    </row>
    <row r="660" spans="1:17" x14ac:dyDescent="0.3">
      <c r="A660" t="s">
        <v>1790</v>
      </c>
      <c r="B660" s="17">
        <v>43311</v>
      </c>
      <c r="C660" t="s">
        <v>95</v>
      </c>
      <c r="D660" t="s">
        <v>99</v>
      </c>
      <c r="E660">
        <v>5</v>
      </c>
      <c r="F660">
        <v>80</v>
      </c>
      <c r="G660">
        <v>400</v>
      </c>
      <c r="H660">
        <v>7.0000000000000007E-2</v>
      </c>
      <c r="I660" t="s">
        <v>113</v>
      </c>
      <c r="J660">
        <v>28.000000000000004</v>
      </c>
      <c r="Q660" s="21"/>
    </row>
    <row r="661" spans="1:17" x14ac:dyDescent="0.3">
      <c r="A661" t="s">
        <v>1791</v>
      </c>
      <c r="B661" s="17">
        <v>43311</v>
      </c>
      <c r="C661" t="s">
        <v>111</v>
      </c>
      <c r="D661" t="s">
        <v>106</v>
      </c>
      <c r="E661">
        <v>6</v>
      </c>
      <c r="F661">
        <v>150</v>
      </c>
      <c r="G661">
        <v>900</v>
      </c>
      <c r="H661">
        <v>0.03</v>
      </c>
      <c r="I661" t="s">
        <v>114</v>
      </c>
      <c r="J661">
        <v>27</v>
      </c>
      <c r="Q661" s="22"/>
    </row>
    <row r="662" spans="1:17" x14ac:dyDescent="0.3">
      <c r="A662" t="s">
        <v>1792</v>
      </c>
      <c r="B662" s="17">
        <v>43312</v>
      </c>
      <c r="C662" t="s">
        <v>95</v>
      </c>
      <c r="D662" t="s">
        <v>99</v>
      </c>
      <c r="E662">
        <v>9</v>
      </c>
      <c r="F662">
        <v>80</v>
      </c>
      <c r="G662">
        <v>720</v>
      </c>
      <c r="H662">
        <v>0.03</v>
      </c>
      <c r="I662" t="s">
        <v>110</v>
      </c>
      <c r="J662">
        <v>21.599999999999998</v>
      </c>
      <c r="Q662" s="21"/>
    </row>
    <row r="663" spans="1:17" x14ac:dyDescent="0.3">
      <c r="A663" t="s">
        <v>1793</v>
      </c>
      <c r="B663" s="17">
        <v>43312</v>
      </c>
      <c r="C663" t="s">
        <v>95</v>
      </c>
      <c r="D663" t="s">
        <v>96</v>
      </c>
      <c r="E663">
        <v>8</v>
      </c>
      <c r="F663">
        <v>80</v>
      </c>
      <c r="G663">
        <v>640</v>
      </c>
      <c r="H663">
        <v>0.08</v>
      </c>
      <c r="I663" t="s">
        <v>112</v>
      </c>
      <c r="J663">
        <v>51.2</v>
      </c>
      <c r="Q663" s="22"/>
    </row>
    <row r="664" spans="1:17" x14ac:dyDescent="0.3">
      <c r="A664" t="s">
        <v>1794</v>
      </c>
      <c r="B664" s="17">
        <v>43312</v>
      </c>
      <c r="C664" t="s">
        <v>101</v>
      </c>
      <c r="D664" t="s">
        <v>106</v>
      </c>
      <c r="E664">
        <v>8</v>
      </c>
      <c r="F664">
        <v>230</v>
      </c>
      <c r="G664">
        <v>1840</v>
      </c>
      <c r="H664">
        <v>0.01</v>
      </c>
      <c r="I664" t="s">
        <v>113</v>
      </c>
      <c r="J664">
        <v>18.400000000000002</v>
      </c>
      <c r="Q664" s="21"/>
    </row>
    <row r="665" spans="1:17" x14ac:dyDescent="0.3">
      <c r="A665" t="s">
        <v>1795</v>
      </c>
      <c r="B665" s="17">
        <v>43312</v>
      </c>
      <c r="C665" t="s">
        <v>108</v>
      </c>
      <c r="D665" t="s">
        <v>109</v>
      </c>
      <c r="E665">
        <v>12</v>
      </c>
      <c r="F665">
        <v>16</v>
      </c>
      <c r="G665">
        <v>192</v>
      </c>
      <c r="H665">
        <v>0.04</v>
      </c>
      <c r="I665" t="s">
        <v>114</v>
      </c>
      <c r="J665">
        <v>7.68</v>
      </c>
      <c r="Q665" s="22"/>
    </row>
    <row r="666" spans="1:17" x14ac:dyDescent="0.3">
      <c r="A666" t="s">
        <v>1796</v>
      </c>
      <c r="B666" s="17">
        <v>43312</v>
      </c>
      <c r="C666" t="s">
        <v>108</v>
      </c>
      <c r="D666" t="s">
        <v>106</v>
      </c>
      <c r="E666">
        <v>18</v>
      </c>
      <c r="F666">
        <v>16</v>
      </c>
      <c r="G666">
        <v>288</v>
      </c>
      <c r="H666">
        <v>0.04</v>
      </c>
      <c r="I666" t="s">
        <v>110</v>
      </c>
      <c r="J666">
        <v>11.52</v>
      </c>
      <c r="Q666" s="21"/>
    </row>
    <row r="667" spans="1:17" x14ac:dyDescent="0.3">
      <c r="A667" t="s">
        <v>1797</v>
      </c>
      <c r="B667" s="17">
        <v>43282</v>
      </c>
      <c r="C667" t="s">
        <v>108</v>
      </c>
      <c r="D667" t="s">
        <v>106</v>
      </c>
      <c r="E667">
        <v>10</v>
      </c>
      <c r="F667">
        <v>16</v>
      </c>
      <c r="G667">
        <v>160</v>
      </c>
      <c r="H667">
        <v>0.01</v>
      </c>
      <c r="I667" t="s">
        <v>112</v>
      </c>
      <c r="J667">
        <v>1.6</v>
      </c>
      <c r="Q667" s="22"/>
    </row>
    <row r="668" spans="1:17" x14ac:dyDescent="0.3">
      <c r="A668" t="s">
        <v>1798</v>
      </c>
      <c r="B668" s="17">
        <v>43282</v>
      </c>
      <c r="C668" t="s">
        <v>108</v>
      </c>
      <c r="D668" t="s">
        <v>106</v>
      </c>
      <c r="E668">
        <v>14</v>
      </c>
      <c r="F668">
        <v>16</v>
      </c>
      <c r="G668">
        <v>224</v>
      </c>
      <c r="H668">
        <v>0.12</v>
      </c>
      <c r="I668" t="s">
        <v>113</v>
      </c>
      <c r="J668">
        <v>26.88</v>
      </c>
      <c r="Q668" s="21"/>
    </row>
    <row r="669" spans="1:17" x14ac:dyDescent="0.3">
      <c r="A669" t="s">
        <v>1799</v>
      </c>
      <c r="B669" s="17">
        <v>43282</v>
      </c>
      <c r="C669" t="s">
        <v>98</v>
      </c>
      <c r="D669" t="s">
        <v>104</v>
      </c>
      <c r="E669">
        <v>6</v>
      </c>
      <c r="F669">
        <v>40</v>
      </c>
      <c r="G669">
        <v>240</v>
      </c>
      <c r="H669">
        <v>0.06</v>
      </c>
      <c r="I669" t="s">
        <v>114</v>
      </c>
      <c r="J669">
        <v>14.399999999999999</v>
      </c>
      <c r="Q669" s="22"/>
    </row>
    <row r="670" spans="1:17" x14ac:dyDescent="0.3">
      <c r="A670" t="s">
        <v>1800</v>
      </c>
      <c r="B670" s="17">
        <v>43282</v>
      </c>
      <c r="C670" t="s">
        <v>98</v>
      </c>
      <c r="D670" t="s">
        <v>106</v>
      </c>
      <c r="E670">
        <v>13</v>
      </c>
      <c r="F670">
        <v>40</v>
      </c>
      <c r="G670">
        <v>520</v>
      </c>
      <c r="H670">
        <v>0.09</v>
      </c>
      <c r="I670" t="s">
        <v>110</v>
      </c>
      <c r="J670">
        <v>46.8</v>
      </c>
      <c r="Q670" s="21"/>
    </row>
    <row r="671" spans="1:17" x14ac:dyDescent="0.3">
      <c r="A671" t="s">
        <v>1801</v>
      </c>
      <c r="B671" s="17">
        <v>43282</v>
      </c>
      <c r="C671" t="s">
        <v>108</v>
      </c>
      <c r="D671" t="s">
        <v>106</v>
      </c>
      <c r="E671">
        <v>10</v>
      </c>
      <c r="F671">
        <v>16</v>
      </c>
      <c r="G671">
        <v>160</v>
      </c>
      <c r="H671">
        <v>0.04</v>
      </c>
      <c r="I671" t="s">
        <v>112</v>
      </c>
      <c r="J671">
        <v>6.4</v>
      </c>
      <c r="Q671" s="22"/>
    </row>
    <row r="672" spans="1:17" x14ac:dyDescent="0.3">
      <c r="A672" t="s">
        <v>1802</v>
      </c>
      <c r="B672" s="17">
        <v>43282</v>
      </c>
      <c r="C672" t="s">
        <v>95</v>
      </c>
      <c r="D672" t="s">
        <v>99</v>
      </c>
      <c r="E672">
        <v>14</v>
      </c>
      <c r="F672">
        <v>80</v>
      </c>
      <c r="G672">
        <v>1120</v>
      </c>
      <c r="H672">
        <v>0.11</v>
      </c>
      <c r="I672" t="s">
        <v>113</v>
      </c>
      <c r="J672">
        <v>123.2</v>
      </c>
      <c r="Q672" s="21"/>
    </row>
    <row r="673" spans="1:17" x14ac:dyDescent="0.3">
      <c r="A673" t="s">
        <v>1803</v>
      </c>
      <c r="B673" s="17">
        <v>43282</v>
      </c>
      <c r="C673" t="s">
        <v>98</v>
      </c>
      <c r="D673" t="s">
        <v>99</v>
      </c>
      <c r="E673">
        <v>4</v>
      </c>
      <c r="F673">
        <v>40</v>
      </c>
      <c r="G673">
        <v>160</v>
      </c>
      <c r="H673">
        <v>0.06</v>
      </c>
      <c r="I673" t="s">
        <v>114</v>
      </c>
      <c r="J673">
        <v>9.6</v>
      </c>
      <c r="Q673" s="22"/>
    </row>
    <row r="674" spans="1:17" x14ac:dyDescent="0.3">
      <c r="A674" t="s">
        <v>1804</v>
      </c>
      <c r="B674" s="17">
        <v>43282</v>
      </c>
      <c r="C674" t="s">
        <v>98</v>
      </c>
      <c r="D674" t="s">
        <v>104</v>
      </c>
      <c r="E674">
        <v>11</v>
      </c>
      <c r="F674">
        <v>40</v>
      </c>
      <c r="G674">
        <v>440</v>
      </c>
      <c r="H674">
        <v>0.05</v>
      </c>
      <c r="I674" t="s">
        <v>110</v>
      </c>
      <c r="J674">
        <v>22</v>
      </c>
      <c r="Q674" s="21"/>
    </row>
    <row r="675" spans="1:17" x14ac:dyDescent="0.3">
      <c r="A675" t="s">
        <v>1805</v>
      </c>
      <c r="B675" s="17">
        <v>43282</v>
      </c>
      <c r="C675" t="s">
        <v>108</v>
      </c>
      <c r="D675" t="s">
        <v>104</v>
      </c>
      <c r="E675">
        <v>14</v>
      </c>
      <c r="F675">
        <v>16</v>
      </c>
      <c r="G675">
        <v>224</v>
      </c>
      <c r="H675">
        <v>0.01</v>
      </c>
      <c r="I675" t="s">
        <v>112</v>
      </c>
      <c r="J675">
        <v>2.2400000000000002</v>
      </c>
      <c r="Q675" s="22"/>
    </row>
    <row r="676" spans="1:17" x14ac:dyDescent="0.3">
      <c r="A676" t="s">
        <v>1806</v>
      </c>
      <c r="B676" s="17">
        <v>43282</v>
      </c>
      <c r="C676" t="s">
        <v>111</v>
      </c>
      <c r="D676" t="s">
        <v>96</v>
      </c>
      <c r="E676">
        <v>20</v>
      </c>
      <c r="F676">
        <v>150</v>
      </c>
      <c r="G676">
        <v>3000</v>
      </c>
      <c r="H676">
        <v>0.04</v>
      </c>
      <c r="I676" t="s">
        <v>113</v>
      </c>
      <c r="J676">
        <v>120</v>
      </c>
      <c r="Q676" s="21"/>
    </row>
    <row r="677" spans="1:17" x14ac:dyDescent="0.3">
      <c r="A677" t="s">
        <v>1807</v>
      </c>
      <c r="B677" s="17">
        <v>43282</v>
      </c>
      <c r="C677" t="s">
        <v>98</v>
      </c>
      <c r="D677" t="s">
        <v>106</v>
      </c>
      <c r="E677">
        <v>9</v>
      </c>
      <c r="F677">
        <v>40</v>
      </c>
      <c r="G677">
        <v>360</v>
      </c>
      <c r="H677">
        <v>0.06</v>
      </c>
      <c r="I677" t="s">
        <v>114</v>
      </c>
      <c r="J677">
        <v>21.599999999999998</v>
      </c>
      <c r="Q677" s="22"/>
    </row>
    <row r="678" spans="1:17" x14ac:dyDescent="0.3">
      <c r="A678" t="s">
        <v>1808</v>
      </c>
      <c r="B678" s="17">
        <v>43282</v>
      </c>
      <c r="C678" t="s">
        <v>111</v>
      </c>
      <c r="D678" t="s">
        <v>104</v>
      </c>
      <c r="E678">
        <v>18</v>
      </c>
      <c r="F678">
        <v>150</v>
      </c>
      <c r="G678">
        <v>2700</v>
      </c>
      <c r="H678">
        <v>0.06</v>
      </c>
      <c r="I678" t="s">
        <v>110</v>
      </c>
      <c r="J678">
        <v>162</v>
      </c>
      <c r="Q678" s="21"/>
    </row>
    <row r="679" spans="1:17" x14ac:dyDescent="0.3">
      <c r="A679" t="s">
        <v>1809</v>
      </c>
      <c r="B679" s="17">
        <v>43282</v>
      </c>
      <c r="C679" t="s">
        <v>101</v>
      </c>
      <c r="D679" t="s">
        <v>109</v>
      </c>
      <c r="E679">
        <v>17</v>
      </c>
      <c r="F679">
        <v>230</v>
      </c>
      <c r="G679">
        <v>3910</v>
      </c>
      <c r="H679">
        <v>0.11</v>
      </c>
      <c r="I679" t="s">
        <v>112</v>
      </c>
      <c r="J679">
        <v>430.1</v>
      </c>
      <c r="Q679" s="22"/>
    </row>
    <row r="680" spans="1:17" x14ac:dyDescent="0.3">
      <c r="A680" t="s">
        <v>1810</v>
      </c>
      <c r="B680" s="17">
        <v>43283</v>
      </c>
      <c r="C680" t="s">
        <v>98</v>
      </c>
      <c r="D680" t="s">
        <v>96</v>
      </c>
      <c r="E680">
        <v>20</v>
      </c>
      <c r="F680">
        <v>40</v>
      </c>
      <c r="G680">
        <v>800</v>
      </c>
      <c r="H680">
        <v>0.04</v>
      </c>
      <c r="I680" t="s">
        <v>113</v>
      </c>
      <c r="J680">
        <v>32</v>
      </c>
      <c r="Q680" s="21"/>
    </row>
    <row r="681" spans="1:17" x14ac:dyDescent="0.3">
      <c r="A681" t="s">
        <v>1811</v>
      </c>
      <c r="B681" s="17">
        <v>43283</v>
      </c>
      <c r="C681" t="s">
        <v>98</v>
      </c>
      <c r="D681" t="s">
        <v>96</v>
      </c>
      <c r="E681">
        <v>23</v>
      </c>
      <c r="F681">
        <v>40</v>
      </c>
      <c r="G681">
        <v>920</v>
      </c>
      <c r="H681">
        <v>0.03</v>
      </c>
      <c r="I681" t="s">
        <v>114</v>
      </c>
      <c r="J681">
        <v>27.599999999999998</v>
      </c>
      <c r="Q681" s="22"/>
    </row>
    <row r="682" spans="1:17" x14ac:dyDescent="0.3">
      <c r="A682" t="s">
        <v>1812</v>
      </c>
      <c r="B682" s="17">
        <v>43283</v>
      </c>
      <c r="C682" t="s">
        <v>101</v>
      </c>
      <c r="D682" t="s">
        <v>109</v>
      </c>
      <c r="E682">
        <v>21</v>
      </c>
      <c r="F682">
        <v>230</v>
      </c>
      <c r="G682">
        <v>4830</v>
      </c>
      <c r="H682">
        <v>0.05</v>
      </c>
      <c r="I682" t="s">
        <v>110</v>
      </c>
      <c r="J682">
        <v>241.5</v>
      </c>
      <c r="Q682" s="21"/>
    </row>
    <row r="683" spans="1:17" x14ac:dyDescent="0.3">
      <c r="A683" t="s">
        <v>1813</v>
      </c>
      <c r="B683" s="17">
        <v>43283</v>
      </c>
      <c r="C683" t="s">
        <v>95</v>
      </c>
      <c r="D683" t="s">
        <v>104</v>
      </c>
      <c r="E683">
        <v>6</v>
      </c>
      <c r="F683">
        <v>80</v>
      </c>
      <c r="G683">
        <v>480</v>
      </c>
      <c r="H683">
        <v>0.09</v>
      </c>
      <c r="I683" t="s">
        <v>112</v>
      </c>
      <c r="J683">
        <v>43.199999999999996</v>
      </c>
      <c r="Q683" s="22"/>
    </row>
    <row r="684" spans="1:17" x14ac:dyDescent="0.3">
      <c r="A684" t="s">
        <v>1814</v>
      </c>
      <c r="B684" s="17">
        <v>43283</v>
      </c>
      <c r="C684" t="s">
        <v>108</v>
      </c>
      <c r="D684" t="s">
        <v>96</v>
      </c>
      <c r="E684">
        <v>20</v>
      </c>
      <c r="F684">
        <v>16</v>
      </c>
      <c r="G684">
        <v>320</v>
      </c>
      <c r="H684">
        <v>0.01</v>
      </c>
      <c r="I684" t="s">
        <v>113</v>
      </c>
      <c r="J684">
        <v>3.2</v>
      </c>
      <c r="Q684" s="21"/>
    </row>
    <row r="685" spans="1:17" x14ac:dyDescent="0.3">
      <c r="A685" t="s">
        <v>1815</v>
      </c>
      <c r="B685" s="17">
        <v>43283</v>
      </c>
      <c r="C685" t="s">
        <v>98</v>
      </c>
      <c r="D685" t="s">
        <v>99</v>
      </c>
      <c r="E685">
        <v>8</v>
      </c>
      <c r="F685">
        <v>40</v>
      </c>
      <c r="G685">
        <v>320</v>
      </c>
      <c r="H685">
        <v>0.09</v>
      </c>
      <c r="I685" t="s">
        <v>114</v>
      </c>
      <c r="J685">
        <v>28.799999999999997</v>
      </c>
      <c r="Q685" s="22"/>
    </row>
    <row r="686" spans="1:17" x14ac:dyDescent="0.3">
      <c r="A686" t="s">
        <v>1816</v>
      </c>
      <c r="B686" s="17">
        <v>43283</v>
      </c>
      <c r="C686" t="s">
        <v>101</v>
      </c>
      <c r="D686" t="s">
        <v>99</v>
      </c>
      <c r="E686">
        <v>15</v>
      </c>
      <c r="F686">
        <v>230</v>
      </c>
      <c r="G686">
        <v>3450</v>
      </c>
      <c r="H686">
        <v>0.09</v>
      </c>
      <c r="I686" t="s">
        <v>110</v>
      </c>
      <c r="J686">
        <v>310.5</v>
      </c>
      <c r="Q686" s="21"/>
    </row>
    <row r="687" spans="1:17" x14ac:dyDescent="0.3">
      <c r="A687" t="s">
        <v>1817</v>
      </c>
      <c r="B687" s="17">
        <v>43284</v>
      </c>
      <c r="C687" t="s">
        <v>95</v>
      </c>
      <c r="D687" t="s">
        <v>106</v>
      </c>
      <c r="E687">
        <v>21</v>
      </c>
      <c r="F687">
        <v>80</v>
      </c>
      <c r="G687">
        <v>1680</v>
      </c>
      <c r="H687">
        <v>0.02</v>
      </c>
      <c r="I687" t="s">
        <v>112</v>
      </c>
      <c r="J687">
        <v>33.6</v>
      </c>
      <c r="Q687" s="22"/>
    </row>
    <row r="688" spans="1:17" x14ac:dyDescent="0.3">
      <c r="A688" t="s">
        <v>1818</v>
      </c>
      <c r="B688" s="17">
        <v>43284</v>
      </c>
      <c r="C688" t="s">
        <v>95</v>
      </c>
      <c r="D688" t="s">
        <v>106</v>
      </c>
      <c r="E688">
        <v>19</v>
      </c>
      <c r="F688">
        <v>80</v>
      </c>
      <c r="G688">
        <v>1520</v>
      </c>
      <c r="H688">
        <v>0.02</v>
      </c>
      <c r="I688" t="s">
        <v>113</v>
      </c>
      <c r="J688">
        <v>30.400000000000002</v>
      </c>
      <c r="Q688" s="21"/>
    </row>
    <row r="689" spans="1:17" x14ac:dyDescent="0.3">
      <c r="A689" t="s">
        <v>1819</v>
      </c>
      <c r="B689" s="17">
        <v>43284</v>
      </c>
      <c r="C689" t="s">
        <v>108</v>
      </c>
      <c r="D689" t="s">
        <v>96</v>
      </c>
      <c r="E689">
        <v>7</v>
      </c>
      <c r="F689">
        <v>16</v>
      </c>
      <c r="G689">
        <v>112</v>
      </c>
      <c r="H689">
        <v>0.08</v>
      </c>
      <c r="I689" t="s">
        <v>114</v>
      </c>
      <c r="J689">
        <v>8.9600000000000009</v>
      </c>
      <c r="Q689" s="22"/>
    </row>
    <row r="690" spans="1:17" x14ac:dyDescent="0.3">
      <c r="A690" t="s">
        <v>1820</v>
      </c>
      <c r="B690" s="17">
        <v>43284</v>
      </c>
      <c r="C690" t="s">
        <v>98</v>
      </c>
      <c r="D690" t="s">
        <v>109</v>
      </c>
      <c r="E690">
        <v>11</v>
      </c>
      <c r="F690">
        <v>40</v>
      </c>
      <c r="G690">
        <v>440</v>
      </c>
      <c r="H690">
        <v>0.05</v>
      </c>
      <c r="I690" t="s">
        <v>110</v>
      </c>
      <c r="J690">
        <v>22</v>
      </c>
      <c r="Q690" s="21"/>
    </row>
    <row r="691" spans="1:17" x14ac:dyDescent="0.3">
      <c r="A691" t="s">
        <v>1821</v>
      </c>
      <c r="B691" s="17">
        <v>43284</v>
      </c>
      <c r="C691" t="s">
        <v>101</v>
      </c>
      <c r="D691" t="s">
        <v>106</v>
      </c>
      <c r="E691">
        <v>8</v>
      </c>
      <c r="F691">
        <v>230</v>
      </c>
      <c r="G691">
        <v>1840</v>
      </c>
      <c r="H691">
        <v>0.05</v>
      </c>
      <c r="I691" t="s">
        <v>112</v>
      </c>
      <c r="J691">
        <v>92</v>
      </c>
      <c r="Q691" s="22"/>
    </row>
    <row r="692" spans="1:17" x14ac:dyDescent="0.3">
      <c r="A692" t="s">
        <v>1822</v>
      </c>
      <c r="B692" s="17">
        <v>43284</v>
      </c>
      <c r="C692" t="s">
        <v>95</v>
      </c>
      <c r="D692" t="s">
        <v>96</v>
      </c>
      <c r="E692">
        <v>18</v>
      </c>
      <c r="F692">
        <v>80</v>
      </c>
      <c r="G692">
        <v>1440</v>
      </c>
      <c r="H692">
        <v>0.02</v>
      </c>
      <c r="I692" t="s">
        <v>113</v>
      </c>
      <c r="J692">
        <v>28.8</v>
      </c>
      <c r="Q692" s="21"/>
    </row>
    <row r="693" spans="1:17" x14ac:dyDescent="0.3">
      <c r="A693" t="s">
        <v>1823</v>
      </c>
      <c r="B693" s="17">
        <v>43284</v>
      </c>
      <c r="C693" t="s">
        <v>98</v>
      </c>
      <c r="D693" t="s">
        <v>96</v>
      </c>
      <c r="E693">
        <v>7</v>
      </c>
      <c r="F693">
        <v>40</v>
      </c>
      <c r="G693">
        <v>280</v>
      </c>
      <c r="H693">
        <v>0.1</v>
      </c>
      <c r="I693" t="s">
        <v>114</v>
      </c>
      <c r="J693">
        <v>28</v>
      </c>
      <c r="Q693" s="22"/>
    </row>
    <row r="694" spans="1:17" x14ac:dyDescent="0.3">
      <c r="A694" t="s">
        <v>1824</v>
      </c>
      <c r="B694" s="17">
        <v>43285</v>
      </c>
      <c r="C694" t="s">
        <v>108</v>
      </c>
      <c r="D694" t="s">
        <v>96</v>
      </c>
      <c r="E694">
        <v>16</v>
      </c>
      <c r="F694">
        <v>16</v>
      </c>
      <c r="G694">
        <v>256</v>
      </c>
      <c r="H694">
        <v>0.03</v>
      </c>
      <c r="I694" t="s">
        <v>110</v>
      </c>
      <c r="J694">
        <v>7.68</v>
      </c>
      <c r="Q694" s="21"/>
    </row>
    <row r="695" spans="1:17" x14ac:dyDescent="0.3">
      <c r="A695" t="s">
        <v>1825</v>
      </c>
      <c r="B695" s="17">
        <v>43285</v>
      </c>
      <c r="C695" t="s">
        <v>95</v>
      </c>
      <c r="D695" t="s">
        <v>96</v>
      </c>
      <c r="E695">
        <v>8</v>
      </c>
      <c r="F695">
        <v>80</v>
      </c>
      <c r="G695">
        <v>640</v>
      </c>
      <c r="H695">
        <v>0.08</v>
      </c>
      <c r="I695" t="s">
        <v>112</v>
      </c>
      <c r="J695">
        <v>51.2</v>
      </c>
      <c r="Q695" s="22"/>
    </row>
    <row r="696" spans="1:17" x14ac:dyDescent="0.3">
      <c r="A696" t="s">
        <v>1826</v>
      </c>
      <c r="B696" s="17">
        <v>43285</v>
      </c>
      <c r="C696" t="s">
        <v>101</v>
      </c>
      <c r="D696" t="s">
        <v>109</v>
      </c>
      <c r="E696">
        <v>22</v>
      </c>
      <c r="F696">
        <v>230</v>
      </c>
      <c r="G696">
        <v>5060</v>
      </c>
      <c r="H696">
        <v>0.1</v>
      </c>
      <c r="I696" t="s">
        <v>113</v>
      </c>
      <c r="J696">
        <v>506</v>
      </c>
      <c r="Q696" s="21"/>
    </row>
    <row r="697" spans="1:17" x14ac:dyDescent="0.3">
      <c r="A697" t="s">
        <v>1827</v>
      </c>
      <c r="B697" s="17">
        <v>43285</v>
      </c>
      <c r="C697" t="s">
        <v>101</v>
      </c>
      <c r="D697" t="s">
        <v>109</v>
      </c>
      <c r="E697">
        <v>3</v>
      </c>
      <c r="F697">
        <v>230</v>
      </c>
      <c r="G697">
        <v>690</v>
      </c>
      <c r="H697">
        <v>0.1</v>
      </c>
      <c r="I697" t="s">
        <v>114</v>
      </c>
      <c r="J697">
        <v>69</v>
      </c>
      <c r="Q697" s="22"/>
    </row>
    <row r="698" spans="1:17" x14ac:dyDescent="0.3">
      <c r="A698" t="s">
        <v>1828</v>
      </c>
      <c r="B698" s="17">
        <v>43285</v>
      </c>
      <c r="C698" t="s">
        <v>101</v>
      </c>
      <c r="D698" t="s">
        <v>109</v>
      </c>
      <c r="E698">
        <v>20</v>
      </c>
      <c r="F698">
        <v>230</v>
      </c>
      <c r="G698">
        <v>4600</v>
      </c>
      <c r="H698">
        <v>0.11</v>
      </c>
      <c r="I698" t="s">
        <v>110</v>
      </c>
      <c r="J698">
        <v>506</v>
      </c>
      <c r="Q698" s="21"/>
    </row>
    <row r="699" spans="1:17" x14ac:dyDescent="0.3">
      <c r="A699" t="s">
        <v>1829</v>
      </c>
      <c r="B699" s="17">
        <v>43285</v>
      </c>
      <c r="C699" t="s">
        <v>108</v>
      </c>
      <c r="D699" t="s">
        <v>104</v>
      </c>
      <c r="E699">
        <v>12</v>
      </c>
      <c r="F699">
        <v>16</v>
      </c>
      <c r="G699">
        <v>192</v>
      </c>
      <c r="H699">
        <v>0.03</v>
      </c>
      <c r="I699" t="s">
        <v>112</v>
      </c>
      <c r="J699">
        <v>5.76</v>
      </c>
      <c r="Q699" s="22"/>
    </row>
    <row r="700" spans="1:17" x14ac:dyDescent="0.3">
      <c r="A700" t="s">
        <v>1830</v>
      </c>
      <c r="B700" s="17">
        <v>43285</v>
      </c>
      <c r="C700" t="s">
        <v>98</v>
      </c>
      <c r="D700" t="s">
        <v>109</v>
      </c>
      <c r="E700">
        <v>20</v>
      </c>
      <c r="F700">
        <v>40</v>
      </c>
      <c r="G700">
        <v>800</v>
      </c>
      <c r="H700">
        <v>7.0000000000000007E-2</v>
      </c>
      <c r="I700" t="s">
        <v>113</v>
      </c>
      <c r="J700">
        <v>56.000000000000007</v>
      </c>
      <c r="Q700" s="21"/>
    </row>
    <row r="701" spans="1:17" x14ac:dyDescent="0.3">
      <c r="A701" t="s">
        <v>1831</v>
      </c>
      <c r="B701" s="17">
        <v>43285</v>
      </c>
      <c r="C701" t="s">
        <v>101</v>
      </c>
      <c r="D701" t="s">
        <v>96</v>
      </c>
      <c r="E701">
        <v>3</v>
      </c>
      <c r="F701">
        <v>230</v>
      </c>
      <c r="G701">
        <v>690</v>
      </c>
      <c r="H701">
        <v>0.06</v>
      </c>
      <c r="I701" t="s">
        <v>114</v>
      </c>
      <c r="J701">
        <v>41.4</v>
      </c>
      <c r="Q701" s="22"/>
    </row>
    <row r="702" spans="1:17" x14ac:dyDescent="0.3">
      <c r="A702" t="s">
        <v>1832</v>
      </c>
      <c r="B702" s="17">
        <v>43285</v>
      </c>
      <c r="C702" t="s">
        <v>95</v>
      </c>
      <c r="D702" t="s">
        <v>106</v>
      </c>
      <c r="E702">
        <v>16</v>
      </c>
      <c r="F702">
        <v>80</v>
      </c>
      <c r="G702">
        <v>1280</v>
      </c>
      <c r="H702">
        <v>7.0000000000000007E-2</v>
      </c>
      <c r="I702" t="s">
        <v>110</v>
      </c>
      <c r="J702">
        <v>89.600000000000009</v>
      </c>
      <c r="Q702" s="21"/>
    </row>
    <row r="703" spans="1:17" x14ac:dyDescent="0.3">
      <c r="A703" t="s">
        <v>1833</v>
      </c>
      <c r="B703" s="17">
        <v>43286</v>
      </c>
      <c r="C703" t="s">
        <v>98</v>
      </c>
      <c r="D703" t="s">
        <v>109</v>
      </c>
      <c r="E703">
        <v>3</v>
      </c>
      <c r="F703">
        <v>40</v>
      </c>
      <c r="G703">
        <v>120</v>
      </c>
      <c r="H703">
        <v>0.03</v>
      </c>
      <c r="I703" t="s">
        <v>112</v>
      </c>
      <c r="J703">
        <v>3.5999999999999996</v>
      </c>
      <c r="Q703" s="22"/>
    </row>
    <row r="704" spans="1:17" x14ac:dyDescent="0.3">
      <c r="A704" t="s">
        <v>1834</v>
      </c>
      <c r="B704" s="17">
        <v>43286</v>
      </c>
      <c r="C704" t="s">
        <v>101</v>
      </c>
      <c r="D704" t="s">
        <v>104</v>
      </c>
      <c r="E704">
        <v>12</v>
      </c>
      <c r="F704">
        <v>230</v>
      </c>
      <c r="G704">
        <v>2760</v>
      </c>
      <c r="H704">
        <v>0.03</v>
      </c>
      <c r="I704" t="s">
        <v>113</v>
      </c>
      <c r="J704">
        <v>82.8</v>
      </c>
      <c r="Q704" s="21"/>
    </row>
    <row r="705" spans="1:17" x14ac:dyDescent="0.3">
      <c r="A705" t="s">
        <v>1835</v>
      </c>
      <c r="B705" s="17">
        <v>43286</v>
      </c>
      <c r="C705" t="s">
        <v>98</v>
      </c>
      <c r="D705" t="s">
        <v>106</v>
      </c>
      <c r="E705">
        <v>22</v>
      </c>
      <c r="F705">
        <v>40</v>
      </c>
      <c r="G705">
        <v>880</v>
      </c>
      <c r="H705">
        <v>0.01</v>
      </c>
      <c r="I705" t="s">
        <v>114</v>
      </c>
      <c r="J705">
        <v>8.8000000000000007</v>
      </c>
      <c r="Q705" s="22"/>
    </row>
    <row r="706" spans="1:17" x14ac:dyDescent="0.3">
      <c r="A706" t="s">
        <v>1836</v>
      </c>
      <c r="B706" s="17">
        <v>43286</v>
      </c>
      <c r="C706" t="s">
        <v>98</v>
      </c>
      <c r="D706" t="s">
        <v>99</v>
      </c>
      <c r="E706">
        <v>19</v>
      </c>
      <c r="F706">
        <v>40</v>
      </c>
      <c r="G706">
        <v>760</v>
      </c>
      <c r="H706">
        <v>0.1</v>
      </c>
      <c r="I706" t="s">
        <v>110</v>
      </c>
      <c r="J706">
        <v>76</v>
      </c>
      <c r="Q706" s="21"/>
    </row>
    <row r="707" spans="1:17" x14ac:dyDescent="0.3">
      <c r="A707" t="s">
        <v>1837</v>
      </c>
      <c r="B707" s="17">
        <v>43286</v>
      </c>
      <c r="C707" t="s">
        <v>95</v>
      </c>
      <c r="D707" t="s">
        <v>99</v>
      </c>
      <c r="E707">
        <v>21</v>
      </c>
      <c r="F707">
        <v>80</v>
      </c>
      <c r="G707">
        <v>1680</v>
      </c>
      <c r="H707">
        <v>0.04</v>
      </c>
      <c r="I707" t="s">
        <v>112</v>
      </c>
      <c r="J707">
        <v>67.2</v>
      </c>
      <c r="Q707" s="22"/>
    </row>
    <row r="708" spans="1:17" x14ac:dyDescent="0.3">
      <c r="A708" t="s">
        <v>1838</v>
      </c>
      <c r="B708" s="17">
        <v>43286</v>
      </c>
      <c r="C708" t="s">
        <v>95</v>
      </c>
      <c r="D708" t="s">
        <v>99</v>
      </c>
      <c r="E708">
        <v>2</v>
      </c>
      <c r="F708">
        <v>80</v>
      </c>
      <c r="G708">
        <v>160</v>
      </c>
      <c r="H708">
        <v>0.04</v>
      </c>
      <c r="I708" t="s">
        <v>113</v>
      </c>
      <c r="J708">
        <v>6.4</v>
      </c>
      <c r="Q708" s="21"/>
    </row>
    <row r="709" spans="1:17" x14ac:dyDescent="0.3">
      <c r="A709" t="s">
        <v>1839</v>
      </c>
      <c r="B709" s="17">
        <v>43286</v>
      </c>
      <c r="C709" t="s">
        <v>111</v>
      </c>
      <c r="D709" t="s">
        <v>99</v>
      </c>
      <c r="E709">
        <v>15</v>
      </c>
      <c r="F709">
        <v>150</v>
      </c>
      <c r="G709">
        <v>2250</v>
      </c>
      <c r="H709">
        <v>0.02</v>
      </c>
      <c r="I709" t="s">
        <v>114</v>
      </c>
      <c r="J709">
        <v>45</v>
      </c>
      <c r="Q709" s="22"/>
    </row>
    <row r="710" spans="1:17" x14ac:dyDescent="0.3">
      <c r="A710" t="s">
        <v>1840</v>
      </c>
      <c r="B710" s="17">
        <v>43287</v>
      </c>
      <c r="C710" t="s">
        <v>98</v>
      </c>
      <c r="D710" t="s">
        <v>99</v>
      </c>
      <c r="E710">
        <v>14</v>
      </c>
      <c r="F710">
        <v>40</v>
      </c>
      <c r="G710">
        <v>560</v>
      </c>
      <c r="H710">
        <v>0.06</v>
      </c>
      <c r="I710" t="s">
        <v>110</v>
      </c>
      <c r="J710">
        <v>33.6</v>
      </c>
      <c r="Q710" s="21"/>
    </row>
    <row r="711" spans="1:17" x14ac:dyDescent="0.3">
      <c r="A711" t="s">
        <v>1841</v>
      </c>
      <c r="B711" s="17">
        <v>43287</v>
      </c>
      <c r="C711" t="s">
        <v>95</v>
      </c>
      <c r="D711" t="s">
        <v>106</v>
      </c>
      <c r="E711">
        <v>7</v>
      </c>
      <c r="F711">
        <v>80</v>
      </c>
      <c r="G711">
        <v>560</v>
      </c>
      <c r="H711">
        <v>7.0000000000000007E-2</v>
      </c>
      <c r="I711" t="s">
        <v>112</v>
      </c>
      <c r="J711">
        <v>39.200000000000003</v>
      </c>
      <c r="Q711" s="22"/>
    </row>
    <row r="712" spans="1:17" x14ac:dyDescent="0.3">
      <c r="A712" t="s">
        <v>1842</v>
      </c>
      <c r="B712" s="17">
        <v>43287</v>
      </c>
      <c r="C712" t="s">
        <v>95</v>
      </c>
      <c r="D712" t="s">
        <v>104</v>
      </c>
      <c r="E712">
        <v>7</v>
      </c>
      <c r="F712">
        <v>80</v>
      </c>
      <c r="G712">
        <v>560</v>
      </c>
      <c r="H712">
        <v>0.05</v>
      </c>
      <c r="I712" t="s">
        <v>113</v>
      </c>
      <c r="J712">
        <v>28</v>
      </c>
      <c r="Q712" s="21"/>
    </row>
    <row r="713" spans="1:17" x14ac:dyDescent="0.3">
      <c r="A713" t="s">
        <v>1843</v>
      </c>
      <c r="B713" s="17">
        <v>43287</v>
      </c>
      <c r="C713" t="s">
        <v>111</v>
      </c>
      <c r="D713" t="s">
        <v>99</v>
      </c>
      <c r="E713">
        <v>10</v>
      </c>
      <c r="F713">
        <v>150</v>
      </c>
      <c r="G713">
        <v>1500</v>
      </c>
      <c r="H713">
        <v>0.01</v>
      </c>
      <c r="I713" t="s">
        <v>114</v>
      </c>
      <c r="J713">
        <v>15</v>
      </c>
      <c r="Q713" s="22"/>
    </row>
    <row r="714" spans="1:17" x14ac:dyDescent="0.3">
      <c r="A714" t="s">
        <v>1844</v>
      </c>
      <c r="B714" s="17">
        <v>43287</v>
      </c>
      <c r="C714" t="s">
        <v>95</v>
      </c>
      <c r="D714" t="s">
        <v>104</v>
      </c>
      <c r="E714">
        <v>10</v>
      </c>
      <c r="F714">
        <v>80</v>
      </c>
      <c r="G714">
        <v>800</v>
      </c>
      <c r="H714">
        <v>0.08</v>
      </c>
      <c r="I714" t="s">
        <v>110</v>
      </c>
      <c r="J714">
        <v>64</v>
      </c>
      <c r="Q714" s="21"/>
    </row>
    <row r="715" spans="1:17" x14ac:dyDescent="0.3">
      <c r="A715" t="s">
        <v>1845</v>
      </c>
      <c r="B715" s="17">
        <v>43287</v>
      </c>
      <c r="C715" t="s">
        <v>95</v>
      </c>
      <c r="D715" t="s">
        <v>106</v>
      </c>
      <c r="E715">
        <v>15</v>
      </c>
      <c r="F715">
        <v>80</v>
      </c>
      <c r="G715">
        <v>1200</v>
      </c>
      <c r="H715">
        <v>0.08</v>
      </c>
      <c r="I715" t="s">
        <v>112</v>
      </c>
      <c r="J715">
        <v>96</v>
      </c>
      <c r="Q715" s="22"/>
    </row>
    <row r="716" spans="1:17" x14ac:dyDescent="0.3">
      <c r="A716" t="s">
        <v>1846</v>
      </c>
      <c r="B716" s="17">
        <v>43287</v>
      </c>
      <c r="C716" t="s">
        <v>101</v>
      </c>
      <c r="D716" t="s">
        <v>106</v>
      </c>
      <c r="E716">
        <v>18</v>
      </c>
      <c r="F716">
        <v>230</v>
      </c>
      <c r="G716">
        <v>4140</v>
      </c>
      <c r="H716">
        <v>0.01</v>
      </c>
      <c r="I716" t="s">
        <v>113</v>
      </c>
      <c r="J716">
        <v>41.4</v>
      </c>
      <c r="Q716" s="21"/>
    </row>
    <row r="717" spans="1:17" x14ac:dyDescent="0.3">
      <c r="A717" t="s">
        <v>1847</v>
      </c>
      <c r="B717" s="17">
        <v>43287</v>
      </c>
      <c r="C717" t="s">
        <v>95</v>
      </c>
      <c r="D717" t="s">
        <v>96</v>
      </c>
      <c r="E717">
        <v>8</v>
      </c>
      <c r="F717">
        <v>80</v>
      </c>
      <c r="G717">
        <v>640</v>
      </c>
      <c r="H717">
        <v>0.09</v>
      </c>
      <c r="I717" t="s">
        <v>114</v>
      </c>
      <c r="J717">
        <v>57.599999999999994</v>
      </c>
      <c r="Q717" s="22"/>
    </row>
    <row r="718" spans="1:17" x14ac:dyDescent="0.3">
      <c r="A718" t="s">
        <v>1848</v>
      </c>
      <c r="B718" s="17">
        <v>43287</v>
      </c>
      <c r="C718" t="s">
        <v>108</v>
      </c>
      <c r="D718" t="s">
        <v>104</v>
      </c>
      <c r="E718">
        <v>6</v>
      </c>
      <c r="F718">
        <v>16</v>
      </c>
      <c r="G718">
        <v>96</v>
      </c>
      <c r="H718">
        <v>0.01</v>
      </c>
      <c r="I718" t="s">
        <v>110</v>
      </c>
      <c r="J718">
        <v>0.96</v>
      </c>
      <c r="Q718" s="21"/>
    </row>
    <row r="719" spans="1:17" x14ac:dyDescent="0.3">
      <c r="A719" t="s">
        <v>1849</v>
      </c>
      <c r="B719" s="17">
        <v>43287</v>
      </c>
      <c r="C719" t="s">
        <v>101</v>
      </c>
      <c r="D719" t="s">
        <v>99</v>
      </c>
      <c r="E719">
        <v>9</v>
      </c>
      <c r="F719">
        <v>230</v>
      </c>
      <c r="G719">
        <v>2070</v>
      </c>
      <c r="H719">
        <v>0.03</v>
      </c>
      <c r="I719" t="s">
        <v>112</v>
      </c>
      <c r="J719">
        <v>62.099999999999994</v>
      </c>
      <c r="Q719" s="22"/>
    </row>
    <row r="720" spans="1:17" x14ac:dyDescent="0.3">
      <c r="A720" t="s">
        <v>1850</v>
      </c>
      <c r="B720" s="17">
        <v>43288</v>
      </c>
      <c r="C720" t="s">
        <v>98</v>
      </c>
      <c r="D720" t="s">
        <v>106</v>
      </c>
      <c r="E720">
        <v>15</v>
      </c>
      <c r="F720">
        <v>40</v>
      </c>
      <c r="G720">
        <v>600</v>
      </c>
      <c r="H720">
        <v>0.03</v>
      </c>
      <c r="I720" t="s">
        <v>113</v>
      </c>
      <c r="J720">
        <v>18</v>
      </c>
      <c r="Q720" s="21"/>
    </row>
    <row r="721" spans="1:17" x14ac:dyDescent="0.3">
      <c r="A721" t="s">
        <v>1851</v>
      </c>
      <c r="B721" s="17">
        <v>43288</v>
      </c>
      <c r="C721" t="s">
        <v>98</v>
      </c>
      <c r="D721" t="s">
        <v>99</v>
      </c>
      <c r="E721">
        <v>15</v>
      </c>
      <c r="F721">
        <v>40</v>
      </c>
      <c r="G721">
        <v>600</v>
      </c>
      <c r="H721">
        <v>0.04</v>
      </c>
      <c r="I721" t="s">
        <v>114</v>
      </c>
      <c r="J721">
        <v>24</v>
      </c>
      <c r="Q721" s="22"/>
    </row>
    <row r="722" spans="1:17" x14ac:dyDescent="0.3">
      <c r="A722" t="s">
        <v>1852</v>
      </c>
      <c r="B722" s="17">
        <v>43288</v>
      </c>
      <c r="C722" t="s">
        <v>108</v>
      </c>
      <c r="D722" t="s">
        <v>109</v>
      </c>
      <c r="E722">
        <v>11</v>
      </c>
      <c r="F722">
        <v>16</v>
      </c>
      <c r="G722">
        <v>176</v>
      </c>
      <c r="H722">
        <v>0.12</v>
      </c>
      <c r="I722" t="s">
        <v>110</v>
      </c>
      <c r="J722">
        <v>21.119999999999997</v>
      </c>
      <c r="Q722" s="21"/>
    </row>
    <row r="723" spans="1:17" x14ac:dyDescent="0.3">
      <c r="A723" t="s">
        <v>1853</v>
      </c>
      <c r="B723" s="17">
        <v>43288</v>
      </c>
      <c r="C723" t="s">
        <v>108</v>
      </c>
      <c r="D723" t="s">
        <v>96</v>
      </c>
      <c r="E723">
        <v>12</v>
      </c>
      <c r="F723">
        <v>16</v>
      </c>
      <c r="G723">
        <v>192</v>
      </c>
      <c r="H723">
        <v>0.11</v>
      </c>
      <c r="I723" t="s">
        <v>102</v>
      </c>
      <c r="J723">
        <v>21.12</v>
      </c>
      <c r="Q723" s="22"/>
    </row>
    <row r="724" spans="1:17" x14ac:dyDescent="0.3">
      <c r="A724" t="s">
        <v>1854</v>
      </c>
      <c r="B724" s="17">
        <v>43288</v>
      </c>
      <c r="C724" t="s">
        <v>108</v>
      </c>
      <c r="D724" t="s">
        <v>106</v>
      </c>
      <c r="E724">
        <v>18</v>
      </c>
      <c r="F724">
        <v>16</v>
      </c>
      <c r="G724">
        <v>288</v>
      </c>
      <c r="H724">
        <v>0.04</v>
      </c>
      <c r="I724" t="s">
        <v>113</v>
      </c>
      <c r="J724">
        <v>11.52</v>
      </c>
      <c r="Q724" s="21"/>
    </row>
    <row r="725" spans="1:17" x14ac:dyDescent="0.3">
      <c r="A725" t="s">
        <v>1855</v>
      </c>
      <c r="B725" s="17">
        <v>43288</v>
      </c>
      <c r="C725" t="s">
        <v>98</v>
      </c>
      <c r="D725" t="s">
        <v>104</v>
      </c>
      <c r="E725">
        <v>20</v>
      </c>
      <c r="F725">
        <v>40</v>
      </c>
      <c r="G725">
        <v>800</v>
      </c>
      <c r="H725">
        <v>0.01</v>
      </c>
      <c r="I725" t="s">
        <v>102</v>
      </c>
      <c r="J725">
        <v>8</v>
      </c>
      <c r="Q725" s="22"/>
    </row>
    <row r="726" spans="1:17" x14ac:dyDescent="0.3">
      <c r="A726" t="s">
        <v>1856</v>
      </c>
      <c r="B726" s="17">
        <v>43288</v>
      </c>
      <c r="C726" t="s">
        <v>111</v>
      </c>
      <c r="D726" t="s">
        <v>109</v>
      </c>
      <c r="E726">
        <v>7</v>
      </c>
      <c r="F726">
        <v>150</v>
      </c>
      <c r="G726">
        <v>1050</v>
      </c>
      <c r="H726">
        <v>0.03</v>
      </c>
      <c r="I726" t="s">
        <v>113</v>
      </c>
      <c r="J726">
        <v>31.5</v>
      </c>
      <c r="Q726" s="21"/>
    </row>
    <row r="727" spans="1:17" x14ac:dyDescent="0.3">
      <c r="A727" t="s">
        <v>1857</v>
      </c>
      <c r="B727" s="17">
        <v>43288</v>
      </c>
      <c r="C727" t="s">
        <v>98</v>
      </c>
      <c r="D727" t="s">
        <v>106</v>
      </c>
      <c r="E727">
        <v>23</v>
      </c>
      <c r="F727">
        <v>40</v>
      </c>
      <c r="G727">
        <v>920</v>
      </c>
      <c r="H727">
        <v>0.06</v>
      </c>
      <c r="I727" t="s">
        <v>102</v>
      </c>
      <c r="J727">
        <v>55.199999999999996</v>
      </c>
      <c r="Q727" s="22"/>
    </row>
    <row r="728" spans="1:17" x14ac:dyDescent="0.3">
      <c r="A728" t="s">
        <v>1858</v>
      </c>
      <c r="B728" s="17">
        <v>43288</v>
      </c>
      <c r="C728" t="s">
        <v>95</v>
      </c>
      <c r="D728" t="s">
        <v>96</v>
      </c>
      <c r="E728">
        <v>7</v>
      </c>
      <c r="F728">
        <v>80</v>
      </c>
      <c r="G728">
        <v>560</v>
      </c>
      <c r="H728">
        <v>0.02</v>
      </c>
      <c r="I728" t="s">
        <v>113</v>
      </c>
      <c r="J728">
        <v>11.200000000000001</v>
      </c>
      <c r="Q728" s="21"/>
    </row>
    <row r="729" spans="1:17" x14ac:dyDescent="0.3">
      <c r="A729" t="s">
        <v>1859</v>
      </c>
      <c r="B729" s="17">
        <v>43288</v>
      </c>
      <c r="C729" t="s">
        <v>111</v>
      </c>
      <c r="D729" t="s">
        <v>99</v>
      </c>
      <c r="E729">
        <v>16</v>
      </c>
      <c r="F729">
        <v>150</v>
      </c>
      <c r="G729">
        <v>2400</v>
      </c>
      <c r="H729">
        <v>0.05</v>
      </c>
      <c r="I729" t="s">
        <v>102</v>
      </c>
      <c r="J729">
        <v>120</v>
      </c>
      <c r="Q729" s="22"/>
    </row>
    <row r="730" spans="1:17" x14ac:dyDescent="0.3">
      <c r="A730" t="s">
        <v>1860</v>
      </c>
      <c r="B730" s="17">
        <v>43288</v>
      </c>
      <c r="C730" t="s">
        <v>101</v>
      </c>
      <c r="D730" t="s">
        <v>99</v>
      </c>
      <c r="E730">
        <v>6</v>
      </c>
      <c r="F730">
        <v>230</v>
      </c>
      <c r="G730">
        <v>1380</v>
      </c>
      <c r="H730">
        <v>0.1</v>
      </c>
      <c r="I730" t="s">
        <v>113</v>
      </c>
      <c r="J730">
        <v>138</v>
      </c>
      <c r="Q730" s="21"/>
    </row>
    <row r="731" spans="1:17" x14ac:dyDescent="0.3">
      <c r="A731" t="s">
        <v>1861</v>
      </c>
      <c r="B731" s="17">
        <v>43289</v>
      </c>
      <c r="C731" t="s">
        <v>98</v>
      </c>
      <c r="D731" t="s">
        <v>109</v>
      </c>
      <c r="E731">
        <v>7</v>
      </c>
      <c r="F731">
        <v>40</v>
      </c>
      <c r="G731">
        <v>280</v>
      </c>
      <c r="H731">
        <v>0.12</v>
      </c>
      <c r="I731" t="s">
        <v>102</v>
      </c>
      <c r="J731">
        <v>33.6</v>
      </c>
      <c r="Q731" s="22"/>
    </row>
    <row r="732" spans="1:17" x14ac:dyDescent="0.3">
      <c r="A732" t="s">
        <v>1862</v>
      </c>
      <c r="B732" s="17">
        <v>43289</v>
      </c>
      <c r="C732" t="s">
        <v>95</v>
      </c>
      <c r="D732" t="s">
        <v>104</v>
      </c>
      <c r="E732">
        <v>23</v>
      </c>
      <c r="F732">
        <v>80</v>
      </c>
      <c r="G732">
        <v>1840</v>
      </c>
      <c r="H732">
        <v>0.05</v>
      </c>
      <c r="I732" t="s">
        <v>113</v>
      </c>
      <c r="J732">
        <v>92</v>
      </c>
      <c r="Q732" s="21"/>
    </row>
    <row r="733" spans="1:17" x14ac:dyDescent="0.3">
      <c r="A733" t="s">
        <v>1863</v>
      </c>
      <c r="B733" s="17">
        <v>43289</v>
      </c>
      <c r="C733" t="s">
        <v>95</v>
      </c>
      <c r="D733" t="s">
        <v>106</v>
      </c>
      <c r="E733">
        <v>16</v>
      </c>
      <c r="F733">
        <v>80</v>
      </c>
      <c r="G733">
        <v>1280</v>
      </c>
      <c r="H733">
        <v>0.1</v>
      </c>
      <c r="I733" t="s">
        <v>102</v>
      </c>
      <c r="J733">
        <v>128</v>
      </c>
      <c r="Q733" s="22"/>
    </row>
    <row r="734" spans="1:17" x14ac:dyDescent="0.3">
      <c r="A734" t="s">
        <v>1864</v>
      </c>
      <c r="B734" s="17">
        <v>43289</v>
      </c>
      <c r="C734" t="s">
        <v>95</v>
      </c>
      <c r="D734" t="s">
        <v>96</v>
      </c>
      <c r="E734">
        <v>16</v>
      </c>
      <c r="F734">
        <v>80</v>
      </c>
      <c r="G734">
        <v>1280</v>
      </c>
      <c r="H734">
        <v>0.03</v>
      </c>
      <c r="I734" t="s">
        <v>113</v>
      </c>
      <c r="J734">
        <v>38.4</v>
      </c>
      <c r="Q734" s="21"/>
    </row>
    <row r="735" spans="1:17" x14ac:dyDescent="0.3">
      <c r="A735" t="s">
        <v>1865</v>
      </c>
      <c r="B735" s="17">
        <v>43289</v>
      </c>
      <c r="C735" t="s">
        <v>95</v>
      </c>
      <c r="D735" t="s">
        <v>109</v>
      </c>
      <c r="E735">
        <v>22</v>
      </c>
      <c r="F735">
        <v>80</v>
      </c>
      <c r="G735">
        <v>1760</v>
      </c>
      <c r="H735">
        <v>0.09</v>
      </c>
      <c r="I735" t="s">
        <v>102</v>
      </c>
      <c r="J735">
        <v>158.4</v>
      </c>
      <c r="Q735" s="22"/>
    </row>
    <row r="736" spans="1:17" x14ac:dyDescent="0.3">
      <c r="A736" t="s">
        <v>1866</v>
      </c>
      <c r="B736" s="17">
        <v>43289</v>
      </c>
      <c r="C736" t="s">
        <v>108</v>
      </c>
      <c r="D736" t="s">
        <v>96</v>
      </c>
      <c r="E736">
        <v>18</v>
      </c>
      <c r="F736">
        <v>16</v>
      </c>
      <c r="G736">
        <v>288</v>
      </c>
      <c r="H736">
        <v>0.05</v>
      </c>
      <c r="I736" t="s">
        <v>113</v>
      </c>
      <c r="J736">
        <v>14.4</v>
      </c>
      <c r="Q736" s="21"/>
    </row>
    <row r="737" spans="1:17" x14ac:dyDescent="0.3">
      <c r="A737" t="s">
        <v>1867</v>
      </c>
      <c r="B737" s="17">
        <v>43289</v>
      </c>
      <c r="C737" t="s">
        <v>101</v>
      </c>
      <c r="D737" t="s">
        <v>109</v>
      </c>
      <c r="E737">
        <v>5</v>
      </c>
      <c r="F737">
        <v>230</v>
      </c>
      <c r="G737">
        <v>1150</v>
      </c>
      <c r="H737">
        <v>0.12</v>
      </c>
      <c r="I737" t="s">
        <v>102</v>
      </c>
      <c r="J737">
        <v>138</v>
      </c>
      <c r="Q737" s="22"/>
    </row>
    <row r="738" spans="1:17" x14ac:dyDescent="0.3">
      <c r="A738" t="s">
        <v>1868</v>
      </c>
      <c r="B738" s="17">
        <v>43289</v>
      </c>
      <c r="C738" t="s">
        <v>111</v>
      </c>
      <c r="D738" t="s">
        <v>109</v>
      </c>
      <c r="E738">
        <v>7</v>
      </c>
      <c r="F738">
        <v>150</v>
      </c>
      <c r="G738">
        <v>1050</v>
      </c>
      <c r="H738">
        <v>0.02</v>
      </c>
      <c r="I738" t="s">
        <v>113</v>
      </c>
      <c r="J738">
        <v>21</v>
      </c>
      <c r="Q738" s="21"/>
    </row>
    <row r="739" spans="1:17" x14ac:dyDescent="0.3">
      <c r="A739" t="s">
        <v>1869</v>
      </c>
      <c r="B739" s="17">
        <v>43289</v>
      </c>
      <c r="C739" t="s">
        <v>98</v>
      </c>
      <c r="D739" t="s">
        <v>104</v>
      </c>
      <c r="E739">
        <v>2</v>
      </c>
      <c r="F739">
        <v>40</v>
      </c>
      <c r="G739">
        <v>80</v>
      </c>
      <c r="H739">
        <v>0.03</v>
      </c>
      <c r="I739" t="s">
        <v>102</v>
      </c>
      <c r="J739">
        <v>2.4</v>
      </c>
      <c r="Q739" s="22"/>
    </row>
    <row r="740" spans="1:17" x14ac:dyDescent="0.3">
      <c r="A740" t="s">
        <v>1870</v>
      </c>
      <c r="B740" s="17">
        <v>43289</v>
      </c>
      <c r="C740" t="s">
        <v>98</v>
      </c>
      <c r="D740" t="s">
        <v>106</v>
      </c>
      <c r="E740">
        <v>11</v>
      </c>
      <c r="F740">
        <v>40</v>
      </c>
      <c r="G740">
        <v>440</v>
      </c>
      <c r="H740">
        <v>0.06</v>
      </c>
      <c r="I740" t="s">
        <v>113</v>
      </c>
      <c r="J740">
        <v>26.4</v>
      </c>
      <c r="Q740" s="21"/>
    </row>
    <row r="741" spans="1:17" x14ac:dyDescent="0.3">
      <c r="A741" t="s">
        <v>1871</v>
      </c>
      <c r="B741" s="17">
        <v>43289</v>
      </c>
      <c r="C741" t="s">
        <v>95</v>
      </c>
      <c r="D741" t="s">
        <v>106</v>
      </c>
      <c r="E741">
        <v>7</v>
      </c>
      <c r="F741">
        <v>80</v>
      </c>
      <c r="G741">
        <v>560</v>
      </c>
      <c r="H741">
        <v>0.02</v>
      </c>
      <c r="I741" t="s">
        <v>102</v>
      </c>
      <c r="J741">
        <v>11.200000000000001</v>
      </c>
      <c r="Q741" s="22"/>
    </row>
    <row r="742" spans="1:17" x14ac:dyDescent="0.3">
      <c r="A742" t="s">
        <v>1872</v>
      </c>
      <c r="B742" s="17">
        <v>43290</v>
      </c>
      <c r="C742" t="s">
        <v>98</v>
      </c>
      <c r="D742" t="s">
        <v>104</v>
      </c>
      <c r="E742">
        <v>4</v>
      </c>
      <c r="F742">
        <v>40</v>
      </c>
      <c r="G742">
        <v>160</v>
      </c>
      <c r="H742">
        <v>0.11</v>
      </c>
      <c r="I742" t="s">
        <v>113</v>
      </c>
      <c r="J742">
        <v>17.600000000000001</v>
      </c>
      <c r="Q742" s="21"/>
    </row>
    <row r="743" spans="1:17" x14ac:dyDescent="0.3">
      <c r="A743" t="s">
        <v>1873</v>
      </c>
      <c r="B743" s="17">
        <v>43290</v>
      </c>
      <c r="C743" t="s">
        <v>98</v>
      </c>
      <c r="D743" t="s">
        <v>104</v>
      </c>
      <c r="E743">
        <v>2</v>
      </c>
      <c r="F743">
        <v>40</v>
      </c>
      <c r="G743">
        <v>80</v>
      </c>
      <c r="H743">
        <v>0.02</v>
      </c>
      <c r="I743" t="s">
        <v>102</v>
      </c>
      <c r="J743">
        <v>1.6</v>
      </c>
      <c r="Q743" s="22"/>
    </row>
    <row r="744" spans="1:17" x14ac:dyDescent="0.3">
      <c r="A744" t="s">
        <v>1874</v>
      </c>
      <c r="B744" s="17">
        <v>43290</v>
      </c>
      <c r="C744" t="s">
        <v>101</v>
      </c>
      <c r="D744" t="s">
        <v>106</v>
      </c>
      <c r="E744">
        <v>23</v>
      </c>
      <c r="F744">
        <v>230</v>
      </c>
      <c r="G744">
        <v>5290</v>
      </c>
      <c r="H744">
        <v>0.06</v>
      </c>
      <c r="I744" t="s">
        <v>113</v>
      </c>
      <c r="J744">
        <v>317.39999999999998</v>
      </c>
      <c r="Q744" s="21"/>
    </row>
    <row r="745" spans="1:17" x14ac:dyDescent="0.3">
      <c r="A745" t="s">
        <v>1875</v>
      </c>
      <c r="B745" s="17">
        <v>43290</v>
      </c>
      <c r="C745" t="s">
        <v>95</v>
      </c>
      <c r="D745" t="s">
        <v>109</v>
      </c>
      <c r="E745">
        <v>21</v>
      </c>
      <c r="F745">
        <v>80</v>
      </c>
      <c r="G745">
        <v>1680</v>
      </c>
      <c r="H745">
        <v>0.09</v>
      </c>
      <c r="I745" t="s">
        <v>102</v>
      </c>
      <c r="J745">
        <v>151.19999999999999</v>
      </c>
      <c r="Q745" s="22"/>
    </row>
    <row r="746" spans="1:17" x14ac:dyDescent="0.3">
      <c r="A746" t="s">
        <v>1876</v>
      </c>
      <c r="B746" s="17">
        <v>43290</v>
      </c>
      <c r="C746" t="s">
        <v>95</v>
      </c>
      <c r="D746" t="s">
        <v>109</v>
      </c>
      <c r="E746">
        <v>9</v>
      </c>
      <c r="F746">
        <v>80</v>
      </c>
      <c r="G746">
        <v>720</v>
      </c>
      <c r="H746">
        <v>0.06</v>
      </c>
      <c r="I746" t="s">
        <v>113</v>
      </c>
      <c r="J746">
        <v>43.199999999999996</v>
      </c>
      <c r="Q746" s="21"/>
    </row>
    <row r="747" spans="1:17" x14ac:dyDescent="0.3">
      <c r="A747" t="s">
        <v>1877</v>
      </c>
      <c r="B747" s="17">
        <v>43290</v>
      </c>
      <c r="C747" t="s">
        <v>95</v>
      </c>
      <c r="D747" t="s">
        <v>109</v>
      </c>
      <c r="E747">
        <v>22</v>
      </c>
      <c r="F747">
        <v>80</v>
      </c>
      <c r="G747">
        <v>1760</v>
      </c>
      <c r="H747">
        <v>0.11</v>
      </c>
      <c r="I747" t="s">
        <v>102</v>
      </c>
      <c r="J747">
        <v>193.6</v>
      </c>
      <c r="Q747" s="22"/>
    </row>
    <row r="748" spans="1:17" x14ac:dyDescent="0.3">
      <c r="A748" t="s">
        <v>1878</v>
      </c>
      <c r="B748" s="17">
        <v>43291</v>
      </c>
      <c r="C748" t="s">
        <v>101</v>
      </c>
      <c r="D748" t="s">
        <v>104</v>
      </c>
      <c r="E748">
        <v>15</v>
      </c>
      <c r="F748">
        <v>230</v>
      </c>
      <c r="G748">
        <v>3450</v>
      </c>
      <c r="H748">
        <v>0.11</v>
      </c>
      <c r="I748" t="s">
        <v>113</v>
      </c>
      <c r="J748">
        <v>379.5</v>
      </c>
      <c r="Q748" s="21"/>
    </row>
    <row r="749" spans="1:17" x14ac:dyDescent="0.3">
      <c r="A749" t="s">
        <v>1879</v>
      </c>
      <c r="B749" s="17">
        <v>43291</v>
      </c>
      <c r="C749" t="s">
        <v>98</v>
      </c>
      <c r="D749" t="s">
        <v>99</v>
      </c>
      <c r="E749">
        <v>7</v>
      </c>
      <c r="F749">
        <v>40</v>
      </c>
      <c r="G749">
        <v>280</v>
      </c>
      <c r="H749">
        <v>0.01</v>
      </c>
      <c r="I749" t="s">
        <v>102</v>
      </c>
      <c r="J749">
        <v>2.8000000000000003</v>
      </c>
      <c r="Q749" s="22"/>
    </row>
    <row r="750" spans="1:17" x14ac:dyDescent="0.3">
      <c r="A750" t="s">
        <v>1880</v>
      </c>
      <c r="B750" s="17">
        <v>43291</v>
      </c>
      <c r="C750" t="s">
        <v>111</v>
      </c>
      <c r="D750" t="s">
        <v>109</v>
      </c>
      <c r="E750">
        <v>17</v>
      </c>
      <c r="F750">
        <v>150</v>
      </c>
      <c r="G750">
        <v>2550</v>
      </c>
      <c r="H750">
        <v>0.02</v>
      </c>
      <c r="I750" t="s">
        <v>113</v>
      </c>
      <c r="J750">
        <v>51</v>
      </c>
      <c r="Q750" s="21"/>
    </row>
    <row r="751" spans="1:17" x14ac:dyDescent="0.3">
      <c r="A751" t="s">
        <v>1881</v>
      </c>
      <c r="B751" s="17">
        <v>43291</v>
      </c>
      <c r="C751" t="s">
        <v>111</v>
      </c>
      <c r="D751" t="s">
        <v>99</v>
      </c>
      <c r="E751">
        <v>22</v>
      </c>
      <c r="F751">
        <v>150</v>
      </c>
      <c r="G751">
        <v>3300</v>
      </c>
      <c r="H751">
        <v>0.02</v>
      </c>
      <c r="I751" t="s">
        <v>102</v>
      </c>
      <c r="J751">
        <v>66</v>
      </c>
      <c r="Q751" s="22"/>
    </row>
    <row r="752" spans="1:17" x14ac:dyDescent="0.3">
      <c r="A752" t="s">
        <v>1882</v>
      </c>
      <c r="B752" s="17">
        <v>43291</v>
      </c>
      <c r="C752" t="s">
        <v>101</v>
      </c>
      <c r="D752" t="s">
        <v>104</v>
      </c>
      <c r="E752">
        <v>10</v>
      </c>
      <c r="F752">
        <v>230</v>
      </c>
      <c r="G752">
        <v>2300</v>
      </c>
      <c r="H752">
        <v>0.02</v>
      </c>
      <c r="I752" t="s">
        <v>113</v>
      </c>
      <c r="J752">
        <v>46</v>
      </c>
      <c r="Q752" s="21"/>
    </row>
    <row r="753" spans="1:17" x14ac:dyDescent="0.3">
      <c r="A753" t="s">
        <v>1883</v>
      </c>
      <c r="B753" s="17">
        <v>43291</v>
      </c>
      <c r="C753" t="s">
        <v>98</v>
      </c>
      <c r="D753" t="s">
        <v>109</v>
      </c>
      <c r="E753">
        <v>21</v>
      </c>
      <c r="F753">
        <v>40</v>
      </c>
      <c r="G753">
        <v>840</v>
      </c>
      <c r="H753">
        <v>0.01</v>
      </c>
      <c r="I753" t="s">
        <v>102</v>
      </c>
      <c r="J753">
        <v>8.4</v>
      </c>
      <c r="Q753" s="22"/>
    </row>
    <row r="754" spans="1:17" x14ac:dyDescent="0.3">
      <c r="A754" t="s">
        <v>1884</v>
      </c>
      <c r="B754" s="17">
        <v>43291</v>
      </c>
      <c r="C754" t="s">
        <v>101</v>
      </c>
      <c r="D754" t="s">
        <v>104</v>
      </c>
      <c r="E754">
        <v>5</v>
      </c>
      <c r="F754">
        <v>230</v>
      </c>
      <c r="G754">
        <v>1150</v>
      </c>
      <c r="H754">
        <v>0.1</v>
      </c>
      <c r="I754" t="s">
        <v>113</v>
      </c>
      <c r="J754">
        <v>115</v>
      </c>
      <c r="Q754" s="21"/>
    </row>
    <row r="755" spans="1:17" x14ac:dyDescent="0.3">
      <c r="A755" t="s">
        <v>1885</v>
      </c>
      <c r="B755" s="17">
        <v>43291</v>
      </c>
      <c r="C755" t="s">
        <v>101</v>
      </c>
      <c r="D755" t="s">
        <v>109</v>
      </c>
      <c r="E755">
        <v>13</v>
      </c>
      <c r="F755">
        <v>230</v>
      </c>
      <c r="G755">
        <v>2990</v>
      </c>
      <c r="H755">
        <v>0.06</v>
      </c>
      <c r="I755" t="s">
        <v>102</v>
      </c>
      <c r="J755">
        <v>179.4</v>
      </c>
      <c r="Q755" s="22"/>
    </row>
    <row r="756" spans="1:17" x14ac:dyDescent="0.3">
      <c r="A756" t="s">
        <v>1886</v>
      </c>
      <c r="B756" s="17">
        <v>43291</v>
      </c>
      <c r="C756" t="s">
        <v>111</v>
      </c>
      <c r="D756" t="s">
        <v>96</v>
      </c>
      <c r="E756">
        <v>23</v>
      </c>
      <c r="F756">
        <v>150</v>
      </c>
      <c r="G756">
        <v>3450</v>
      </c>
      <c r="H756">
        <v>0.1</v>
      </c>
      <c r="I756" t="s">
        <v>113</v>
      </c>
      <c r="J756">
        <v>345</v>
      </c>
      <c r="Q756" s="21"/>
    </row>
    <row r="757" spans="1:17" x14ac:dyDescent="0.3">
      <c r="A757" t="s">
        <v>1887</v>
      </c>
      <c r="B757" s="17">
        <v>43291</v>
      </c>
      <c r="C757" t="s">
        <v>111</v>
      </c>
      <c r="D757" t="s">
        <v>96</v>
      </c>
      <c r="E757">
        <v>20</v>
      </c>
      <c r="F757">
        <v>150</v>
      </c>
      <c r="G757">
        <v>3000</v>
      </c>
      <c r="H757">
        <v>0.03</v>
      </c>
      <c r="I757" t="s">
        <v>102</v>
      </c>
      <c r="J757">
        <v>90</v>
      </c>
      <c r="Q757" s="22"/>
    </row>
    <row r="758" spans="1:17" x14ac:dyDescent="0.3">
      <c r="A758" t="s">
        <v>1888</v>
      </c>
      <c r="B758" s="17">
        <v>43292</v>
      </c>
      <c r="C758" t="s">
        <v>101</v>
      </c>
      <c r="D758" t="s">
        <v>96</v>
      </c>
      <c r="E758">
        <v>3</v>
      </c>
      <c r="F758">
        <v>230</v>
      </c>
      <c r="G758">
        <v>690</v>
      </c>
      <c r="H758">
        <v>0.11</v>
      </c>
      <c r="I758" t="s">
        <v>113</v>
      </c>
      <c r="J758">
        <v>75.900000000000006</v>
      </c>
      <c r="Q758" s="21"/>
    </row>
    <row r="759" spans="1:17" x14ac:dyDescent="0.3">
      <c r="A759" t="s">
        <v>1889</v>
      </c>
      <c r="B759" s="17">
        <v>43292</v>
      </c>
      <c r="C759" t="s">
        <v>111</v>
      </c>
      <c r="D759" t="s">
        <v>99</v>
      </c>
      <c r="E759">
        <v>16</v>
      </c>
      <c r="F759">
        <v>150</v>
      </c>
      <c r="G759">
        <v>2400</v>
      </c>
      <c r="H759">
        <v>0.08</v>
      </c>
      <c r="I759" t="s">
        <v>102</v>
      </c>
      <c r="J759">
        <v>192</v>
      </c>
      <c r="Q759" s="22"/>
    </row>
    <row r="760" spans="1:17" x14ac:dyDescent="0.3">
      <c r="A760" t="s">
        <v>1890</v>
      </c>
      <c r="B760" s="17">
        <v>43292</v>
      </c>
      <c r="C760" t="s">
        <v>108</v>
      </c>
      <c r="D760" t="s">
        <v>109</v>
      </c>
      <c r="E760">
        <v>14</v>
      </c>
      <c r="F760">
        <v>16</v>
      </c>
      <c r="G760">
        <v>224</v>
      </c>
      <c r="H760">
        <v>0.06</v>
      </c>
      <c r="I760" t="s">
        <v>113</v>
      </c>
      <c r="J760">
        <v>13.44</v>
      </c>
      <c r="Q760" s="21"/>
    </row>
    <row r="761" spans="1:17" x14ac:dyDescent="0.3">
      <c r="A761" t="s">
        <v>1891</v>
      </c>
      <c r="B761" s="17">
        <v>43292</v>
      </c>
      <c r="C761" t="s">
        <v>111</v>
      </c>
      <c r="D761" t="s">
        <v>99</v>
      </c>
      <c r="E761">
        <v>16</v>
      </c>
      <c r="F761">
        <v>150</v>
      </c>
      <c r="G761">
        <v>2400</v>
      </c>
      <c r="H761">
        <v>0.03</v>
      </c>
      <c r="I761" t="s">
        <v>102</v>
      </c>
      <c r="J761">
        <v>72</v>
      </c>
      <c r="Q761" s="22"/>
    </row>
    <row r="762" spans="1:17" x14ac:dyDescent="0.3">
      <c r="A762" t="s">
        <v>1892</v>
      </c>
      <c r="B762" s="17">
        <v>43292</v>
      </c>
      <c r="C762" t="s">
        <v>108</v>
      </c>
      <c r="D762" t="s">
        <v>109</v>
      </c>
      <c r="E762">
        <v>19</v>
      </c>
      <c r="F762">
        <v>16</v>
      </c>
      <c r="G762">
        <v>304</v>
      </c>
      <c r="H762">
        <v>0.02</v>
      </c>
      <c r="I762" t="s">
        <v>113</v>
      </c>
      <c r="J762">
        <v>6.08</v>
      </c>
      <c r="Q762" s="21"/>
    </row>
    <row r="763" spans="1:17" x14ac:dyDescent="0.3">
      <c r="A763" t="s">
        <v>1893</v>
      </c>
      <c r="B763" s="17">
        <v>43292</v>
      </c>
      <c r="C763" t="s">
        <v>95</v>
      </c>
      <c r="D763" t="s">
        <v>109</v>
      </c>
      <c r="E763">
        <v>6</v>
      </c>
      <c r="F763">
        <v>80</v>
      </c>
      <c r="G763">
        <v>480</v>
      </c>
      <c r="H763">
        <v>0.09</v>
      </c>
      <c r="I763" t="s">
        <v>102</v>
      </c>
      <c r="J763">
        <v>43.199999999999996</v>
      </c>
      <c r="Q763" s="22"/>
    </row>
    <row r="764" spans="1:17" x14ac:dyDescent="0.3">
      <c r="A764" t="s">
        <v>1894</v>
      </c>
      <c r="B764" s="17">
        <v>43292</v>
      </c>
      <c r="C764" t="s">
        <v>95</v>
      </c>
      <c r="D764" t="s">
        <v>109</v>
      </c>
      <c r="E764">
        <v>9</v>
      </c>
      <c r="F764">
        <v>80</v>
      </c>
      <c r="G764">
        <v>720</v>
      </c>
      <c r="H764">
        <v>7.0000000000000007E-2</v>
      </c>
      <c r="I764" t="s">
        <v>113</v>
      </c>
      <c r="J764">
        <v>50.400000000000006</v>
      </c>
      <c r="Q764" s="21"/>
    </row>
    <row r="765" spans="1:17" x14ac:dyDescent="0.3">
      <c r="A765" t="s">
        <v>1895</v>
      </c>
      <c r="B765" s="17">
        <v>43292</v>
      </c>
      <c r="C765" t="s">
        <v>111</v>
      </c>
      <c r="D765" t="s">
        <v>99</v>
      </c>
      <c r="E765">
        <v>20</v>
      </c>
      <c r="F765">
        <v>150</v>
      </c>
      <c r="G765">
        <v>3000</v>
      </c>
      <c r="H765">
        <v>0.09</v>
      </c>
      <c r="I765" t="s">
        <v>102</v>
      </c>
      <c r="J765">
        <v>270</v>
      </c>
      <c r="Q765" s="22"/>
    </row>
    <row r="766" spans="1:17" x14ac:dyDescent="0.3">
      <c r="A766" t="s">
        <v>1896</v>
      </c>
      <c r="B766" s="17">
        <v>43292</v>
      </c>
      <c r="C766" t="s">
        <v>95</v>
      </c>
      <c r="D766" t="s">
        <v>104</v>
      </c>
      <c r="E766">
        <v>10</v>
      </c>
      <c r="F766">
        <v>80</v>
      </c>
      <c r="G766">
        <v>800</v>
      </c>
      <c r="H766">
        <v>0.11</v>
      </c>
      <c r="I766" t="s">
        <v>113</v>
      </c>
      <c r="J766">
        <v>88</v>
      </c>
      <c r="Q766" s="21"/>
    </row>
    <row r="767" spans="1:17" x14ac:dyDescent="0.3">
      <c r="A767" t="s">
        <v>1897</v>
      </c>
      <c r="B767" s="17">
        <v>43292</v>
      </c>
      <c r="C767" t="s">
        <v>108</v>
      </c>
      <c r="D767" t="s">
        <v>96</v>
      </c>
      <c r="E767">
        <v>4</v>
      </c>
      <c r="F767">
        <v>16</v>
      </c>
      <c r="G767">
        <v>64</v>
      </c>
      <c r="H767">
        <v>0.12</v>
      </c>
      <c r="I767" t="s">
        <v>102</v>
      </c>
      <c r="J767">
        <v>7.68</v>
      </c>
      <c r="Q767" s="22"/>
    </row>
    <row r="768" spans="1:17" x14ac:dyDescent="0.3">
      <c r="A768" t="s">
        <v>1898</v>
      </c>
      <c r="B768" s="17">
        <v>43292</v>
      </c>
      <c r="C768" t="s">
        <v>98</v>
      </c>
      <c r="D768" t="s">
        <v>109</v>
      </c>
      <c r="E768">
        <v>16</v>
      </c>
      <c r="F768">
        <v>40</v>
      </c>
      <c r="G768">
        <v>640</v>
      </c>
      <c r="H768">
        <v>0.11</v>
      </c>
      <c r="I768" t="s">
        <v>113</v>
      </c>
      <c r="J768">
        <v>70.400000000000006</v>
      </c>
      <c r="Q768" s="21"/>
    </row>
    <row r="769" spans="1:17" x14ac:dyDescent="0.3">
      <c r="A769" t="s">
        <v>1899</v>
      </c>
      <c r="B769" s="17">
        <v>43293</v>
      </c>
      <c r="C769" t="s">
        <v>95</v>
      </c>
      <c r="D769" t="s">
        <v>99</v>
      </c>
      <c r="E769">
        <v>5</v>
      </c>
      <c r="F769">
        <v>80</v>
      </c>
      <c r="G769">
        <v>400</v>
      </c>
      <c r="H769">
        <v>0.04</v>
      </c>
      <c r="I769" t="s">
        <v>102</v>
      </c>
      <c r="J769">
        <v>16</v>
      </c>
      <c r="Q769" s="22"/>
    </row>
    <row r="770" spans="1:17" x14ac:dyDescent="0.3">
      <c r="A770" t="s">
        <v>1900</v>
      </c>
      <c r="B770" s="17">
        <v>43293</v>
      </c>
      <c r="C770" t="s">
        <v>108</v>
      </c>
      <c r="D770" t="s">
        <v>104</v>
      </c>
      <c r="E770">
        <v>11</v>
      </c>
      <c r="F770">
        <v>16</v>
      </c>
      <c r="G770">
        <v>176</v>
      </c>
      <c r="H770">
        <v>0.04</v>
      </c>
      <c r="I770" t="s">
        <v>113</v>
      </c>
      <c r="J770">
        <v>7.04</v>
      </c>
      <c r="Q770" s="21"/>
    </row>
    <row r="771" spans="1:17" x14ac:dyDescent="0.3">
      <c r="A771" t="s">
        <v>1901</v>
      </c>
      <c r="B771" s="17">
        <v>43293</v>
      </c>
      <c r="C771" t="s">
        <v>111</v>
      </c>
      <c r="D771" t="s">
        <v>96</v>
      </c>
      <c r="E771">
        <v>17</v>
      </c>
      <c r="F771">
        <v>150</v>
      </c>
      <c r="G771">
        <v>2550</v>
      </c>
      <c r="H771">
        <v>0.12</v>
      </c>
      <c r="I771" t="s">
        <v>102</v>
      </c>
      <c r="J771">
        <v>306</v>
      </c>
      <c r="Q771" s="22"/>
    </row>
    <row r="772" spans="1:17" x14ac:dyDescent="0.3">
      <c r="A772" t="s">
        <v>1902</v>
      </c>
      <c r="B772" s="17">
        <v>43293</v>
      </c>
      <c r="C772" t="s">
        <v>101</v>
      </c>
      <c r="D772" t="s">
        <v>99</v>
      </c>
      <c r="E772">
        <v>19</v>
      </c>
      <c r="F772">
        <v>230</v>
      </c>
      <c r="G772">
        <v>4370</v>
      </c>
      <c r="H772">
        <v>0.11</v>
      </c>
      <c r="I772" t="s">
        <v>113</v>
      </c>
      <c r="J772">
        <v>480.7</v>
      </c>
      <c r="Q772" s="21"/>
    </row>
    <row r="773" spans="1:17" x14ac:dyDescent="0.3">
      <c r="A773" t="s">
        <v>1903</v>
      </c>
      <c r="B773" s="17">
        <v>43293</v>
      </c>
      <c r="C773" t="s">
        <v>95</v>
      </c>
      <c r="D773" t="s">
        <v>96</v>
      </c>
      <c r="E773">
        <v>21</v>
      </c>
      <c r="F773">
        <v>80</v>
      </c>
      <c r="G773">
        <v>1680</v>
      </c>
      <c r="H773">
        <v>0.04</v>
      </c>
      <c r="I773" t="s">
        <v>102</v>
      </c>
      <c r="J773">
        <v>67.2</v>
      </c>
      <c r="Q773" s="22"/>
    </row>
    <row r="774" spans="1:17" x14ac:dyDescent="0.3">
      <c r="A774" t="s">
        <v>1904</v>
      </c>
      <c r="B774" s="17">
        <v>43293</v>
      </c>
      <c r="C774" t="s">
        <v>101</v>
      </c>
      <c r="D774" t="s">
        <v>99</v>
      </c>
      <c r="E774">
        <v>7</v>
      </c>
      <c r="F774">
        <v>230</v>
      </c>
      <c r="G774">
        <v>1610</v>
      </c>
      <c r="H774">
        <v>0.01</v>
      </c>
      <c r="I774" t="s">
        <v>113</v>
      </c>
      <c r="J774">
        <v>16.100000000000001</v>
      </c>
      <c r="Q774" s="21"/>
    </row>
    <row r="775" spans="1:17" x14ac:dyDescent="0.3">
      <c r="A775" t="s">
        <v>1905</v>
      </c>
      <c r="B775" s="17">
        <v>43293</v>
      </c>
      <c r="C775" t="s">
        <v>98</v>
      </c>
      <c r="D775" t="s">
        <v>104</v>
      </c>
      <c r="E775">
        <v>2</v>
      </c>
      <c r="F775">
        <v>40</v>
      </c>
      <c r="G775">
        <v>80</v>
      </c>
      <c r="H775">
        <v>0.03</v>
      </c>
      <c r="I775" t="s">
        <v>102</v>
      </c>
      <c r="J775">
        <v>2.4</v>
      </c>
      <c r="Q775" s="22"/>
    </row>
    <row r="776" spans="1:17" x14ac:dyDescent="0.3">
      <c r="A776" t="s">
        <v>1906</v>
      </c>
      <c r="B776" s="17">
        <v>43293</v>
      </c>
      <c r="C776" t="s">
        <v>111</v>
      </c>
      <c r="D776" t="s">
        <v>96</v>
      </c>
      <c r="E776">
        <v>7</v>
      </c>
      <c r="F776">
        <v>150</v>
      </c>
      <c r="G776">
        <v>1050</v>
      </c>
      <c r="H776">
        <v>0.02</v>
      </c>
      <c r="I776" t="s">
        <v>113</v>
      </c>
      <c r="J776">
        <v>21</v>
      </c>
      <c r="Q776" s="21"/>
    </row>
    <row r="777" spans="1:17" x14ac:dyDescent="0.3">
      <c r="A777" t="s">
        <v>1907</v>
      </c>
      <c r="B777" s="17">
        <v>43294</v>
      </c>
      <c r="C777" t="s">
        <v>95</v>
      </c>
      <c r="D777" t="s">
        <v>104</v>
      </c>
      <c r="E777">
        <v>16</v>
      </c>
      <c r="F777">
        <v>80</v>
      </c>
      <c r="G777">
        <v>1280</v>
      </c>
      <c r="H777">
        <v>0.04</v>
      </c>
      <c r="I777" t="s">
        <v>102</v>
      </c>
      <c r="J777">
        <v>51.2</v>
      </c>
      <c r="Q777" s="22"/>
    </row>
    <row r="778" spans="1:17" x14ac:dyDescent="0.3">
      <c r="A778" t="s">
        <v>1908</v>
      </c>
      <c r="B778" s="17">
        <v>43294</v>
      </c>
      <c r="C778" t="s">
        <v>98</v>
      </c>
      <c r="D778" t="s">
        <v>99</v>
      </c>
      <c r="E778">
        <v>4</v>
      </c>
      <c r="F778">
        <v>40</v>
      </c>
      <c r="G778">
        <v>160</v>
      </c>
      <c r="H778">
        <v>0.12</v>
      </c>
      <c r="I778" t="s">
        <v>113</v>
      </c>
      <c r="J778">
        <v>19.2</v>
      </c>
      <c r="Q778" s="21"/>
    </row>
    <row r="779" spans="1:17" x14ac:dyDescent="0.3">
      <c r="A779" t="s">
        <v>1909</v>
      </c>
      <c r="B779" s="17">
        <v>43294</v>
      </c>
      <c r="C779" t="s">
        <v>108</v>
      </c>
      <c r="D779" t="s">
        <v>96</v>
      </c>
      <c r="E779">
        <v>22</v>
      </c>
      <c r="F779">
        <v>16</v>
      </c>
      <c r="G779">
        <v>352</v>
      </c>
      <c r="H779">
        <v>0.01</v>
      </c>
      <c r="I779" t="s">
        <v>102</v>
      </c>
      <c r="J779">
        <v>3.52</v>
      </c>
      <c r="Q779" s="22"/>
    </row>
    <row r="780" spans="1:17" x14ac:dyDescent="0.3">
      <c r="A780" t="s">
        <v>1910</v>
      </c>
      <c r="B780" s="17">
        <v>43294</v>
      </c>
      <c r="C780" t="s">
        <v>98</v>
      </c>
      <c r="D780" t="s">
        <v>106</v>
      </c>
      <c r="E780">
        <v>18</v>
      </c>
      <c r="F780">
        <v>40</v>
      </c>
      <c r="G780">
        <v>720</v>
      </c>
      <c r="H780">
        <v>0.06</v>
      </c>
      <c r="I780" t="s">
        <v>113</v>
      </c>
      <c r="J780">
        <v>43.199999999999996</v>
      </c>
      <c r="Q780" s="21"/>
    </row>
    <row r="781" spans="1:17" x14ac:dyDescent="0.3">
      <c r="A781" t="s">
        <v>1911</v>
      </c>
      <c r="B781" s="17">
        <v>43294</v>
      </c>
      <c r="C781" t="s">
        <v>95</v>
      </c>
      <c r="D781" t="s">
        <v>104</v>
      </c>
      <c r="E781">
        <v>6</v>
      </c>
      <c r="F781">
        <v>80</v>
      </c>
      <c r="G781">
        <v>480</v>
      </c>
      <c r="H781">
        <v>0.01</v>
      </c>
      <c r="I781" t="s">
        <v>102</v>
      </c>
      <c r="J781">
        <v>4.8</v>
      </c>
      <c r="Q781" s="22"/>
    </row>
    <row r="782" spans="1:17" x14ac:dyDescent="0.3">
      <c r="A782" t="s">
        <v>1912</v>
      </c>
      <c r="B782" s="17">
        <v>43294</v>
      </c>
      <c r="C782" t="s">
        <v>101</v>
      </c>
      <c r="D782" t="s">
        <v>104</v>
      </c>
      <c r="E782">
        <v>2</v>
      </c>
      <c r="F782">
        <v>230</v>
      </c>
      <c r="G782">
        <v>460</v>
      </c>
      <c r="H782">
        <v>0.09</v>
      </c>
      <c r="I782" t="s">
        <v>113</v>
      </c>
      <c r="J782">
        <v>41.4</v>
      </c>
      <c r="Q782" s="21"/>
    </row>
    <row r="783" spans="1:17" x14ac:dyDescent="0.3">
      <c r="A783" t="s">
        <v>1913</v>
      </c>
      <c r="B783" s="17">
        <v>43295</v>
      </c>
      <c r="C783" t="s">
        <v>111</v>
      </c>
      <c r="D783" t="s">
        <v>109</v>
      </c>
      <c r="E783">
        <v>11</v>
      </c>
      <c r="F783">
        <v>150</v>
      </c>
      <c r="G783">
        <v>1650</v>
      </c>
      <c r="H783">
        <v>0.09</v>
      </c>
      <c r="I783" t="s">
        <v>102</v>
      </c>
      <c r="J783">
        <v>148.5</v>
      </c>
      <c r="Q783" s="22"/>
    </row>
    <row r="784" spans="1:17" x14ac:dyDescent="0.3">
      <c r="A784" t="s">
        <v>1914</v>
      </c>
      <c r="B784" s="17">
        <v>43295</v>
      </c>
      <c r="C784" t="s">
        <v>111</v>
      </c>
      <c r="D784" t="s">
        <v>106</v>
      </c>
      <c r="E784">
        <v>15</v>
      </c>
      <c r="F784">
        <v>150</v>
      </c>
      <c r="G784">
        <v>2250</v>
      </c>
      <c r="H784">
        <v>0.08</v>
      </c>
      <c r="I784" t="s">
        <v>113</v>
      </c>
      <c r="J784">
        <v>180</v>
      </c>
      <c r="Q784" s="21"/>
    </row>
    <row r="785" spans="1:17" x14ac:dyDescent="0.3">
      <c r="A785" t="s">
        <v>1915</v>
      </c>
      <c r="B785" s="17">
        <v>43295</v>
      </c>
      <c r="C785" t="s">
        <v>95</v>
      </c>
      <c r="D785" t="s">
        <v>96</v>
      </c>
      <c r="E785">
        <v>17</v>
      </c>
      <c r="F785">
        <v>80</v>
      </c>
      <c r="G785">
        <v>1360</v>
      </c>
      <c r="H785">
        <v>0.09</v>
      </c>
      <c r="I785" t="s">
        <v>102</v>
      </c>
      <c r="J785">
        <v>122.39999999999999</v>
      </c>
      <c r="Q785" s="22"/>
    </row>
    <row r="786" spans="1:17" x14ac:dyDescent="0.3">
      <c r="A786" t="s">
        <v>1916</v>
      </c>
      <c r="B786" s="17">
        <v>43295</v>
      </c>
      <c r="C786" t="s">
        <v>111</v>
      </c>
      <c r="D786" t="s">
        <v>109</v>
      </c>
      <c r="E786">
        <v>13</v>
      </c>
      <c r="F786">
        <v>150</v>
      </c>
      <c r="G786">
        <v>1950</v>
      </c>
      <c r="H786">
        <v>0.11</v>
      </c>
      <c r="I786" t="s">
        <v>113</v>
      </c>
      <c r="J786">
        <v>214.5</v>
      </c>
      <c r="Q786" s="21"/>
    </row>
    <row r="787" spans="1:17" x14ac:dyDescent="0.3">
      <c r="A787" t="s">
        <v>1917</v>
      </c>
      <c r="B787" s="17">
        <v>43295</v>
      </c>
      <c r="C787" t="s">
        <v>98</v>
      </c>
      <c r="D787" t="s">
        <v>106</v>
      </c>
      <c r="E787">
        <v>7</v>
      </c>
      <c r="F787">
        <v>40</v>
      </c>
      <c r="G787">
        <v>280</v>
      </c>
      <c r="H787">
        <v>7.0000000000000007E-2</v>
      </c>
      <c r="I787" t="s">
        <v>102</v>
      </c>
      <c r="J787">
        <v>19.600000000000001</v>
      </c>
      <c r="Q787" s="22"/>
    </row>
    <row r="788" spans="1:17" x14ac:dyDescent="0.3">
      <c r="A788" t="s">
        <v>1918</v>
      </c>
      <c r="B788" s="17">
        <v>43295</v>
      </c>
      <c r="C788" t="s">
        <v>101</v>
      </c>
      <c r="D788" t="s">
        <v>106</v>
      </c>
      <c r="E788">
        <v>3</v>
      </c>
      <c r="F788">
        <v>230</v>
      </c>
      <c r="G788">
        <v>690</v>
      </c>
      <c r="H788">
        <v>0.01</v>
      </c>
      <c r="I788" t="s">
        <v>113</v>
      </c>
      <c r="J788">
        <v>6.9</v>
      </c>
      <c r="Q788" s="21"/>
    </row>
    <row r="789" spans="1:17" x14ac:dyDescent="0.3">
      <c r="A789" t="s">
        <v>1919</v>
      </c>
      <c r="B789" s="17">
        <v>43295</v>
      </c>
      <c r="C789" t="s">
        <v>98</v>
      </c>
      <c r="D789" t="s">
        <v>104</v>
      </c>
      <c r="E789">
        <v>12</v>
      </c>
      <c r="F789">
        <v>40</v>
      </c>
      <c r="G789">
        <v>480</v>
      </c>
      <c r="H789">
        <v>0.02</v>
      </c>
      <c r="I789" t="s">
        <v>102</v>
      </c>
      <c r="J789">
        <v>9.6</v>
      </c>
      <c r="Q789" s="22"/>
    </row>
    <row r="790" spans="1:17" x14ac:dyDescent="0.3">
      <c r="A790" t="s">
        <v>1920</v>
      </c>
      <c r="B790" s="17">
        <v>43295</v>
      </c>
      <c r="C790" t="s">
        <v>111</v>
      </c>
      <c r="D790" t="s">
        <v>104</v>
      </c>
      <c r="E790">
        <v>11</v>
      </c>
      <c r="F790">
        <v>150</v>
      </c>
      <c r="G790">
        <v>1650</v>
      </c>
      <c r="H790">
        <v>0.11</v>
      </c>
      <c r="I790" t="s">
        <v>113</v>
      </c>
      <c r="J790">
        <v>181.5</v>
      </c>
      <c r="Q790" s="21"/>
    </row>
    <row r="791" spans="1:17" x14ac:dyDescent="0.3">
      <c r="A791" t="s">
        <v>1921</v>
      </c>
      <c r="B791" s="17">
        <v>43295</v>
      </c>
      <c r="C791" t="s">
        <v>98</v>
      </c>
      <c r="D791" t="s">
        <v>99</v>
      </c>
      <c r="E791">
        <v>21</v>
      </c>
      <c r="F791">
        <v>40</v>
      </c>
      <c r="G791">
        <v>840</v>
      </c>
      <c r="H791">
        <v>0.03</v>
      </c>
      <c r="I791" t="s">
        <v>102</v>
      </c>
      <c r="J791">
        <v>25.2</v>
      </c>
      <c r="Q791" s="22"/>
    </row>
    <row r="792" spans="1:17" x14ac:dyDescent="0.3">
      <c r="A792" t="s">
        <v>1922</v>
      </c>
      <c r="B792" s="17">
        <v>43295</v>
      </c>
      <c r="C792" t="s">
        <v>111</v>
      </c>
      <c r="D792" t="s">
        <v>96</v>
      </c>
      <c r="E792">
        <v>22</v>
      </c>
      <c r="F792">
        <v>150</v>
      </c>
      <c r="G792">
        <v>3300</v>
      </c>
      <c r="H792">
        <v>7.0000000000000007E-2</v>
      </c>
      <c r="I792" t="s">
        <v>113</v>
      </c>
      <c r="J792">
        <v>231.00000000000003</v>
      </c>
      <c r="Q792" s="21"/>
    </row>
    <row r="793" spans="1:17" x14ac:dyDescent="0.3">
      <c r="A793" t="s">
        <v>1923</v>
      </c>
      <c r="B793" s="17">
        <v>43295</v>
      </c>
      <c r="C793" t="s">
        <v>98</v>
      </c>
      <c r="D793" t="s">
        <v>104</v>
      </c>
      <c r="E793">
        <v>20</v>
      </c>
      <c r="F793">
        <v>40</v>
      </c>
      <c r="G793">
        <v>800</v>
      </c>
      <c r="H793">
        <v>0.01</v>
      </c>
      <c r="I793" t="s">
        <v>102</v>
      </c>
      <c r="J793">
        <v>8</v>
      </c>
      <c r="Q793" s="22"/>
    </row>
    <row r="794" spans="1:17" x14ac:dyDescent="0.3">
      <c r="A794" t="s">
        <v>1924</v>
      </c>
      <c r="B794" s="17">
        <v>43296</v>
      </c>
      <c r="C794" t="s">
        <v>108</v>
      </c>
      <c r="D794" t="s">
        <v>109</v>
      </c>
      <c r="E794">
        <v>22</v>
      </c>
      <c r="F794">
        <v>16</v>
      </c>
      <c r="G794">
        <v>352</v>
      </c>
      <c r="H794">
        <v>0.12</v>
      </c>
      <c r="I794" t="s">
        <v>113</v>
      </c>
      <c r="J794">
        <v>42.239999999999995</v>
      </c>
      <c r="Q794" s="21"/>
    </row>
    <row r="795" spans="1:17" x14ac:dyDescent="0.3">
      <c r="A795" t="s">
        <v>1925</v>
      </c>
      <c r="B795" s="17">
        <v>43296</v>
      </c>
      <c r="C795" t="s">
        <v>98</v>
      </c>
      <c r="D795" t="s">
        <v>104</v>
      </c>
      <c r="E795">
        <v>4</v>
      </c>
      <c r="F795">
        <v>40</v>
      </c>
      <c r="G795">
        <v>160</v>
      </c>
      <c r="H795">
        <v>0.1</v>
      </c>
      <c r="I795" t="s">
        <v>102</v>
      </c>
      <c r="J795">
        <v>16</v>
      </c>
      <c r="Q795" s="22"/>
    </row>
    <row r="796" spans="1:17" x14ac:dyDescent="0.3">
      <c r="A796" t="s">
        <v>1926</v>
      </c>
      <c r="B796" s="17">
        <v>43296</v>
      </c>
      <c r="C796" t="s">
        <v>101</v>
      </c>
      <c r="D796" t="s">
        <v>106</v>
      </c>
      <c r="E796">
        <v>2</v>
      </c>
      <c r="F796">
        <v>230</v>
      </c>
      <c r="G796">
        <v>460</v>
      </c>
      <c r="H796">
        <v>0.09</v>
      </c>
      <c r="I796" t="s">
        <v>113</v>
      </c>
      <c r="J796">
        <v>41.4</v>
      </c>
      <c r="Q796" s="21"/>
    </row>
    <row r="797" spans="1:17" x14ac:dyDescent="0.3">
      <c r="A797" t="s">
        <v>1927</v>
      </c>
      <c r="B797" s="17">
        <v>43296</v>
      </c>
      <c r="C797" t="s">
        <v>98</v>
      </c>
      <c r="D797" t="s">
        <v>96</v>
      </c>
      <c r="E797">
        <v>22</v>
      </c>
      <c r="F797">
        <v>40</v>
      </c>
      <c r="G797">
        <v>880</v>
      </c>
      <c r="H797">
        <v>0.02</v>
      </c>
      <c r="I797" t="s">
        <v>102</v>
      </c>
      <c r="J797">
        <v>17.600000000000001</v>
      </c>
      <c r="Q797" s="22"/>
    </row>
    <row r="798" spans="1:17" x14ac:dyDescent="0.3">
      <c r="A798" t="s">
        <v>1928</v>
      </c>
      <c r="B798" s="17">
        <v>43296</v>
      </c>
      <c r="C798" t="s">
        <v>98</v>
      </c>
      <c r="D798" t="s">
        <v>99</v>
      </c>
      <c r="E798">
        <v>4</v>
      </c>
      <c r="F798">
        <v>40</v>
      </c>
      <c r="G798">
        <v>160</v>
      </c>
      <c r="H798">
        <v>0.03</v>
      </c>
      <c r="I798" t="s">
        <v>113</v>
      </c>
      <c r="J798">
        <v>4.8</v>
      </c>
      <c r="Q798" s="21"/>
    </row>
    <row r="799" spans="1:17" x14ac:dyDescent="0.3">
      <c r="A799" t="s">
        <v>1929</v>
      </c>
      <c r="B799" s="17">
        <v>43296</v>
      </c>
      <c r="C799" t="s">
        <v>108</v>
      </c>
      <c r="D799" t="s">
        <v>99</v>
      </c>
      <c r="E799">
        <v>5</v>
      </c>
      <c r="F799">
        <v>16</v>
      </c>
      <c r="G799">
        <v>80</v>
      </c>
      <c r="H799">
        <v>0.11</v>
      </c>
      <c r="I799" t="s">
        <v>102</v>
      </c>
      <c r="J799">
        <v>8.8000000000000007</v>
      </c>
      <c r="Q799" s="22"/>
    </row>
    <row r="800" spans="1:17" x14ac:dyDescent="0.3">
      <c r="A800" t="s">
        <v>1930</v>
      </c>
      <c r="B800" s="17">
        <v>43296</v>
      </c>
      <c r="C800" t="s">
        <v>95</v>
      </c>
      <c r="D800" t="s">
        <v>106</v>
      </c>
      <c r="E800">
        <v>2</v>
      </c>
      <c r="F800">
        <v>80</v>
      </c>
      <c r="G800">
        <v>160</v>
      </c>
      <c r="H800">
        <v>0.08</v>
      </c>
      <c r="I800" t="s">
        <v>113</v>
      </c>
      <c r="J800">
        <v>12.8</v>
      </c>
      <c r="Q800" s="21"/>
    </row>
    <row r="801" spans="1:17" x14ac:dyDescent="0.3">
      <c r="A801" t="s">
        <v>1931</v>
      </c>
      <c r="B801" s="17">
        <v>43296</v>
      </c>
      <c r="C801" t="s">
        <v>108</v>
      </c>
      <c r="D801" t="s">
        <v>104</v>
      </c>
      <c r="E801">
        <v>9</v>
      </c>
      <c r="F801">
        <v>16</v>
      </c>
      <c r="G801">
        <v>144</v>
      </c>
      <c r="H801">
        <v>0.05</v>
      </c>
      <c r="I801" t="s">
        <v>102</v>
      </c>
      <c r="J801">
        <v>7.2</v>
      </c>
      <c r="Q801" s="22"/>
    </row>
    <row r="802" spans="1:17" x14ac:dyDescent="0.3">
      <c r="A802" t="s">
        <v>1932</v>
      </c>
      <c r="B802" s="17">
        <v>43296</v>
      </c>
      <c r="C802" t="s">
        <v>101</v>
      </c>
      <c r="D802" t="s">
        <v>104</v>
      </c>
      <c r="E802">
        <v>6</v>
      </c>
      <c r="F802">
        <v>230</v>
      </c>
      <c r="G802">
        <v>1380</v>
      </c>
      <c r="H802">
        <v>0.05</v>
      </c>
      <c r="I802" t="s">
        <v>113</v>
      </c>
      <c r="J802">
        <v>69</v>
      </c>
      <c r="Q802" s="21"/>
    </row>
    <row r="803" spans="1:17" x14ac:dyDescent="0.3">
      <c r="A803" t="s">
        <v>1933</v>
      </c>
      <c r="B803" s="17">
        <v>43296</v>
      </c>
      <c r="C803" t="s">
        <v>111</v>
      </c>
      <c r="D803" t="s">
        <v>106</v>
      </c>
      <c r="E803">
        <v>22</v>
      </c>
      <c r="F803">
        <v>150</v>
      </c>
      <c r="G803">
        <v>3300</v>
      </c>
      <c r="H803">
        <v>0.05</v>
      </c>
      <c r="I803" t="s">
        <v>102</v>
      </c>
      <c r="J803">
        <v>165</v>
      </c>
      <c r="Q803" s="22"/>
    </row>
    <row r="804" spans="1:17" x14ac:dyDescent="0.3">
      <c r="A804" t="s">
        <v>1934</v>
      </c>
      <c r="B804" s="17">
        <v>43297</v>
      </c>
      <c r="C804" t="s">
        <v>101</v>
      </c>
      <c r="D804" t="s">
        <v>106</v>
      </c>
      <c r="E804">
        <v>8</v>
      </c>
      <c r="F804">
        <v>230</v>
      </c>
      <c r="G804">
        <v>1840</v>
      </c>
      <c r="H804">
        <v>0.01</v>
      </c>
      <c r="I804" t="s">
        <v>113</v>
      </c>
      <c r="J804">
        <v>18.400000000000002</v>
      </c>
      <c r="Q804" s="21"/>
    </row>
    <row r="805" spans="1:17" x14ac:dyDescent="0.3">
      <c r="A805" t="s">
        <v>1935</v>
      </c>
      <c r="B805" s="17">
        <v>43297</v>
      </c>
      <c r="C805" t="s">
        <v>111</v>
      </c>
      <c r="D805" t="s">
        <v>96</v>
      </c>
      <c r="E805">
        <v>22</v>
      </c>
      <c r="F805">
        <v>150</v>
      </c>
      <c r="G805">
        <v>3300</v>
      </c>
      <c r="H805">
        <v>0.05</v>
      </c>
      <c r="I805" t="s">
        <v>102</v>
      </c>
      <c r="J805">
        <v>165</v>
      </c>
      <c r="Q805" s="22"/>
    </row>
    <row r="806" spans="1:17" x14ac:dyDescent="0.3">
      <c r="A806" t="s">
        <v>1936</v>
      </c>
      <c r="B806" s="17">
        <v>43297</v>
      </c>
      <c r="C806" t="s">
        <v>98</v>
      </c>
      <c r="D806" t="s">
        <v>96</v>
      </c>
      <c r="E806">
        <v>5</v>
      </c>
      <c r="F806">
        <v>40</v>
      </c>
      <c r="G806">
        <v>200</v>
      </c>
      <c r="H806">
        <v>0.06</v>
      </c>
      <c r="I806" t="s">
        <v>113</v>
      </c>
      <c r="J806">
        <v>12</v>
      </c>
      <c r="Q806" s="21"/>
    </row>
    <row r="807" spans="1:17" x14ac:dyDescent="0.3">
      <c r="A807" t="s">
        <v>1937</v>
      </c>
      <c r="B807" s="17">
        <v>43297</v>
      </c>
      <c r="C807" t="s">
        <v>111</v>
      </c>
      <c r="D807" t="s">
        <v>106</v>
      </c>
      <c r="E807">
        <v>20</v>
      </c>
      <c r="F807">
        <v>150</v>
      </c>
      <c r="G807">
        <v>3000</v>
      </c>
      <c r="H807">
        <v>0.1</v>
      </c>
      <c r="I807" t="s">
        <v>102</v>
      </c>
      <c r="J807">
        <v>300</v>
      </c>
      <c r="Q807" s="22"/>
    </row>
    <row r="808" spans="1:17" x14ac:dyDescent="0.3">
      <c r="A808" t="s">
        <v>1938</v>
      </c>
      <c r="B808" s="17">
        <v>43297</v>
      </c>
      <c r="C808" t="s">
        <v>95</v>
      </c>
      <c r="D808" t="s">
        <v>106</v>
      </c>
      <c r="E808">
        <v>22</v>
      </c>
      <c r="F808">
        <v>80</v>
      </c>
      <c r="G808">
        <v>1760</v>
      </c>
      <c r="H808">
        <v>0.03</v>
      </c>
      <c r="I808" t="s">
        <v>113</v>
      </c>
      <c r="J808">
        <v>52.8</v>
      </c>
      <c r="Q808" s="21"/>
    </row>
    <row r="809" spans="1:17" x14ac:dyDescent="0.3">
      <c r="A809" t="s">
        <v>1939</v>
      </c>
      <c r="B809" s="17">
        <v>43297</v>
      </c>
      <c r="C809" t="s">
        <v>108</v>
      </c>
      <c r="D809" t="s">
        <v>96</v>
      </c>
      <c r="E809">
        <v>11</v>
      </c>
      <c r="F809">
        <v>16</v>
      </c>
      <c r="G809">
        <v>176</v>
      </c>
      <c r="H809">
        <v>0.09</v>
      </c>
      <c r="I809" t="s">
        <v>102</v>
      </c>
      <c r="J809">
        <v>15.84</v>
      </c>
      <c r="Q809" s="22"/>
    </row>
    <row r="810" spans="1:17" x14ac:dyDescent="0.3">
      <c r="A810" t="s">
        <v>1940</v>
      </c>
      <c r="B810" s="17">
        <v>43297</v>
      </c>
      <c r="C810" t="s">
        <v>108</v>
      </c>
      <c r="D810" t="s">
        <v>99</v>
      </c>
      <c r="E810">
        <v>22</v>
      </c>
      <c r="F810">
        <v>16</v>
      </c>
      <c r="G810">
        <v>352</v>
      </c>
      <c r="H810">
        <v>0.01</v>
      </c>
      <c r="I810" t="s">
        <v>113</v>
      </c>
      <c r="J810">
        <v>3.52</v>
      </c>
      <c r="Q810" s="21"/>
    </row>
    <row r="811" spans="1:17" x14ac:dyDescent="0.3">
      <c r="A811" t="s">
        <v>1941</v>
      </c>
      <c r="B811" s="17">
        <v>43297</v>
      </c>
      <c r="C811" t="s">
        <v>98</v>
      </c>
      <c r="D811" t="s">
        <v>99</v>
      </c>
      <c r="E811">
        <v>23</v>
      </c>
      <c r="F811">
        <v>40</v>
      </c>
      <c r="G811">
        <v>920</v>
      </c>
      <c r="H811">
        <v>0.06</v>
      </c>
      <c r="I811" t="s">
        <v>102</v>
      </c>
      <c r="J811">
        <v>55.199999999999996</v>
      </c>
      <c r="Q811" s="22"/>
    </row>
    <row r="812" spans="1:17" x14ac:dyDescent="0.3">
      <c r="A812" t="s">
        <v>1942</v>
      </c>
      <c r="B812" s="17">
        <v>43297</v>
      </c>
      <c r="C812" t="s">
        <v>95</v>
      </c>
      <c r="D812" t="s">
        <v>104</v>
      </c>
      <c r="E812">
        <v>14</v>
      </c>
      <c r="F812">
        <v>80</v>
      </c>
      <c r="G812">
        <v>1120</v>
      </c>
      <c r="H812">
        <v>0.1</v>
      </c>
      <c r="I812" t="s">
        <v>113</v>
      </c>
      <c r="J812">
        <v>112</v>
      </c>
      <c r="Q812" s="21"/>
    </row>
    <row r="813" spans="1:17" x14ac:dyDescent="0.3">
      <c r="A813" t="s">
        <v>1943</v>
      </c>
      <c r="B813" s="17">
        <v>43297</v>
      </c>
      <c r="C813" t="s">
        <v>98</v>
      </c>
      <c r="D813" t="s">
        <v>96</v>
      </c>
      <c r="E813">
        <v>18</v>
      </c>
      <c r="F813">
        <v>40</v>
      </c>
      <c r="G813">
        <v>720</v>
      </c>
      <c r="H813">
        <v>0.06</v>
      </c>
      <c r="I813" t="s">
        <v>102</v>
      </c>
      <c r="J813">
        <v>43.199999999999996</v>
      </c>
      <c r="Q813" s="22"/>
    </row>
    <row r="814" spans="1:17" x14ac:dyDescent="0.3">
      <c r="A814" t="s">
        <v>1944</v>
      </c>
      <c r="B814" s="17">
        <v>43298</v>
      </c>
      <c r="C814" t="s">
        <v>111</v>
      </c>
      <c r="D814" t="s">
        <v>106</v>
      </c>
      <c r="E814">
        <v>7</v>
      </c>
      <c r="F814">
        <v>150</v>
      </c>
      <c r="G814">
        <v>1050</v>
      </c>
      <c r="H814">
        <v>0.05</v>
      </c>
      <c r="I814" t="s">
        <v>100</v>
      </c>
      <c r="J814">
        <v>52.5</v>
      </c>
      <c r="Q814" s="21"/>
    </row>
    <row r="815" spans="1:17" x14ac:dyDescent="0.3">
      <c r="A815" t="s">
        <v>1945</v>
      </c>
      <c r="B815" s="17">
        <v>43298</v>
      </c>
      <c r="C815" t="s">
        <v>98</v>
      </c>
      <c r="D815" t="s">
        <v>106</v>
      </c>
      <c r="E815">
        <v>15</v>
      </c>
      <c r="F815">
        <v>40</v>
      </c>
      <c r="G815">
        <v>600</v>
      </c>
      <c r="H815">
        <v>0.03</v>
      </c>
      <c r="I815" t="s">
        <v>102</v>
      </c>
      <c r="J815">
        <v>18</v>
      </c>
      <c r="Q815" s="22"/>
    </row>
    <row r="816" spans="1:17" x14ac:dyDescent="0.3">
      <c r="A816" t="s">
        <v>1946</v>
      </c>
      <c r="B816" s="17">
        <v>43298</v>
      </c>
      <c r="C816" t="s">
        <v>108</v>
      </c>
      <c r="D816" t="s">
        <v>96</v>
      </c>
      <c r="E816">
        <v>7</v>
      </c>
      <c r="F816">
        <v>16</v>
      </c>
      <c r="G816">
        <v>112</v>
      </c>
      <c r="H816">
        <v>0.02</v>
      </c>
      <c r="I816" t="s">
        <v>103</v>
      </c>
      <c r="J816">
        <v>2.2400000000000002</v>
      </c>
      <c r="Q816" s="21"/>
    </row>
    <row r="817" spans="1:17" x14ac:dyDescent="0.3">
      <c r="A817" t="s">
        <v>1947</v>
      </c>
      <c r="B817" s="17">
        <v>43298</v>
      </c>
      <c r="C817" t="s">
        <v>108</v>
      </c>
      <c r="D817" t="s">
        <v>106</v>
      </c>
      <c r="E817">
        <v>15</v>
      </c>
      <c r="F817">
        <v>16</v>
      </c>
      <c r="G817">
        <v>240</v>
      </c>
      <c r="H817">
        <v>0.12</v>
      </c>
      <c r="I817" t="s">
        <v>105</v>
      </c>
      <c r="J817">
        <v>28.799999999999997</v>
      </c>
      <c r="Q817" s="22"/>
    </row>
    <row r="818" spans="1:17" x14ac:dyDescent="0.3">
      <c r="A818" t="s">
        <v>1948</v>
      </c>
      <c r="B818" s="17">
        <v>43298</v>
      </c>
      <c r="C818" t="s">
        <v>98</v>
      </c>
      <c r="D818" t="s">
        <v>96</v>
      </c>
      <c r="E818">
        <v>5</v>
      </c>
      <c r="F818">
        <v>40</v>
      </c>
      <c r="G818">
        <v>200</v>
      </c>
      <c r="H818">
        <v>0.09</v>
      </c>
      <c r="I818" t="s">
        <v>107</v>
      </c>
      <c r="J818">
        <v>18</v>
      </c>
      <c r="Q818" s="21"/>
    </row>
    <row r="819" spans="1:17" x14ac:dyDescent="0.3">
      <c r="A819" t="s">
        <v>1949</v>
      </c>
      <c r="B819" s="17">
        <v>43298</v>
      </c>
      <c r="C819" t="s">
        <v>98</v>
      </c>
      <c r="D819" t="s">
        <v>109</v>
      </c>
      <c r="E819">
        <v>20</v>
      </c>
      <c r="F819">
        <v>40</v>
      </c>
      <c r="G819">
        <v>800</v>
      </c>
      <c r="H819">
        <v>0.03</v>
      </c>
      <c r="I819" t="s">
        <v>110</v>
      </c>
      <c r="J819">
        <v>24</v>
      </c>
      <c r="Q819" s="22"/>
    </row>
    <row r="820" spans="1:17" x14ac:dyDescent="0.3">
      <c r="A820" t="s">
        <v>1950</v>
      </c>
      <c r="B820" s="17">
        <v>43298</v>
      </c>
      <c r="C820" t="s">
        <v>101</v>
      </c>
      <c r="D820" t="s">
        <v>106</v>
      </c>
      <c r="E820">
        <v>11</v>
      </c>
      <c r="F820">
        <v>230</v>
      </c>
      <c r="G820">
        <v>2530</v>
      </c>
      <c r="H820">
        <v>0.12</v>
      </c>
      <c r="I820" t="s">
        <v>112</v>
      </c>
      <c r="J820">
        <v>303.59999999999997</v>
      </c>
      <c r="Q820" s="21"/>
    </row>
    <row r="821" spans="1:17" x14ac:dyDescent="0.3">
      <c r="A821" t="s">
        <v>1951</v>
      </c>
      <c r="B821" s="17">
        <v>43298</v>
      </c>
      <c r="C821" t="s">
        <v>108</v>
      </c>
      <c r="D821" t="s">
        <v>109</v>
      </c>
      <c r="E821">
        <v>17</v>
      </c>
      <c r="F821">
        <v>16</v>
      </c>
      <c r="G821">
        <v>272</v>
      </c>
      <c r="H821">
        <v>0.08</v>
      </c>
      <c r="I821" t="s">
        <v>113</v>
      </c>
      <c r="J821">
        <v>21.76</v>
      </c>
      <c r="Q821" s="22"/>
    </row>
    <row r="822" spans="1:17" x14ac:dyDescent="0.3">
      <c r="A822" t="s">
        <v>1952</v>
      </c>
      <c r="B822" s="17">
        <v>43299</v>
      </c>
      <c r="C822" t="s">
        <v>108</v>
      </c>
      <c r="D822" t="s">
        <v>96</v>
      </c>
      <c r="E822">
        <v>18</v>
      </c>
      <c r="F822">
        <v>16</v>
      </c>
      <c r="G822">
        <v>288</v>
      </c>
      <c r="H822">
        <v>0.11</v>
      </c>
      <c r="I822" t="s">
        <v>114</v>
      </c>
      <c r="J822">
        <v>31.68</v>
      </c>
      <c r="Q822" s="21"/>
    </row>
    <row r="823" spans="1:17" x14ac:dyDescent="0.3">
      <c r="A823" t="s">
        <v>1953</v>
      </c>
      <c r="B823" s="17">
        <v>43299</v>
      </c>
      <c r="C823" t="s">
        <v>101</v>
      </c>
      <c r="D823" t="s">
        <v>106</v>
      </c>
      <c r="E823">
        <v>2</v>
      </c>
      <c r="F823">
        <v>230</v>
      </c>
      <c r="G823">
        <v>460</v>
      </c>
      <c r="H823">
        <v>0.08</v>
      </c>
      <c r="I823" t="s">
        <v>115</v>
      </c>
      <c r="J823">
        <v>36.800000000000004</v>
      </c>
      <c r="Q823" s="22"/>
    </row>
    <row r="824" spans="1:17" x14ac:dyDescent="0.3">
      <c r="A824" t="s">
        <v>1954</v>
      </c>
      <c r="B824" s="17">
        <v>43299</v>
      </c>
      <c r="C824" t="s">
        <v>108</v>
      </c>
      <c r="D824" t="s">
        <v>104</v>
      </c>
      <c r="E824">
        <v>17</v>
      </c>
      <c r="F824">
        <v>16</v>
      </c>
      <c r="G824">
        <v>272</v>
      </c>
      <c r="H824">
        <v>0.05</v>
      </c>
      <c r="I824" t="s">
        <v>116</v>
      </c>
      <c r="J824">
        <v>13.600000000000001</v>
      </c>
      <c r="Q824" s="21"/>
    </row>
    <row r="825" spans="1:17" x14ac:dyDescent="0.3">
      <c r="A825" t="s">
        <v>1955</v>
      </c>
      <c r="B825" s="17">
        <v>43299</v>
      </c>
      <c r="C825" t="s">
        <v>95</v>
      </c>
      <c r="D825" t="s">
        <v>106</v>
      </c>
      <c r="E825">
        <v>16</v>
      </c>
      <c r="F825">
        <v>80</v>
      </c>
      <c r="G825">
        <v>1280</v>
      </c>
      <c r="H825">
        <v>0.05</v>
      </c>
      <c r="I825" t="s">
        <v>97</v>
      </c>
      <c r="J825">
        <v>64</v>
      </c>
      <c r="Q825" s="22"/>
    </row>
    <row r="826" spans="1:17" x14ac:dyDescent="0.3">
      <c r="A826" t="s">
        <v>1956</v>
      </c>
      <c r="B826" s="17">
        <v>43299</v>
      </c>
      <c r="C826" t="s">
        <v>101</v>
      </c>
      <c r="D826" t="s">
        <v>99</v>
      </c>
      <c r="E826">
        <v>14</v>
      </c>
      <c r="F826">
        <v>230</v>
      </c>
      <c r="G826">
        <v>3220</v>
      </c>
      <c r="H826">
        <v>0.05</v>
      </c>
      <c r="I826" t="s">
        <v>100</v>
      </c>
      <c r="J826">
        <v>161</v>
      </c>
      <c r="Q826" s="21"/>
    </row>
    <row r="827" spans="1:17" x14ac:dyDescent="0.3">
      <c r="A827" t="s">
        <v>1957</v>
      </c>
      <c r="B827" s="17">
        <v>43299</v>
      </c>
      <c r="C827" t="s">
        <v>98</v>
      </c>
      <c r="D827" t="s">
        <v>104</v>
      </c>
      <c r="E827">
        <v>13</v>
      </c>
      <c r="F827">
        <v>40</v>
      </c>
      <c r="G827">
        <v>520</v>
      </c>
      <c r="H827">
        <v>0.02</v>
      </c>
      <c r="I827" t="s">
        <v>102</v>
      </c>
      <c r="J827">
        <v>10.4</v>
      </c>
      <c r="Q827" s="22"/>
    </row>
    <row r="828" spans="1:17" x14ac:dyDescent="0.3">
      <c r="A828" t="s">
        <v>1958</v>
      </c>
      <c r="B828" s="17">
        <v>43299</v>
      </c>
      <c r="C828" t="s">
        <v>101</v>
      </c>
      <c r="D828" t="s">
        <v>99</v>
      </c>
      <c r="E828">
        <v>7</v>
      </c>
      <c r="F828">
        <v>230</v>
      </c>
      <c r="G828">
        <v>1610</v>
      </c>
      <c r="H828">
        <v>0.08</v>
      </c>
      <c r="I828" t="s">
        <v>103</v>
      </c>
      <c r="J828">
        <v>128.80000000000001</v>
      </c>
      <c r="Q828" s="21"/>
    </row>
    <row r="829" spans="1:17" x14ac:dyDescent="0.3">
      <c r="A829" t="s">
        <v>1959</v>
      </c>
      <c r="B829" s="17">
        <v>43299</v>
      </c>
      <c r="C829" t="s">
        <v>98</v>
      </c>
      <c r="D829" t="s">
        <v>106</v>
      </c>
      <c r="E829">
        <v>7</v>
      </c>
      <c r="F829">
        <v>40</v>
      </c>
      <c r="G829">
        <v>280</v>
      </c>
      <c r="H829">
        <v>0.11</v>
      </c>
      <c r="I829" t="s">
        <v>105</v>
      </c>
      <c r="J829">
        <v>30.8</v>
      </c>
      <c r="Q829" s="22"/>
    </row>
    <row r="830" spans="1:17" x14ac:dyDescent="0.3">
      <c r="A830" t="s">
        <v>1960</v>
      </c>
      <c r="B830" s="17">
        <v>43299</v>
      </c>
      <c r="C830" t="s">
        <v>101</v>
      </c>
      <c r="D830" t="s">
        <v>104</v>
      </c>
      <c r="E830">
        <v>12</v>
      </c>
      <c r="F830">
        <v>230</v>
      </c>
      <c r="G830">
        <v>2760</v>
      </c>
      <c r="H830">
        <v>0.06</v>
      </c>
      <c r="I830" t="s">
        <v>107</v>
      </c>
      <c r="J830">
        <v>165.6</v>
      </c>
      <c r="Q830" s="21"/>
    </row>
    <row r="831" spans="1:17" x14ac:dyDescent="0.3">
      <c r="A831" t="s">
        <v>1961</v>
      </c>
      <c r="B831" s="17">
        <v>43299</v>
      </c>
      <c r="C831" t="s">
        <v>98</v>
      </c>
      <c r="D831" t="s">
        <v>96</v>
      </c>
      <c r="E831">
        <v>19</v>
      </c>
      <c r="F831">
        <v>40</v>
      </c>
      <c r="G831">
        <v>760</v>
      </c>
      <c r="H831">
        <v>0.04</v>
      </c>
      <c r="I831" t="s">
        <v>100</v>
      </c>
      <c r="J831">
        <v>30.400000000000002</v>
      </c>
      <c r="Q831" s="22"/>
    </row>
    <row r="832" spans="1:17" x14ac:dyDescent="0.3">
      <c r="A832" t="s">
        <v>1962</v>
      </c>
      <c r="B832" s="17">
        <v>43300</v>
      </c>
      <c r="C832" t="s">
        <v>101</v>
      </c>
      <c r="D832" t="s">
        <v>104</v>
      </c>
      <c r="E832">
        <v>20</v>
      </c>
      <c r="F832">
        <v>230</v>
      </c>
      <c r="G832">
        <v>4600</v>
      </c>
      <c r="H832">
        <v>0.06</v>
      </c>
      <c r="I832" t="s">
        <v>102</v>
      </c>
      <c r="J832">
        <v>276</v>
      </c>
      <c r="Q832" s="21"/>
    </row>
    <row r="833" spans="1:17" x14ac:dyDescent="0.3">
      <c r="A833" t="s">
        <v>1963</v>
      </c>
      <c r="B833" s="17">
        <v>43300</v>
      </c>
      <c r="C833" t="s">
        <v>98</v>
      </c>
      <c r="D833" t="s">
        <v>109</v>
      </c>
      <c r="E833">
        <v>23</v>
      </c>
      <c r="F833">
        <v>40</v>
      </c>
      <c r="G833">
        <v>920</v>
      </c>
      <c r="H833">
        <v>0.04</v>
      </c>
      <c r="I833" t="s">
        <v>103</v>
      </c>
      <c r="J833">
        <v>36.800000000000004</v>
      </c>
      <c r="Q833" s="22"/>
    </row>
    <row r="834" spans="1:17" x14ac:dyDescent="0.3">
      <c r="A834" t="s">
        <v>1964</v>
      </c>
      <c r="B834" s="17">
        <v>43300</v>
      </c>
      <c r="C834" t="s">
        <v>95</v>
      </c>
      <c r="D834" t="s">
        <v>109</v>
      </c>
      <c r="E834">
        <v>16</v>
      </c>
      <c r="F834">
        <v>80</v>
      </c>
      <c r="G834">
        <v>1280</v>
      </c>
      <c r="H834">
        <v>0.05</v>
      </c>
      <c r="I834" t="s">
        <v>105</v>
      </c>
      <c r="J834">
        <v>64</v>
      </c>
      <c r="Q834" s="21"/>
    </row>
    <row r="835" spans="1:17" x14ac:dyDescent="0.3">
      <c r="A835" t="s">
        <v>1965</v>
      </c>
      <c r="B835" s="17">
        <v>43300</v>
      </c>
      <c r="C835" t="s">
        <v>111</v>
      </c>
      <c r="D835" t="s">
        <v>99</v>
      </c>
      <c r="E835">
        <v>23</v>
      </c>
      <c r="F835">
        <v>150</v>
      </c>
      <c r="G835">
        <v>3450</v>
      </c>
      <c r="H835">
        <v>0.11</v>
      </c>
      <c r="I835" t="s">
        <v>107</v>
      </c>
      <c r="J835">
        <v>379.5</v>
      </c>
      <c r="Q835" s="22"/>
    </row>
    <row r="836" spans="1:17" x14ac:dyDescent="0.3">
      <c r="A836" t="s">
        <v>1966</v>
      </c>
      <c r="B836" s="17">
        <v>43300</v>
      </c>
      <c r="C836" t="s">
        <v>108</v>
      </c>
      <c r="D836" t="s">
        <v>99</v>
      </c>
      <c r="E836">
        <v>4</v>
      </c>
      <c r="F836">
        <v>16</v>
      </c>
      <c r="G836">
        <v>64</v>
      </c>
      <c r="H836">
        <v>7.0000000000000007E-2</v>
      </c>
      <c r="I836" t="s">
        <v>110</v>
      </c>
      <c r="J836">
        <v>4.4800000000000004</v>
      </c>
      <c r="Q836" s="21"/>
    </row>
    <row r="837" spans="1:17" x14ac:dyDescent="0.3">
      <c r="A837" t="s">
        <v>1967</v>
      </c>
      <c r="B837" s="17">
        <v>43300</v>
      </c>
      <c r="C837" t="s">
        <v>101</v>
      </c>
      <c r="D837" t="s">
        <v>96</v>
      </c>
      <c r="E837">
        <v>8</v>
      </c>
      <c r="F837">
        <v>230</v>
      </c>
      <c r="G837">
        <v>1840</v>
      </c>
      <c r="H837">
        <v>0.03</v>
      </c>
      <c r="I837" t="s">
        <v>112</v>
      </c>
      <c r="J837">
        <v>55.199999999999996</v>
      </c>
      <c r="Q837" s="22"/>
    </row>
    <row r="838" spans="1:17" x14ac:dyDescent="0.3">
      <c r="A838" t="s">
        <v>1968</v>
      </c>
      <c r="B838" s="17">
        <v>43300</v>
      </c>
      <c r="C838" t="s">
        <v>95</v>
      </c>
      <c r="D838" t="s">
        <v>99</v>
      </c>
      <c r="E838">
        <v>17</v>
      </c>
      <c r="F838">
        <v>80</v>
      </c>
      <c r="G838">
        <v>1360</v>
      </c>
      <c r="H838">
        <v>0.03</v>
      </c>
      <c r="I838" t="s">
        <v>113</v>
      </c>
      <c r="J838">
        <v>40.799999999999997</v>
      </c>
      <c r="Q838" s="21"/>
    </row>
    <row r="839" spans="1:17" x14ac:dyDescent="0.3">
      <c r="A839" t="s">
        <v>1969</v>
      </c>
      <c r="B839" s="17">
        <v>43300</v>
      </c>
      <c r="C839" t="s">
        <v>95</v>
      </c>
      <c r="D839" t="s">
        <v>106</v>
      </c>
      <c r="E839">
        <v>10</v>
      </c>
      <c r="F839">
        <v>80</v>
      </c>
      <c r="G839">
        <v>800</v>
      </c>
      <c r="H839">
        <v>0.1</v>
      </c>
      <c r="I839" t="s">
        <v>114</v>
      </c>
      <c r="J839">
        <v>80</v>
      </c>
      <c r="Q839" s="22"/>
    </row>
    <row r="840" spans="1:17" x14ac:dyDescent="0.3">
      <c r="A840" t="s">
        <v>1970</v>
      </c>
      <c r="B840" s="17">
        <v>43300</v>
      </c>
      <c r="C840" t="s">
        <v>108</v>
      </c>
      <c r="D840" t="s">
        <v>96</v>
      </c>
      <c r="E840">
        <v>20</v>
      </c>
      <c r="F840">
        <v>16</v>
      </c>
      <c r="G840">
        <v>320</v>
      </c>
      <c r="H840">
        <v>0.11</v>
      </c>
      <c r="I840" t="s">
        <v>115</v>
      </c>
      <c r="J840">
        <v>35.200000000000003</v>
      </c>
      <c r="Q840" s="21"/>
    </row>
    <row r="841" spans="1:17" x14ac:dyDescent="0.3">
      <c r="A841" t="s">
        <v>1971</v>
      </c>
      <c r="B841" s="17">
        <v>43301</v>
      </c>
      <c r="C841" t="s">
        <v>101</v>
      </c>
      <c r="D841" t="s">
        <v>106</v>
      </c>
      <c r="E841">
        <v>19</v>
      </c>
      <c r="F841">
        <v>230</v>
      </c>
      <c r="G841">
        <v>4370</v>
      </c>
      <c r="H841">
        <v>0.06</v>
      </c>
      <c r="I841" t="s">
        <v>116</v>
      </c>
      <c r="J841">
        <v>262.2</v>
      </c>
      <c r="Q841" s="22"/>
    </row>
    <row r="842" spans="1:17" x14ac:dyDescent="0.3">
      <c r="A842" t="s">
        <v>1972</v>
      </c>
      <c r="B842" s="17">
        <v>43301</v>
      </c>
      <c r="C842" t="s">
        <v>98</v>
      </c>
      <c r="D842" t="s">
        <v>104</v>
      </c>
      <c r="E842">
        <v>18</v>
      </c>
      <c r="F842">
        <v>40</v>
      </c>
      <c r="G842">
        <v>720</v>
      </c>
      <c r="H842">
        <v>0.03</v>
      </c>
      <c r="I842" t="s">
        <v>97</v>
      </c>
      <c r="J842">
        <v>21.599999999999998</v>
      </c>
      <c r="Q842" s="21"/>
    </row>
    <row r="843" spans="1:17" x14ac:dyDescent="0.3">
      <c r="A843" t="s">
        <v>1973</v>
      </c>
      <c r="B843" s="17">
        <v>43301</v>
      </c>
      <c r="C843" t="s">
        <v>95</v>
      </c>
      <c r="D843" t="s">
        <v>99</v>
      </c>
      <c r="E843">
        <v>16</v>
      </c>
      <c r="F843">
        <v>80</v>
      </c>
      <c r="G843">
        <v>1280</v>
      </c>
      <c r="H843">
        <v>0.04</v>
      </c>
      <c r="I843" t="s">
        <v>100</v>
      </c>
      <c r="J843">
        <v>51.2</v>
      </c>
      <c r="Q843" s="22"/>
    </row>
    <row r="844" spans="1:17" x14ac:dyDescent="0.3">
      <c r="A844" t="s">
        <v>1974</v>
      </c>
      <c r="B844" s="17">
        <v>43301</v>
      </c>
      <c r="C844" t="s">
        <v>95</v>
      </c>
      <c r="D844" t="s">
        <v>106</v>
      </c>
      <c r="E844">
        <v>8</v>
      </c>
      <c r="F844">
        <v>80</v>
      </c>
      <c r="G844">
        <v>640</v>
      </c>
      <c r="H844">
        <v>0.06</v>
      </c>
      <c r="I844" t="s">
        <v>102</v>
      </c>
      <c r="J844">
        <v>38.4</v>
      </c>
      <c r="Q844" s="21"/>
    </row>
    <row r="845" spans="1:17" x14ac:dyDescent="0.3">
      <c r="A845" t="s">
        <v>1975</v>
      </c>
      <c r="B845" s="17">
        <v>43301</v>
      </c>
      <c r="C845" t="s">
        <v>111</v>
      </c>
      <c r="D845" t="s">
        <v>106</v>
      </c>
      <c r="E845">
        <v>4</v>
      </c>
      <c r="F845">
        <v>150</v>
      </c>
      <c r="G845">
        <v>600</v>
      </c>
      <c r="H845">
        <v>0.12</v>
      </c>
      <c r="I845" t="s">
        <v>103</v>
      </c>
      <c r="J845">
        <v>72</v>
      </c>
      <c r="Q845" s="22"/>
    </row>
    <row r="846" spans="1:17" x14ac:dyDescent="0.3">
      <c r="A846" t="s">
        <v>1976</v>
      </c>
      <c r="B846" s="17">
        <v>43301</v>
      </c>
      <c r="C846" t="s">
        <v>101</v>
      </c>
      <c r="D846" t="s">
        <v>104</v>
      </c>
      <c r="E846">
        <v>15</v>
      </c>
      <c r="F846">
        <v>230</v>
      </c>
      <c r="G846">
        <v>3450</v>
      </c>
      <c r="H846">
        <v>0.04</v>
      </c>
      <c r="I846" t="s">
        <v>105</v>
      </c>
      <c r="J846">
        <v>138</v>
      </c>
      <c r="Q846" s="21"/>
    </row>
    <row r="847" spans="1:17" x14ac:dyDescent="0.3">
      <c r="A847" t="s">
        <v>1977</v>
      </c>
      <c r="B847" s="17">
        <v>43302</v>
      </c>
      <c r="C847" t="s">
        <v>108</v>
      </c>
      <c r="D847" t="s">
        <v>99</v>
      </c>
      <c r="E847">
        <v>7</v>
      </c>
      <c r="F847">
        <v>16</v>
      </c>
      <c r="G847">
        <v>112</v>
      </c>
      <c r="H847">
        <v>0.08</v>
      </c>
      <c r="I847" t="s">
        <v>107</v>
      </c>
      <c r="J847">
        <v>8.9600000000000009</v>
      </c>
      <c r="Q847" s="22"/>
    </row>
    <row r="848" spans="1:17" x14ac:dyDescent="0.3">
      <c r="A848" t="s">
        <v>1978</v>
      </c>
      <c r="B848" s="17">
        <v>43302</v>
      </c>
      <c r="C848" t="s">
        <v>98</v>
      </c>
      <c r="D848" t="s">
        <v>96</v>
      </c>
      <c r="E848">
        <v>18</v>
      </c>
      <c r="F848">
        <v>40</v>
      </c>
      <c r="G848">
        <v>720</v>
      </c>
      <c r="H848">
        <v>0.11</v>
      </c>
      <c r="I848" t="s">
        <v>100</v>
      </c>
      <c r="J848">
        <v>79.2</v>
      </c>
      <c r="Q848" s="21"/>
    </row>
    <row r="849" spans="1:17" x14ac:dyDescent="0.3">
      <c r="A849" t="s">
        <v>1979</v>
      </c>
      <c r="B849" s="17">
        <v>43302</v>
      </c>
      <c r="C849" t="s">
        <v>98</v>
      </c>
      <c r="D849" t="s">
        <v>104</v>
      </c>
      <c r="E849">
        <v>4</v>
      </c>
      <c r="F849">
        <v>40</v>
      </c>
      <c r="G849">
        <v>160</v>
      </c>
      <c r="H849">
        <v>0.06</v>
      </c>
      <c r="I849" t="s">
        <v>102</v>
      </c>
      <c r="J849">
        <v>9.6</v>
      </c>
      <c r="Q849" s="22"/>
    </row>
    <row r="850" spans="1:17" x14ac:dyDescent="0.3">
      <c r="A850" t="s">
        <v>1980</v>
      </c>
      <c r="B850" s="17">
        <v>43302</v>
      </c>
      <c r="C850" t="s">
        <v>98</v>
      </c>
      <c r="D850" t="s">
        <v>109</v>
      </c>
      <c r="E850">
        <v>16</v>
      </c>
      <c r="F850">
        <v>40</v>
      </c>
      <c r="G850">
        <v>640</v>
      </c>
      <c r="H850">
        <v>0.09</v>
      </c>
      <c r="I850" t="s">
        <v>103</v>
      </c>
      <c r="J850">
        <v>57.599999999999994</v>
      </c>
      <c r="Q850" s="21"/>
    </row>
    <row r="851" spans="1:17" x14ac:dyDescent="0.3">
      <c r="A851" t="s">
        <v>1981</v>
      </c>
      <c r="B851" s="17">
        <v>43302</v>
      </c>
      <c r="C851" t="s">
        <v>98</v>
      </c>
      <c r="D851" t="s">
        <v>99</v>
      </c>
      <c r="E851">
        <v>18</v>
      </c>
      <c r="F851">
        <v>40</v>
      </c>
      <c r="G851">
        <v>720</v>
      </c>
      <c r="H851">
        <v>0.08</v>
      </c>
      <c r="I851" t="s">
        <v>105</v>
      </c>
      <c r="J851">
        <v>57.6</v>
      </c>
      <c r="Q851" s="22"/>
    </row>
    <row r="852" spans="1:17" x14ac:dyDescent="0.3">
      <c r="A852" t="s">
        <v>1982</v>
      </c>
      <c r="B852" s="17">
        <v>43302</v>
      </c>
      <c r="C852" t="s">
        <v>98</v>
      </c>
      <c r="D852" t="s">
        <v>96</v>
      </c>
      <c r="E852">
        <v>9</v>
      </c>
      <c r="F852">
        <v>40</v>
      </c>
      <c r="G852">
        <v>360</v>
      </c>
      <c r="H852">
        <v>0.01</v>
      </c>
      <c r="I852" t="s">
        <v>107</v>
      </c>
      <c r="J852">
        <v>3.6</v>
      </c>
      <c r="Q852" s="21"/>
    </row>
    <row r="853" spans="1:17" x14ac:dyDescent="0.3">
      <c r="A853" t="s">
        <v>1983</v>
      </c>
      <c r="B853" s="17">
        <v>43302</v>
      </c>
      <c r="C853" t="s">
        <v>101</v>
      </c>
      <c r="D853" t="s">
        <v>106</v>
      </c>
      <c r="E853">
        <v>16</v>
      </c>
      <c r="F853">
        <v>230</v>
      </c>
      <c r="G853">
        <v>3680</v>
      </c>
      <c r="H853">
        <v>0.11</v>
      </c>
      <c r="I853" t="s">
        <v>110</v>
      </c>
      <c r="J853">
        <v>404.8</v>
      </c>
      <c r="Q853" s="22"/>
    </row>
    <row r="854" spans="1:17" x14ac:dyDescent="0.3">
      <c r="A854" t="s">
        <v>1984</v>
      </c>
      <c r="B854" s="17">
        <v>43302</v>
      </c>
      <c r="C854" t="s">
        <v>108</v>
      </c>
      <c r="D854" t="s">
        <v>104</v>
      </c>
      <c r="E854">
        <v>12</v>
      </c>
      <c r="F854">
        <v>16</v>
      </c>
      <c r="G854">
        <v>192</v>
      </c>
      <c r="H854">
        <v>0.11</v>
      </c>
      <c r="I854" t="s">
        <v>112</v>
      </c>
      <c r="J854">
        <v>21.12</v>
      </c>
      <c r="Q854" s="21"/>
    </row>
    <row r="855" spans="1:17" x14ac:dyDescent="0.3">
      <c r="A855" t="s">
        <v>1985</v>
      </c>
      <c r="B855" s="17">
        <v>43302</v>
      </c>
      <c r="C855" t="s">
        <v>95</v>
      </c>
      <c r="D855" t="s">
        <v>99</v>
      </c>
      <c r="E855">
        <v>2</v>
      </c>
      <c r="F855">
        <v>80</v>
      </c>
      <c r="G855">
        <v>160</v>
      </c>
      <c r="H855">
        <v>7.0000000000000007E-2</v>
      </c>
      <c r="I855" t="s">
        <v>113</v>
      </c>
      <c r="J855">
        <v>11.200000000000001</v>
      </c>
      <c r="Q855" s="22"/>
    </row>
    <row r="856" spans="1:17" x14ac:dyDescent="0.3">
      <c r="A856" t="s">
        <v>1986</v>
      </c>
      <c r="B856" s="17">
        <v>43302</v>
      </c>
      <c r="C856" t="s">
        <v>98</v>
      </c>
      <c r="D856" t="s">
        <v>96</v>
      </c>
      <c r="E856">
        <v>2</v>
      </c>
      <c r="F856">
        <v>40</v>
      </c>
      <c r="G856">
        <v>80</v>
      </c>
      <c r="H856">
        <v>0.12</v>
      </c>
      <c r="I856" t="s">
        <v>114</v>
      </c>
      <c r="J856">
        <v>9.6</v>
      </c>
      <c r="Q856" s="21"/>
    </row>
    <row r="857" spans="1:17" x14ac:dyDescent="0.3">
      <c r="A857" t="s">
        <v>1987</v>
      </c>
      <c r="B857" s="17">
        <v>43303</v>
      </c>
      <c r="C857" t="s">
        <v>111</v>
      </c>
      <c r="D857" t="s">
        <v>96</v>
      </c>
      <c r="E857">
        <v>13</v>
      </c>
      <c r="F857">
        <v>150</v>
      </c>
      <c r="G857">
        <v>1950</v>
      </c>
      <c r="H857">
        <v>0.05</v>
      </c>
      <c r="I857" t="s">
        <v>115</v>
      </c>
      <c r="J857">
        <v>97.5</v>
      </c>
      <c r="Q857" s="22"/>
    </row>
    <row r="858" spans="1:17" x14ac:dyDescent="0.3">
      <c r="A858" t="s">
        <v>1988</v>
      </c>
      <c r="B858" s="17">
        <v>43303</v>
      </c>
      <c r="C858" t="s">
        <v>95</v>
      </c>
      <c r="D858" t="s">
        <v>96</v>
      </c>
      <c r="E858">
        <v>14</v>
      </c>
      <c r="F858">
        <v>80</v>
      </c>
      <c r="G858">
        <v>1120</v>
      </c>
      <c r="H858">
        <v>0.08</v>
      </c>
      <c r="I858" t="s">
        <v>116</v>
      </c>
      <c r="J858">
        <v>89.600000000000009</v>
      </c>
      <c r="Q858" s="21"/>
    </row>
    <row r="859" spans="1:17" x14ac:dyDescent="0.3">
      <c r="A859" t="s">
        <v>1989</v>
      </c>
      <c r="B859" s="17">
        <v>43303</v>
      </c>
      <c r="C859" t="s">
        <v>111</v>
      </c>
      <c r="D859" t="s">
        <v>106</v>
      </c>
      <c r="E859">
        <v>6</v>
      </c>
      <c r="F859">
        <v>150</v>
      </c>
      <c r="G859">
        <v>900</v>
      </c>
      <c r="H859">
        <v>0.03</v>
      </c>
      <c r="I859" t="s">
        <v>97</v>
      </c>
      <c r="J859">
        <v>27</v>
      </c>
      <c r="Q859" s="22"/>
    </row>
    <row r="860" spans="1:17" x14ac:dyDescent="0.3">
      <c r="A860" t="s">
        <v>1990</v>
      </c>
      <c r="B860" s="17">
        <v>43303</v>
      </c>
      <c r="C860" t="s">
        <v>95</v>
      </c>
      <c r="D860" t="s">
        <v>106</v>
      </c>
      <c r="E860">
        <v>23</v>
      </c>
      <c r="F860">
        <v>80</v>
      </c>
      <c r="G860">
        <v>1840</v>
      </c>
      <c r="H860">
        <v>0.11</v>
      </c>
      <c r="I860" t="s">
        <v>100</v>
      </c>
      <c r="J860">
        <v>202.4</v>
      </c>
      <c r="Q860" s="21"/>
    </row>
    <row r="861" spans="1:17" x14ac:dyDescent="0.3">
      <c r="A861" t="s">
        <v>1991</v>
      </c>
      <c r="B861" s="17">
        <v>43303</v>
      </c>
      <c r="C861" t="s">
        <v>95</v>
      </c>
      <c r="D861" t="s">
        <v>106</v>
      </c>
      <c r="E861">
        <v>21</v>
      </c>
      <c r="F861">
        <v>80</v>
      </c>
      <c r="G861">
        <v>1680</v>
      </c>
      <c r="H861">
        <v>0.05</v>
      </c>
      <c r="I861" t="s">
        <v>102</v>
      </c>
      <c r="J861">
        <v>84</v>
      </c>
      <c r="Q861" s="22"/>
    </row>
    <row r="862" spans="1:17" x14ac:dyDescent="0.3">
      <c r="A862" t="s">
        <v>1992</v>
      </c>
      <c r="B862" s="17">
        <v>43303</v>
      </c>
      <c r="C862" t="s">
        <v>108</v>
      </c>
      <c r="D862" t="s">
        <v>104</v>
      </c>
      <c r="E862">
        <v>3</v>
      </c>
      <c r="F862">
        <v>16</v>
      </c>
      <c r="G862">
        <v>48</v>
      </c>
      <c r="H862">
        <v>0.05</v>
      </c>
      <c r="I862" t="s">
        <v>103</v>
      </c>
      <c r="J862">
        <v>2.4000000000000004</v>
      </c>
      <c r="Q862" s="21"/>
    </row>
    <row r="863" spans="1:17" x14ac:dyDescent="0.3">
      <c r="A863" t="s">
        <v>1993</v>
      </c>
      <c r="B863" s="17">
        <v>43303</v>
      </c>
      <c r="C863" t="s">
        <v>108</v>
      </c>
      <c r="D863" t="s">
        <v>99</v>
      </c>
      <c r="E863">
        <v>21</v>
      </c>
      <c r="F863">
        <v>16</v>
      </c>
      <c r="G863">
        <v>336</v>
      </c>
      <c r="H863">
        <v>0.02</v>
      </c>
      <c r="I863" t="s">
        <v>105</v>
      </c>
      <c r="J863">
        <v>6.72</v>
      </c>
      <c r="Q863" s="22"/>
    </row>
    <row r="864" spans="1:17" x14ac:dyDescent="0.3">
      <c r="A864" t="s">
        <v>1994</v>
      </c>
      <c r="B864" s="17">
        <v>43303</v>
      </c>
      <c r="C864" t="s">
        <v>95</v>
      </c>
      <c r="D864" t="s">
        <v>106</v>
      </c>
      <c r="E864">
        <v>4</v>
      </c>
      <c r="F864">
        <v>80</v>
      </c>
      <c r="G864">
        <v>320</v>
      </c>
      <c r="H864">
        <v>0.11</v>
      </c>
      <c r="I864" t="s">
        <v>107</v>
      </c>
      <c r="J864">
        <v>35.200000000000003</v>
      </c>
      <c r="Q864" s="21"/>
    </row>
    <row r="865" spans="1:17" x14ac:dyDescent="0.3">
      <c r="A865" t="s">
        <v>1995</v>
      </c>
      <c r="B865" s="17">
        <v>43303</v>
      </c>
      <c r="C865" t="s">
        <v>111</v>
      </c>
      <c r="D865" t="s">
        <v>109</v>
      </c>
      <c r="E865">
        <v>23</v>
      </c>
      <c r="F865">
        <v>150</v>
      </c>
      <c r="G865">
        <v>3450</v>
      </c>
      <c r="H865">
        <v>0.08</v>
      </c>
      <c r="I865" t="s">
        <v>100</v>
      </c>
      <c r="J865">
        <v>276</v>
      </c>
      <c r="Q865" s="22"/>
    </row>
    <row r="866" spans="1:17" x14ac:dyDescent="0.3">
      <c r="A866" t="s">
        <v>1996</v>
      </c>
      <c r="B866" s="17">
        <v>43303</v>
      </c>
      <c r="C866" t="s">
        <v>108</v>
      </c>
      <c r="D866" t="s">
        <v>109</v>
      </c>
      <c r="E866">
        <v>23</v>
      </c>
      <c r="F866">
        <v>16</v>
      </c>
      <c r="G866">
        <v>368</v>
      </c>
      <c r="H866">
        <v>0.01</v>
      </c>
      <c r="I866" t="s">
        <v>102</v>
      </c>
      <c r="J866">
        <v>3.68</v>
      </c>
      <c r="Q866" s="21"/>
    </row>
    <row r="867" spans="1:17" x14ac:dyDescent="0.3">
      <c r="A867" t="s">
        <v>1997</v>
      </c>
      <c r="B867" s="17">
        <v>43303</v>
      </c>
      <c r="C867" t="s">
        <v>98</v>
      </c>
      <c r="D867" t="s">
        <v>106</v>
      </c>
      <c r="E867">
        <v>22</v>
      </c>
      <c r="F867">
        <v>40</v>
      </c>
      <c r="G867">
        <v>880</v>
      </c>
      <c r="H867">
        <v>0.01</v>
      </c>
      <c r="I867" t="s">
        <v>103</v>
      </c>
      <c r="J867">
        <v>8.8000000000000007</v>
      </c>
      <c r="Q867" s="22"/>
    </row>
    <row r="868" spans="1:17" x14ac:dyDescent="0.3">
      <c r="A868" t="s">
        <v>1998</v>
      </c>
      <c r="B868" s="17">
        <v>43304</v>
      </c>
      <c r="C868" t="s">
        <v>111</v>
      </c>
      <c r="D868" t="s">
        <v>96</v>
      </c>
      <c r="E868">
        <v>8</v>
      </c>
      <c r="F868">
        <v>150</v>
      </c>
      <c r="G868">
        <v>1200</v>
      </c>
      <c r="H868">
        <v>0.09</v>
      </c>
      <c r="I868" t="s">
        <v>105</v>
      </c>
      <c r="J868">
        <v>108</v>
      </c>
      <c r="Q868" s="21"/>
    </row>
    <row r="869" spans="1:17" x14ac:dyDescent="0.3">
      <c r="A869" t="s">
        <v>1999</v>
      </c>
      <c r="B869" s="17">
        <v>43304</v>
      </c>
      <c r="C869" t="s">
        <v>111</v>
      </c>
      <c r="D869" t="s">
        <v>96</v>
      </c>
      <c r="E869">
        <v>20</v>
      </c>
      <c r="F869">
        <v>150</v>
      </c>
      <c r="G869">
        <v>3000</v>
      </c>
      <c r="H869">
        <v>0.01</v>
      </c>
      <c r="I869" t="s">
        <v>107</v>
      </c>
      <c r="J869">
        <v>30</v>
      </c>
      <c r="Q869" s="22"/>
    </row>
    <row r="870" spans="1:17" x14ac:dyDescent="0.3">
      <c r="A870" t="s">
        <v>2000</v>
      </c>
      <c r="B870" s="17">
        <v>43304</v>
      </c>
      <c r="C870" t="s">
        <v>101</v>
      </c>
      <c r="D870" t="s">
        <v>99</v>
      </c>
      <c r="E870">
        <v>22</v>
      </c>
      <c r="F870">
        <v>230</v>
      </c>
      <c r="G870">
        <v>5060</v>
      </c>
      <c r="H870">
        <v>0.11</v>
      </c>
      <c r="I870" t="s">
        <v>110</v>
      </c>
      <c r="J870">
        <v>556.6</v>
      </c>
      <c r="Q870" s="21"/>
    </row>
    <row r="871" spans="1:17" x14ac:dyDescent="0.3">
      <c r="A871" t="s">
        <v>2001</v>
      </c>
      <c r="B871" s="17">
        <v>43304</v>
      </c>
      <c r="C871" t="s">
        <v>108</v>
      </c>
      <c r="D871" t="s">
        <v>104</v>
      </c>
      <c r="E871">
        <v>23</v>
      </c>
      <c r="F871">
        <v>16</v>
      </c>
      <c r="G871">
        <v>368</v>
      </c>
      <c r="H871">
        <v>0.11</v>
      </c>
      <c r="I871" t="s">
        <v>112</v>
      </c>
      <c r="J871">
        <v>40.479999999999997</v>
      </c>
      <c r="Q871" s="22"/>
    </row>
    <row r="872" spans="1:17" x14ac:dyDescent="0.3">
      <c r="A872" t="s">
        <v>2002</v>
      </c>
      <c r="B872" s="17">
        <v>43304</v>
      </c>
      <c r="C872" t="s">
        <v>95</v>
      </c>
      <c r="D872" t="s">
        <v>96</v>
      </c>
      <c r="E872">
        <v>6</v>
      </c>
      <c r="F872">
        <v>80</v>
      </c>
      <c r="G872">
        <v>480</v>
      </c>
      <c r="H872">
        <v>0.01</v>
      </c>
      <c r="I872" t="s">
        <v>113</v>
      </c>
      <c r="J872">
        <v>4.8</v>
      </c>
      <c r="Q872" s="21"/>
    </row>
    <row r="873" spans="1:17" x14ac:dyDescent="0.3">
      <c r="A873" t="s">
        <v>2003</v>
      </c>
      <c r="B873" s="17">
        <v>43304</v>
      </c>
      <c r="C873" t="s">
        <v>108</v>
      </c>
      <c r="D873" t="s">
        <v>96</v>
      </c>
      <c r="E873">
        <v>7</v>
      </c>
      <c r="F873">
        <v>16</v>
      </c>
      <c r="G873">
        <v>112</v>
      </c>
      <c r="H873">
        <v>0.12</v>
      </c>
      <c r="I873" t="s">
        <v>114</v>
      </c>
      <c r="J873">
        <v>13.44</v>
      </c>
      <c r="Q873" s="22"/>
    </row>
    <row r="874" spans="1:17" x14ac:dyDescent="0.3">
      <c r="A874" t="s">
        <v>2004</v>
      </c>
      <c r="B874" s="17">
        <v>43304</v>
      </c>
      <c r="C874" t="s">
        <v>95</v>
      </c>
      <c r="D874" t="s">
        <v>99</v>
      </c>
      <c r="E874">
        <v>10</v>
      </c>
      <c r="F874">
        <v>80</v>
      </c>
      <c r="G874">
        <v>800</v>
      </c>
      <c r="H874">
        <v>0.11</v>
      </c>
      <c r="I874" t="s">
        <v>115</v>
      </c>
      <c r="J874">
        <v>88</v>
      </c>
      <c r="Q874" s="21"/>
    </row>
    <row r="875" spans="1:17" x14ac:dyDescent="0.3">
      <c r="A875" t="s">
        <v>2005</v>
      </c>
      <c r="B875" s="17">
        <v>43304</v>
      </c>
      <c r="C875" t="s">
        <v>101</v>
      </c>
      <c r="D875" t="s">
        <v>96</v>
      </c>
      <c r="E875">
        <v>9</v>
      </c>
      <c r="F875">
        <v>230</v>
      </c>
      <c r="G875">
        <v>2070</v>
      </c>
      <c r="H875">
        <v>7.0000000000000007E-2</v>
      </c>
      <c r="I875" t="s">
        <v>116</v>
      </c>
      <c r="J875">
        <v>144.9</v>
      </c>
      <c r="Q875" s="22"/>
    </row>
    <row r="876" spans="1:17" x14ac:dyDescent="0.3">
      <c r="A876" t="s">
        <v>2006</v>
      </c>
      <c r="B876" s="17">
        <v>43305</v>
      </c>
      <c r="C876" t="s">
        <v>98</v>
      </c>
      <c r="D876" t="s">
        <v>99</v>
      </c>
      <c r="E876">
        <v>12</v>
      </c>
      <c r="F876">
        <v>40</v>
      </c>
      <c r="G876">
        <v>480</v>
      </c>
      <c r="H876">
        <v>0.1</v>
      </c>
      <c r="I876" t="s">
        <v>97</v>
      </c>
      <c r="J876">
        <v>48</v>
      </c>
      <c r="Q876" s="21"/>
    </row>
    <row r="877" spans="1:17" x14ac:dyDescent="0.3">
      <c r="A877" t="s">
        <v>2007</v>
      </c>
      <c r="B877" s="17">
        <v>43305</v>
      </c>
      <c r="C877" t="s">
        <v>108</v>
      </c>
      <c r="D877" t="s">
        <v>109</v>
      </c>
      <c r="E877">
        <v>17</v>
      </c>
      <c r="F877">
        <v>16</v>
      </c>
      <c r="G877">
        <v>272</v>
      </c>
      <c r="H877">
        <v>0.1</v>
      </c>
      <c r="I877" t="s">
        <v>100</v>
      </c>
      <c r="J877">
        <v>27.200000000000003</v>
      </c>
      <c r="Q877" s="22"/>
    </row>
    <row r="878" spans="1:17" x14ac:dyDescent="0.3">
      <c r="A878" t="s">
        <v>2008</v>
      </c>
      <c r="B878" s="17">
        <v>43305</v>
      </c>
      <c r="C878" t="s">
        <v>111</v>
      </c>
      <c r="D878" t="s">
        <v>104</v>
      </c>
      <c r="E878">
        <v>22</v>
      </c>
      <c r="F878">
        <v>150</v>
      </c>
      <c r="G878">
        <v>3300</v>
      </c>
      <c r="H878">
        <v>0.04</v>
      </c>
      <c r="I878" t="s">
        <v>102</v>
      </c>
      <c r="J878">
        <v>132</v>
      </c>
      <c r="Q878" s="21"/>
    </row>
    <row r="879" spans="1:17" x14ac:dyDescent="0.3">
      <c r="A879" t="s">
        <v>2009</v>
      </c>
      <c r="B879" s="17">
        <v>43305</v>
      </c>
      <c r="C879" t="s">
        <v>111</v>
      </c>
      <c r="D879" t="s">
        <v>104</v>
      </c>
      <c r="E879">
        <v>11</v>
      </c>
      <c r="F879">
        <v>150</v>
      </c>
      <c r="G879">
        <v>1650</v>
      </c>
      <c r="H879">
        <v>0.05</v>
      </c>
      <c r="I879" t="s">
        <v>103</v>
      </c>
      <c r="J879">
        <v>82.5</v>
      </c>
      <c r="Q879" s="22"/>
    </row>
    <row r="880" spans="1:17" x14ac:dyDescent="0.3">
      <c r="A880" t="s">
        <v>2010</v>
      </c>
      <c r="B880" s="17">
        <v>43305</v>
      </c>
      <c r="C880" t="s">
        <v>95</v>
      </c>
      <c r="D880" t="s">
        <v>109</v>
      </c>
      <c r="E880">
        <v>9</v>
      </c>
      <c r="F880">
        <v>80</v>
      </c>
      <c r="G880">
        <v>720</v>
      </c>
      <c r="H880">
        <v>0.02</v>
      </c>
      <c r="I880" t="s">
        <v>105</v>
      </c>
      <c r="J880">
        <v>14.4</v>
      </c>
      <c r="Q880" s="21"/>
    </row>
    <row r="881" spans="1:17" x14ac:dyDescent="0.3">
      <c r="A881" t="s">
        <v>2011</v>
      </c>
      <c r="B881" s="17">
        <v>43305</v>
      </c>
      <c r="C881" t="s">
        <v>95</v>
      </c>
      <c r="D881" t="s">
        <v>109</v>
      </c>
      <c r="E881">
        <v>13</v>
      </c>
      <c r="F881">
        <v>80</v>
      </c>
      <c r="G881">
        <v>1040</v>
      </c>
      <c r="H881">
        <v>0.05</v>
      </c>
      <c r="I881" t="s">
        <v>107</v>
      </c>
      <c r="J881">
        <v>52</v>
      </c>
      <c r="Q881" s="22"/>
    </row>
    <row r="882" spans="1:17" x14ac:dyDescent="0.3">
      <c r="A882" t="s">
        <v>2012</v>
      </c>
      <c r="B882" s="17">
        <v>43305</v>
      </c>
      <c r="C882" t="s">
        <v>98</v>
      </c>
      <c r="D882" t="s">
        <v>109</v>
      </c>
      <c r="E882">
        <v>20</v>
      </c>
      <c r="F882">
        <v>40</v>
      </c>
      <c r="G882">
        <v>800</v>
      </c>
      <c r="H882">
        <v>0.1</v>
      </c>
      <c r="I882" t="s">
        <v>100</v>
      </c>
      <c r="J882">
        <v>80</v>
      </c>
      <c r="Q882" s="21"/>
    </row>
    <row r="883" spans="1:17" x14ac:dyDescent="0.3">
      <c r="A883" t="s">
        <v>2013</v>
      </c>
      <c r="B883" s="17">
        <v>43305</v>
      </c>
      <c r="C883" t="s">
        <v>98</v>
      </c>
      <c r="D883" t="s">
        <v>99</v>
      </c>
      <c r="E883">
        <v>15</v>
      </c>
      <c r="F883">
        <v>40</v>
      </c>
      <c r="G883">
        <v>600</v>
      </c>
      <c r="H883">
        <v>0.02</v>
      </c>
      <c r="I883" t="s">
        <v>102</v>
      </c>
      <c r="J883">
        <v>12</v>
      </c>
      <c r="Q883" s="22"/>
    </row>
    <row r="884" spans="1:17" x14ac:dyDescent="0.3">
      <c r="A884" t="s">
        <v>2014</v>
      </c>
      <c r="B884" s="17">
        <v>43306</v>
      </c>
      <c r="C884" t="s">
        <v>111</v>
      </c>
      <c r="D884" t="s">
        <v>109</v>
      </c>
      <c r="E884">
        <v>15</v>
      </c>
      <c r="F884">
        <v>150</v>
      </c>
      <c r="G884">
        <v>2250</v>
      </c>
      <c r="H884">
        <v>7.0000000000000007E-2</v>
      </c>
      <c r="I884" t="s">
        <v>103</v>
      </c>
      <c r="J884">
        <v>157.50000000000003</v>
      </c>
      <c r="Q884" s="21"/>
    </row>
    <row r="885" spans="1:17" x14ac:dyDescent="0.3">
      <c r="A885" t="s">
        <v>2015</v>
      </c>
      <c r="B885" s="17">
        <v>43306</v>
      </c>
      <c r="C885" t="s">
        <v>95</v>
      </c>
      <c r="D885" t="s">
        <v>109</v>
      </c>
      <c r="E885">
        <v>16</v>
      </c>
      <c r="F885">
        <v>80</v>
      </c>
      <c r="G885">
        <v>1280</v>
      </c>
      <c r="H885">
        <v>0.09</v>
      </c>
      <c r="I885" t="s">
        <v>105</v>
      </c>
      <c r="J885">
        <v>115.19999999999999</v>
      </c>
      <c r="Q885" s="22"/>
    </row>
    <row r="886" spans="1:17" x14ac:dyDescent="0.3">
      <c r="A886" t="s">
        <v>2016</v>
      </c>
      <c r="B886" s="17">
        <v>43306</v>
      </c>
      <c r="C886" t="s">
        <v>101</v>
      </c>
      <c r="D886" t="s">
        <v>96</v>
      </c>
      <c r="E886">
        <v>16</v>
      </c>
      <c r="F886">
        <v>230</v>
      </c>
      <c r="G886">
        <v>3680</v>
      </c>
      <c r="H886">
        <v>7.0000000000000007E-2</v>
      </c>
      <c r="I886" t="s">
        <v>107</v>
      </c>
      <c r="J886">
        <v>257.60000000000002</v>
      </c>
      <c r="Q886" s="21"/>
    </row>
    <row r="887" spans="1:17" x14ac:dyDescent="0.3">
      <c r="A887" t="s">
        <v>2017</v>
      </c>
      <c r="B887" s="17">
        <v>43306</v>
      </c>
      <c r="C887" t="s">
        <v>95</v>
      </c>
      <c r="D887" t="s">
        <v>99</v>
      </c>
      <c r="E887">
        <v>14</v>
      </c>
      <c r="F887">
        <v>80</v>
      </c>
      <c r="G887">
        <v>1120</v>
      </c>
      <c r="H887">
        <v>0.11</v>
      </c>
      <c r="I887" t="s">
        <v>110</v>
      </c>
      <c r="J887">
        <v>123.2</v>
      </c>
      <c r="Q887" s="22"/>
    </row>
    <row r="888" spans="1:17" x14ac:dyDescent="0.3">
      <c r="A888" t="s">
        <v>2018</v>
      </c>
      <c r="B888" s="17">
        <v>43306</v>
      </c>
      <c r="C888" t="s">
        <v>95</v>
      </c>
      <c r="D888" t="s">
        <v>109</v>
      </c>
      <c r="E888">
        <v>17</v>
      </c>
      <c r="F888">
        <v>80</v>
      </c>
      <c r="G888">
        <v>1360</v>
      </c>
      <c r="H888">
        <v>7.0000000000000007E-2</v>
      </c>
      <c r="I888" t="s">
        <v>112</v>
      </c>
      <c r="J888">
        <v>95.2</v>
      </c>
      <c r="Q888" s="21"/>
    </row>
    <row r="889" spans="1:17" x14ac:dyDescent="0.3">
      <c r="A889" t="s">
        <v>2019</v>
      </c>
      <c r="B889" s="17">
        <v>43306</v>
      </c>
      <c r="C889" t="s">
        <v>95</v>
      </c>
      <c r="D889" t="s">
        <v>104</v>
      </c>
      <c r="E889">
        <v>16</v>
      </c>
      <c r="F889">
        <v>80</v>
      </c>
      <c r="G889">
        <v>1280</v>
      </c>
      <c r="H889">
        <v>0.02</v>
      </c>
      <c r="I889" t="s">
        <v>113</v>
      </c>
      <c r="J889">
        <v>25.6</v>
      </c>
      <c r="Q889" s="22"/>
    </row>
    <row r="890" spans="1:17" x14ac:dyDescent="0.3">
      <c r="A890" t="s">
        <v>2020</v>
      </c>
      <c r="B890" s="17">
        <v>43306</v>
      </c>
      <c r="C890" t="s">
        <v>108</v>
      </c>
      <c r="D890" t="s">
        <v>96</v>
      </c>
      <c r="E890">
        <v>21</v>
      </c>
      <c r="F890">
        <v>16</v>
      </c>
      <c r="G890">
        <v>336</v>
      </c>
      <c r="H890">
        <v>0.09</v>
      </c>
      <c r="I890" t="s">
        <v>114</v>
      </c>
      <c r="J890">
        <v>30.24</v>
      </c>
      <c r="Q890" s="21"/>
    </row>
    <row r="891" spans="1:17" x14ac:dyDescent="0.3">
      <c r="A891" t="s">
        <v>2021</v>
      </c>
      <c r="B891" s="17">
        <v>43306</v>
      </c>
      <c r="C891" t="s">
        <v>111</v>
      </c>
      <c r="D891" t="s">
        <v>96</v>
      </c>
      <c r="E891">
        <v>9</v>
      </c>
      <c r="F891">
        <v>150</v>
      </c>
      <c r="G891">
        <v>1350</v>
      </c>
      <c r="H891">
        <v>0.1</v>
      </c>
      <c r="I891" t="s">
        <v>115</v>
      </c>
      <c r="J891">
        <v>135</v>
      </c>
      <c r="Q891" s="22"/>
    </row>
    <row r="892" spans="1:17" x14ac:dyDescent="0.3">
      <c r="A892" t="s">
        <v>2022</v>
      </c>
      <c r="B892" s="17">
        <v>43306</v>
      </c>
      <c r="C892" t="s">
        <v>111</v>
      </c>
      <c r="D892" t="s">
        <v>106</v>
      </c>
      <c r="E892">
        <v>3</v>
      </c>
      <c r="F892">
        <v>150</v>
      </c>
      <c r="G892">
        <v>450</v>
      </c>
      <c r="H892">
        <v>0.01</v>
      </c>
      <c r="I892" t="s">
        <v>116</v>
      </c>
      <c r="J892">
        <v>4.5</v>
      </c>
      <c r="Q892" s="21"/>
    </row>
    <row r="893" spans="1:17" x14ac:dyDescent="0.3">
      <c r="A893" t="s">
        <v>2023</v>
      </c>
      <c r="B893" s="17">
        <v>43307</v>
      </c>
      <c r="C893" t="s">
        <v>95</v>
      </c>
      <c r="D893" t="s">
        <v>99</v>
      </c>
      <c r="E893">
        <v>14</v>
      </c>
      <c r="F893">
        <v>80</v>
      </c>
      <c r="G893">
        <v>1120</v>
      </c>
      <c r="H893">
        <v>0.06</v>
      </c>
      <c r="I893" t="s">
        <v>97</v>
      </c>
      <c r="J893">
        <v>67.2</v>
      </c>
      <c r="Q893" s="22"/>
    </row>
    <row r="894" spans="1:17" x14ac:dyDescent="0.3">
      <c r="A894" t="s">
        <v>2024</v>
      </c>
      <c r="B894" s="17">
        <v>43307</v>
      </c>
      <c r="C894" t="s">
        <v>111</v>
      </c>
      <c r="D894" t="s">
        <v>109</v>
      </c>
      <c r="E894">
        <v>4</v>
      </c>
      <c r="F894">
        <v>150</v>
      </c>
      <c r="G894">
        <v>600</v>
      </c>
      <c r="H894">
        <v>0.05</v>
      </c>
      <c r="I894" t="s">
        <v>100</v>
      </c>
      <c r="J894">
        <v>30</v>
      </c>
      <c r="Q894" s="21"/>
    </row>
    <row r="895" spans="1:17" x14ac:dyDescent="0.3">
      <c r="A895" t="s">
        <v>2025</v>
      </c>
      <c r="B895" s="17">
        <v>43307</v>
      </c>
      <c r="C895" t="s">
        <v>108</v>
      </c>
      <c r="D895" t="s">
        <v>99</v>
      </c>
      <c r="E895">
        <v>20</v>
      </c>
      <c r="F895">
        <v>16</v>
      </c>
      <c r="G895">
        <v>320</v>
      </c>
      <c r="H895">
        <v>0.06</v>
      </c>
      <c r="I895" t="s">
        <v>102</v>
      </c>
      <c r="J895">
        <v>19.2</v>
      </c>
      <c r="Q895" s="22"/>
    </row>
    <row r="896" spans="1:17" x14ac:dyDescent="0.3">
      <c r="A896" t="s">
        <v>2026</v>
      </c>
      <c r="B896" s="17">
        <v>43307</v>
      </c>
      <c r="C896" t="s">
        <v>101</v>
      </c>
      <c r="D896" t="s">
        <v>104</v>
      </c>
      <c r="E896">
        <v>7</v>
      </c>
      <c r="F896">
        <v>230</v>
      </c>
      <c r="G896">
        <v>1610</v>
      </c>
      <c r="H896">
        <v>0.01</v>
      </c>
      <c r="I896" t="s">
        <v>103</v>
      </c>
      <c r="J896">
        <v>16.100000000000001</v>
      </c>
      <c r="Q896" s="21"/>
    </row>
    <row r="897" spans="1:17" x14ac:dyDescent="0.3">
      <c r="A897" t="s">
        <v>2027</v>
      </c>
      <c r="B897" s="17">
        <v>43307</v>
      </c>
      <c r="C897" t="s">
        <v>95</v>
      </c>
      <c r="D897" t="s">
        <v>99</v>
      </c>
      <c r="E897">
        <v>9</v>
      </c>
      <c r="F897">
        <v>80</v>
      </c>
      <c r="G897">
        <v>720</v>
      </c>
      <c r="H897">
        <v>0.03</v>
      </c>
      <c r="I897" t="s">
        <v>105</v>
      </c>
      <c r="J897">
        <v>21.599999999999998</v>
      </c>
      <c r="Q897" s="22"/>
    </row>
    <row r="898" spans="1:17" x14ac:dyDescent="0.3">
      <c r="A898" t="s">
        <v>2028</v>
      </c>
      <c r="B898" s="17">
        <v>43307</v>
      </c>
      <c r="C898" t="s">
        <v>98</v>
      </c>
      <c r="D898" t="s">
        <v>106</v>
      </c>
      <c r="E898">
        <v>4</v>
      </c>
      <c r="F898">
        <v>40</v>
      </c>
      <c r="G898">
        <v>160</v>
      </c>
      <c r="H898">
        <v>0.05</v>
      </c>
      <c r="I898" t="s">
        <v>107</v>
      </c>
      <c r="J898">
        <v>8</v>
      </c>
      <c r="Q898" s="21"/>
    </row>
    <row r="899" spans="1:17" x14ac:dyDescent="0.3">
      <c r="A899" t="s">
        <v>2029</v>
      </c>
      <c r="B899" s="17">
        <v>43307</v>
      </c>
      <c r="C899" t="s">
        <v>95</v>
      </c>
      <c r="D899" t="s">
        <v>96</v>
      </c>
      <c r="E899">
        <v>6</v>
      </c>
      <c r="F899">
        <v>80</v>
      </c>
      <c r="G899">
        <v>480</v>
      </c>
      <c r="H899">
        <v>7.0000000000000007E-2</v>
      </c>
      <c r="I899" t="s">
        <v>100</v>
      </c>
      <c r="J899">
        <v>33.6</v>
      </c>
      <c r="Q899" s="22"/>
    </row>
    <row r="900" spans="1:17" x14ac:dyDescent="0.3">
      <c r="A900" t="s">
        <v>2030</v>
      </c>
      <c r="B900" s="17">
        <v>43307</v>
      </c>
      <c r="C900" t="s">
        <v>108</v>
      </c>
      <c r="D900" t="s">
        <v>104</v>
      </c>
      <c r="E900">
        <v>8</v>
      </c>
      <c r="F900">
        <v>16</v>
      </c>
      <c r="G900">
        <v>128</v>
      </c>
      <c r="H900">
        <v>0.03</v>
      </c>
      <c r="I900" t="s">
        <v>102</v>
      </c>
      <c r="J900">
        <v>3.84</v>
      </c>
      <c r="Q900" s="21"/>
    </row>
    <row r="901" spans="1:17" x14ac:dyDescent="0.3">
      <c r="A901" t="s">
        <v>2031</v>
      </c>
      <c r="B901" s="17">
        <v>43307</v>
      </c>
      <c r="C901" t="s">
        <v>108</v>
      </c>
      <c r="D901" t="s">
        <v>96</v>
      </c>
      <c r="E901">
        <v>10</v>
      </c>
      <c r="F901">
        <v>16</v>
      </c>
      <c r="G901">
        <v>160</v>
      </c>
      <c r="H901">
        <v>0.08</v>
      </c>
      <c r="I901" t="s">
        <v>103</v>
      </c>
      <c r="J901">
        <v>12.8</v>
      </c>
      <c r="Q901" s="22"/>
    </row>
    <row r="902" spans="1:17" x14ac:dyDescent="0.3">
      <c r="A902" t="s">
        <v>2032</v>
      </c>
      <c r="B902" s="17">
        <v>43307</v>
      </c>
      <c r="C902" t="s">
        <v>108</v>
      </c>
      <c r="D902" t="s">
        <v>106</v>
      </c>
      <c r="E902">
        <v>22</v>
      </c>
      <c r="F902">
        <v>16</v>
      </c>
      <c r="G902">
        <v>352</v>
      </c>
      <c r="H902">
        <v>0.03</v>
      </c>
      <c r="I902" t="s">
        <v>105</v>
      </c>
      <c r="J902">
        <v>10.559999999999999</v>
      </c>
      <c r="Q902" s="21"/>
    </row>
    <row r="903" spans="1:17" x14ac:dyDescent="0.3">
      <c r="A903" t="s">
        <v>2033</v>
      </c>
      <c r="B903" s="17">
        <v>43307</v>
      </c>
      <c r="C903" t="s">
        <v>95</v>
      </c>
      <c r="D903" t="s">
        <v>106</v>
      </c>
      <c r="E903">
        <v>11</v>
      </c>
      <c r="F903">
        <v>80</v>
      </c>
      <c r="G903">
        <v>880</v>
      </c>
      <c r="H903">
        <v>0.01</v>
      </c>
      <c r="I903" t="s">
        <v>107</v>
      </c>
      <c r="J903">
        <v>8.8000000000000007</v>
      </c>
      <c r="Q903" s="22"/>
    </row>
    <row r="904" spans="1:17" x14ac:dyDescent="0.3">
      <c r="A904" t="s">
        <v>2034</v>
      </c>
      <c r="B904" s="17">
        <v>43307</v>
      </c>
      <c r="C904" t="s">
        <v>108</v>
      </c>
      <c r="D904" t="s">
        <v>106</v>
      </c>
      <c r="E904">
        <v>7</v>
      </c>
      <c r="F904">
        <v>16</v>
      </c>
      <c r="G904">
        <v>112</v>
      </c>
      <c r="H904">
        <v>0.08</v>
      </c>
      <c r="I904" t="s">
        <v>110</v>
      </c>
      <c r="J904">
        <v>8.9600000000000009</v>
      </c>
      <c r="Q904" s="21"/>
    </row>
    <row r="905" spans="1:17" x14ac:dyDescent="0.3">
      <c r="A905" t="s">
        <v>2035</v>
      </c>
      <c r="B905" s="17">
        <v>43308</v>
      </c>
      <c r="C905" t="s">
        <v>108</v>
      </c>
      <c r="D905" t="s">
        <v>104</v>
      </c>
      <c r="E905">
        <v>11</v>
      </c>
      <c r="F905">
        <v>16</v>
      </c>
      <c r="G905">
        <v>176</v>
      </c>
      <c r="H905">
        <v>0.12</v>
      </c>
      <c r="I905" t="s">
        <v>112</v>
      </c>
      <c r="J905">
        <v>21.119999999999997</v>
      </c>
      <c r="Q905" s="22"/>
    </row>
    <row r="906" spans="1:17" x14ac:dyDescent="0.3">
      <c r="A906" t="s">
        <v>2036</v>
      </c>
      <c r="B906" s="17">
        <v>43308</v>
      </c>
      <c r="C906" t="s">
        <v>98</v>
      </c>
      <c r="D906" t="s">
        <v>109</v>
      </c>
      <c r="E906">
        <v>7</v>
      </c>
      <c r="F906">
        <v>40</v>
      </c>
      <c r="G906">
        <v>280</v>
      </c>
      <c r="H906">
        <v>0.05</v>
      </c>
      <c r="I906" t="s">
        <v>113</v>
      </c>
      <c r="J906">
        <v>14</v>
      </c>
      <c r="Q906" s="21"/>
    </row>
    <row r="907" spans="1:17" x14ac:dyDescent="0.3">
      <c r="A907" t="s">
        <v>2037</v>
      </c>
      <c r="B907" s="17">
        <v>43308</v>
      </c>
      <c r="C907" t="s">
        <v>111</v>
      </c>
      <c r="D907" t="s">
        <v>104</v>
      </c>
      <c r="E907">
        <v>9</v>
      </c>
      <c r="F907">
        <v>150</v>
      </c>
      <c r="G907">
        <v>1350</v>
      </c>
      <c r="H907">
        <v>0.06</v>
      </c>
      <c r="I907" t="s">
        <v>114</v>
      </c>
      <c r="J907">
        <v>81</v>
      </c>
      <c r="Q907" s="22"/>
    </row>
    <row r="908" spans="1:17" x14ac:dyDescent="0.3">
      <c r="A908" t="s">
        <v>2038</v>
      </c>
      <c r="B908" s="17">
        <v>43308</v>
      </c>
      <c r="C908" t="s">
        <v>101</v>
      </c>
      <c r="D908" t="s">
        <v>96</v>
      </c>
      <c r="E908">
        <v>20</v>
      </c>
      <c r="F908">
        <v>230</v>
      </c>
      <c r="G908">
        <v>4600</v>
      </c>
      <c r="H908">
        <v>0.04</v>
      </c>
      <c r="I908" t="s">
        <v>115</v>
      </c>
      <c r="J908">
        <v>184</v>
      </c>
      <c r="Q908" s="21"/>
    </row>
    <row r="909" spans="1:17" x14ac:dyDescent="0.3">
      <c r="A909" t="s">
        <v>2039</v>
      </c>
      <c r="B909" s="17">
        <v>43308</v>
      </c>
      <c r="C909" t="s">
        <v>111</v>
      </c>
      <c r="D909" t="s">
        <v>104</v>
      </c>
      <c r="E909">
        <v>9</v>
      </c>
      <c r="F909">
        <v>150</v>
      </c>
      <c r="G909">
        <v>1350</v>
      </c>
      <c r="H909">
        <v>0.02</v>
      </c>
      <c r="I909" t="s">
        <v>116</v>
      </c>
      <c r="J909">
        <v>27</v>
      </c>
      <c r="Q909" s="22"/>
    </row>
    <row r="910" spans="1:17" x14ac:dyDescent="0.3">
      <c r="A910" t="s">
        <v>2040</v>
      </c>
      <c r="B910" s="17">
        <v>43308</v>
      </c>
      <c r="C910" t="s">
        <v>95</v>
      </c>
      <c r="D910" t="s">
        <v>99</v>
      </c>
      <c r="E910">
        <v>5</v>
      </c>
      <c r="F910">
        <v>80</v>
      </c>
      <c r="G910">
        <v>400</v>
      </c>
      <c r="H910">
        <v>7.0000000000000007E-2</v>
      </c>
      <c r="I910" t="s">
        <v>97</v>
      </c>
      <c r="J910">
        <v>28.000000000000004</v>
      </c>
      <c r="Q910" s="21"/>
    </row>
    <row r="911" spans="1:17" x14ac:dyDescent="0.3">
      <c r="A911" t="s">
        <v>2041</v>
      </c>
      <c r="B911" s="17">
        <v>43308</v>
      </c>
      <c r="C911" t="s">
        <v>111</v>
      </c>
      <c r="D911" t="s">
        <v>104</v>
      </c>
      <c r="E911">
        <v>20</v>
      </c>
      <c r="F911">
        <v>150</v>
      </c>
      <c r="G911">
        <v>3000</v>
      </c>
      <c r="H911">
        <v>0.04</v>
      </c>
      <c r="I911" t="s">
        <v>100</v>
      </c>
      <c r="J911">
        <v>120</v>
      </c>
      <c r="Q911" s="22"/>
    </row>
    <row r="912" spans="1:17" x14ac:dyDescent="0.3">
      <c r="A912" t="s">
        <v>2042</v>
      </c>
      <c r="B912" s="17">
        <v>43308</v>
      </c>
      <c r="C912" t="s">
        <v>111</v>
      </c>
      <c r="D912" t="s">
        <v>106</v>
      </c>
      <c r="E912">
        <v>15</v>
      </c>
      <c r="F912">
        <v>150</v>
      </c>
      <c r="G912">
        <v>2250</v>
      </c>
      <c r="H912">
        <v>0.05</v>
      </c>
      <c r="I912" t="s">
        <v>102</v>
      </c>
      <c r="J912">
        <v>112.5</v>
      </c>
      <c r="Q912" s="21"/>
    </row>
    <row r="913" spans="1:17" x14ac:dyDescent="0.3">
      <c r="A913" t="s">
        <v>2043</v>
      </c>
      <c r="B913" s="17">
        <v>43308</v>
      </c>
      <c r="C913" t="s">
        <v>95</v>
      </c>
      <c r="D913" t="s">
        <v>96</v>
      </c>
      <c r="E913">
        <v>20</v>
      </c>
      <c r="F913">
        <v>80</v>
      </c>
      <c r="G913">
        <v>1600</v>
      </c>
      <c r="H913">
        <v>0.01</v>
      </c>
      <c r="I913" t="s">
        <v>103</v>
      </c>
      <c r="J913">
        <v>16</v>
      </c>
      <c r="Q913" s="22"/>
    </row>
    <row r="914" spans="1:17" x14ac:dyDescent="0.3">
      <c r="A914" t="s">
        <v>2044</v>
      </c>
      <c r="B914" s="17">
        <v>43309</v>
      </c>
      <c r="C914" t="s">
        <v>101</v>
      </c>
      <c r="D914" t="s">
        <v>99</v>
      </c>
      <c r="E914">
        <v>12</v>
      </c>
      <c r="F914">
        <v>230</v>
      </c>
      <c r="G914">
        <v>2760</v>
      </c>
      <c r="H914">
        <v>0.03</v>
      </c>
      <c r="I914" t="s">
        <v>105</v>
      </c>
      <c r="J914">
        <v>82.8</v>
      </c>
      <c r="Q914" s="21"/>
    </row>
    <row r="915" spans="1:17" x14ac:dyDescent="0.3">
      <c r="A915" t="s">
        <v>2045</v>
      </c>
      <c r="B915" s="17">
        <v>43309</v>
      </c>
      <c r="C915" t="s">
        <v>98</v>
      </c>
      <c r="D915" t="s">
        <v>109</v>
      </c>
      <c r="E915">
        <v>20</v>
      </c>
      <c r="F915">
        <v>40</v>
      </c>
      <c r="G915">
        <v>800</v>
      </c>
      <c r="H915">
        <v>0.05</v>
      </c>
      <c r="I915" t="s">
        <v>107</v>
      </c>
      <c r="J915">
        <v>40</v>
      </c>
      <c r="Q915" s="22"/>
    </row>
    <row r="916" spans="1:17" x14ac:dyDescent="0.3">
      <c r="A916" t="s">
        <v>2046</v>
      </c>
      <c r="B916" s="17">
        <v>43309</v>
      </c>
      <c r="C916" t="s">
        <v>98</v>
      </c>
      <c r="D916" t="s">
        <v>109</v>
      </c>
      <c r="E916">
        <v>4</v>
      </c>
      <c r="F916">
        <v>40</v>
      </c>
      <c r="G916">
        <v>160</v>
      </c>
      <c r="H916">
        <v>0.09</v>
      </c>
      <c r="I916" t="s">
        <v>100</v>
      </c>
      <c r="J916">
        <v>14.399999999999999</v>
      </c>
      <c r="Q916" s="21"/>
    </row>
    <row r="917" spans="1:17" x14ac:dyDescent="0.3">
      <c r="A917" t="s">
        <v>2047</v>
      </c>
      <c r="B917" s="17">
        <v>43309</v>
      </c>
      <c r="C917" t="s">
        <v>108</v>
      </c>
      <c r="D917" t="s">
        <v>104</v>
      </c>
      <c r="E917">
        <v>6</v>
      </c>
      <c r="F917">
        <v>16</v>
      </c>
      <c r="G917">
        <v>96</v>
      </c>
      <c r="H917">
        <v>7.0000000000000007E-2</v>
      </c>
      <c r="I917" t="s">
        <v>102</v>
      </c>
      <c r="J917">
        <v>6.7200000000000006</v>
      </c>
      <c r="Q917" s="22"/>
    </row>
    <row r="918" spans="1:17" x14ac:dyDescent="0.3">
      <c r="A918" t="s">
        <v>2048</v>
      </c>
      <c r="B918" s="17">
        <v>43309</v>
      </c>
      <c r="C918" t="s">
        <v>95</v>
      </c>
      <c r="D918" t="s">
        <v>99</v>
      </c>
      <c r="E918">
        <v>13</v>
      </c>
      <c r="F918">
        <v>80</v>
      </c>
      <c r="G918">
        <v>1040</v>
      </c>
      <c r="H918">
        <v>0.06</v>
      </c>
      <c r="I918" t="s">
        <v>103</v>
      </c>
      <c r="J918">
        <v>62.4</v>
      </c>
      <c r="Q918" s="21"/>
    </row>
    <row r="919" spans="1:17" x14ac:dyDescent="0.3">
      <c r="A919" t="s">
        <v>2049</v>
      </c>
      <c r="B919" s="17">
        <v>43309</v>
      </c>
      <c r="C919" t="s">
        <v>111</v>
      </c>
      <c r="D919" t="s">
        <v>96</v>
      </c>
      <c r="E919">
        <v>4</v>
      </c>
      <c r="F919">
        <v>150</v>
      </c>
      <c r="G919">
        <v>600</v>
      </c>
      <c r="H919">
        <v>0.1</v>
      </c>
      <c r="I919" t="s">
        <v>105</v>
      </c>
      <c r="J919">
        <v>60</v>
      </c>
      <c r="Q919" s="22"/>
    </row>
    <row r="920" spans="1:17" x14ac:dyDescent="0.3">
      <c r="A920" t="s">
        <v>2050</v>
      </c>
      <c r="B920" s="17">
        <v>43309</v>
      </c>
      <c r="C920" t="s">
        <v>111</v>
      </c>
      <c r="D920" t="s">
        <v>106</v>
      </c>
      <c r="E920">
        <v>9</v>
      </c>
      <c r="F920">
        <v>150</v>
      </c>
      <c r="G920">
        <v>1350</v>
      </c>
      <c r="H920">
        <v>0.02</v>
      </c>
      <c r="I920" t="s">
        <v>107</v>
      </c>
      <c r="J920">
        <v>27</v>
      </c>
      <c r="Q920" s="21"/>
    </row>
    <row r="921" spans="1:17" x14ac:dyDescent="0.3">
      <c r="A921" t="s">
        <v>2051</v>
      </c>
      <c r="B921" s="17">
        <v>43309</v>
      </c>
      <c r="C921" t="s">
        <v>111</v>
      </c>
      <c r="D921" t="s">
        <v>96</v>
      </c>
      <c r="E921">
        <v>11</v>
      </c>
      <c r="F921">
        <v>150</v>
      </c>
      <c r="G921">
        <v>1650</v>
      </c>
      <c r="H921">
        <v>0.05</v>
      </c>
      <c r="I921" t="s">
        <v>110</v>
      </c>
      <c r="J921">
        <v>82.5</v>
      </c>
      <c r="Q921" s="22"/>
    </row>
    <row r="922" spans="1:17" x14ac:dyDescent="0.3">
      <c r="A922" t="s">
        <v>2052</v>
      </c>
      <c r="B922" s="17">
        <v>43309</v>
      </c>
      <c r="C922" t="s">
        <v>108</v>
      </c>
      <c r="D922" t="s">
        <v>104</v>
      </c>
      <c r="E922">
        <v>6</v>
      </c>
      <c r="F922">
        <v>16</v>
      </c>
      <c r="G922">
        <v>96</v>
      </c>
      <c r="H922">
        <v>0.06</v>
      </c>
      <c r="I922" t="s">
        <v>112</v>
      </c>
      <c r="J922">
        <v>5.76</v>
      </c>
      <c r="Q922" s="21"/>
    </row>
    <row r="923" spans="1:17" x14ac:dyDescent="0.3">
      <c r="A923" t="s">
        <v>2053</v>
      </c>
      <c r="B923" s="17">
        <v>43310</v>
      </c>
      <c r="C923" t="s">
        <v>101</v>
      </c>
      <c r="D923" t="s">
        <v>104</v>
      </c>
      <c r="E923">
        <v>14</v>
      </c>
      <c r="F923">
        <v>230</v>
      </c>
      <c r="G923">
        <v>3220</v>
      </c>
      <c r="H923">
        <v>0.12</v>
      </c>
      <c r="I923" t="s">
        <v>113</v>
      </c>
      <c r="J923">
        <v>386.4</v>
      </c>
      <c r="Q923" s="22"/>
    </row>
    <row r="924" spans="1:17" x14ac:dyDescent="0.3">
      <c r="A924" t="s">
        <v>2054</v>
      </c>
      <c r="B924" s="17">
        <v>43310</v>
      </c>
      <c r="C924" t="s">
        <v>95</v>
      </c>
      <c r="D924" t="s">
        <v>99</v>
      </c>
      <c r="E924">
        <v>15</v>
      </c>
      <c r="F924">
        <v>80</v>
      </c>
      <c r="G924">
        <v>1200</v>
      </c>
      <c r="H924">
        <v>0.12</v>
      </c>
      <c r="I924" t="s">
        <v>114</v>
      </c>
      <c r="J924">
        <v>144</v>
      </c>
      <c r="Q924" s="21"/>
    </row>
    <row r="925" spans="1:17" x14ac:dyDescent="0.3">
      <c r="A925" t="s">
        <v>2055</v>
      </c>
      <c r="B925" s="17">
        <v>43310</v>
      </c>
      <c r="C925" t="s">
        <v>101</v>
      </c>
      <c r="D925" t="s">
        <v>106</v>
      </c>
      <c r="E925">
        <v>17</v>
      </c>
      <c r="F925">
        <v>230</v>
      </c>
      <c r="G925">
        <v>3910</v>
      </c>
      <c r="H925">
        <v>0.12</v>
      </c>
      <c r="I925" t="s">
        <v>115</v>
      </c>
      <c r="J925">
        <v>469.2</v>
      </c>
      <c r="Q925" s="22"/>
    </row>
    <row r="926" spans="1:17" x14ac:dyDescent="0.3">
      <c r="A926" t="s">
        <v>2056</v>
      </c>
      <c r="B926" s="17">
        <v>43310</v>
      </c>
      <c r="C926" t="s">
        <v>111</v>
      </c>
      <c r="D926" t="s">
        <v>96</v>
      </c>
      <c r="E926">
        <v>5</v>
      </c>
      <c r="F926">
        <v>150</v>
      </c>
      <c r="G926">
        <v>750</v>
      </c>
      <c r="H926">
        <v>0.11</v>
      </c>
      <c r="I926" t="s">
        <v>116</v>
      </c>
      <c r="J926">
        <v>82.5</v>
      </c>
      <c r="Q926" s="21"/>
    </row>
    <row r="927" spans="1:17" x14ac:dyDescent="0.3">
      <c r="A927" t="s">
        <v>2057</v>
      </c>
      <c r="B927" s="17">
        <v>43310</v>
      </c>
      <c r="C927" t="s">
        <v>95</v>
      </c>
      <c r="D927" t="s">
        <v>109</v>
      </c>
      <c r="E927">
        <v>10</v>
      </c>
      <c r="F927">
        <v>80</v>
      </c>
      <c r="G927">
        <v>800</v>
      </c>
      <c r="H927">
        <v>0.06</v>
      </c>
      <c r="I927" t="s">
        <v>97</v>
      </c>
      <c r="J927">
        <v>48</v>
      </c>
      <c r="Q927" s="22"/>
    </row>
    <row r="928" spans="1:17" x14ac:dyDescent="0.3">
      <c r="A928" t="s">
        <v>2058</v>
      </c>
      <c r="B928" s="17">
        <v>43310</v>
      </c>
      <c r="C928" t="s">
        <v>95</v>
      </c>
      <c r="D928" t="s">
        <v>96</v>
      </c>
      <c r="E928">
        <v>9</v>
      </c>
      <c r="F928">
        <v>80</v>
      </c>
      <c r="G928">
        <v>720</v>
      </c>
      <c r="H928">
        <v>0.04</v>
      </c>
      <c r="I928" t="s">
        <v>100</v>
      </c>
      <c r="J928">
        <v>28.8</v>
      </c>
      <c r="Q928" s="21"/>
    </row>
    <row r="929" spans="1:17" x14ac:dyDescent="0.3">
      <c r="A929" t="s">
        <v>2059</v>
      </c>
      <c r="B929" s="17">
        <v>43310</v>
      </c>
      <c r="C929" t="s">
        <v>98</v>
      </c>
      <c r="D929" t="s">
        <v>109</v>
      </c>
      <c r="E929">
        <v>16</v>
      </c>
      <c r="F929">
        <v>40</v>
      </c>
      <c r="G929">
        <v>640</v>
      </c>
      <c r="H929">
        <v>0.09</v>
      </c>
      <c r="I929" t="s">
        <v>102</v>
      </c>
      <c r="J929">
        <v>57.599999999999994</v>
      </c>
      <c r="Q929" s="22"/>
    </row>
    <row r="930" spans="1:17" x14ac:dyDescent="0.3">
      <c r="A930" t="s">
        <v>2060</v>
      </c>
      <c r="B930" s="17">
        <v>43310</v>
      </c>
      <c r="C930" t="s">
        <v>101</v>
      </c>
      <c r="D930" t="s">
        <v>96</v>
      </c>
      <c r="E930">
        <v>7</v>
      </c>
      <c r="F930">
        <v>230</v>
      </c>
      <c r="G930">
        <v>1610</v>
      </c>
      <c r="H930">
        <v>0.08</v>
      </c>
      <c r="I930" t="s">
        <v>103</v>
      </c>
      <c r="J930">
        <v>128.80000000000001</v>
      </c>
      <c r="Q930" s="21"/>
    </row>
    <row r="931" spans="1:17" x14ac:dyDescent="0.3">
      <c r="A931" t="s">
        <v>2061</v>
      </c>
      <c r="B931" s="17">
        <v>43310</v>
      </c>
      <c r="C931" t="s">
        <v>95</v>
      </c>
      <c r="D931" t="s">
        <v>106</v>
      </c>
      <c r="E931">
        <v>17</v>
      </c>
      <c r="F931">
        <v>80</v>
      </c>
      <c r="G931">
        <v>1360</v>
      </c>
      <c r="H931">
        <v>0.05</v>
      </c>
      <c r="I931" t="s">
        <v>105</v>
      </c>
      <c r="J931">
        <v>68</v>
      </c>
      <c r="Q931" s="22"/>
    </row>
    <row r="932" spans="1:17" x14ac:dyDescent="0.3">
      <c r="A932" t="s">
        <v>2062</v>
      </c>
      <c r="B932" s="17">
        <v>43310</v>
      </c>
      <c r="C932" t="s">
        <v>101</v>
      </c>
      <c r="D932" t="s">
        <v>96</v>
      </c>
      <c r="E932">
        <v>11</v>
      </c>
      <c r="F932">
        <v>230</v>
      </c>
      <c r="G932">
        <v>2530</v>
      </c>
      <c r="H932">
        <v>0.02</v>
      </c>
      <c r="I932" t="s">
        <v>107</v>
      </c>
      <c r="J932">
        <v>50.6</v>
      </c>
      <c r="Q932" s="21"/>
    </row>
    <row r="933" spans="1:17" x14ac:dyDescent="0.3">
      <c r="A933" t="s">
        <v>2063</v>
      </c>
      <c r="B933" s="17">
        <v>43311</v>
      </c>
      <c r="C933" t="s">
        <v>98</v>
      </c>
      <c r="D933" t="s">
        <v>96</v>
      </c>
      <c r="E933">
        <v>15</v>
      </c>
      <c r="F933">
        <v>40</v>
      </c>
      <c r="G933">
        <v>600</v>
      </c>
      <c r="H933">
        <v>0.06</v>
      </c>
      <c r="I933" t="s">
        <v>100</v>
      </c>
      <c r="J933">
        <v>36</v>
      </c>
      <c r="Q933" s="22"/>
    </row>
    <row r="934" spans="1:17" x14ac:dyDescent="0.3">
      <c r="A934" t="s">
        <v>2064</v>
      </c>
      <c r="B934" s="17">
        <v>43312</v>
      </c>
      <c r="C934" t="s">
        <v>101</v>
      </c>
      <c r="D934" t="s">
        <v>96</v>
      </c>
      <c r="E934">
        <v>7</v>
      </c>
      <c r="F934">
        <v>230</v>
      </c>
      <c r="G934">
        <v>1610</v>
      </c>
      <c r="H934">
        <v>0.02</v>
      </c>
      <c r="I934" t="s">
        <v>102</v>
      </c>
      <c r="J934">
        <v>32.200000000000003</v>
      </c>
      <c r="Q934" s="21"/>
    </row>
    <row r="935" spans="1:17" x14ac:dyDescent="0.3">
      <c r="A935" t="s">
        <v>2065</v>
      </c>
      <c r="B935" s="17">
        <v>43312</v>
      </c>
      <c r="C935" t="s">
        <v>95</v>
      </c>
      <c r="D935" t="s">
        <v>104</v>
      </c>
      <c r="E935">
        <v>20</v>
      </c>
      <c r="F935">
        <v>80</v>
      </c>
      <c r="G935">
        <v>1600</v>
      </c>
      <c r="H935">
        <v>7.0000000000000007E-2</v>
      </c>
      <c r="I935" t="s">
        <v>103</v>
      </c>
      <c r="J935">
        <v>112.00000000000001</v>
      </c>
      <c r="Q935" s="22"/>
    </row>
    <row r="936" spans="1:17" x14ac:dyDescent="0.3">
      <c r="A936" t="s">
        <v>2066</v>
      </c>
      <c r="B936" s="17">
        <v>43312</v>
      </c>
      <c r="C936" t="s">
        <v>95</v>
      </c>
      <c r="D936" t="s">
        <v>99</v>
      </c>
      <c r="E936">
        <v>3</v>
      </c>
      <c r="F936">
        <v>80</v>
      </c>
      <c r="G936">
        <v>240</v>
      </c>
      <c r="H936">
        <v>0.02</v>
      </c>
      <c r="I936" t="s">
        <v>105</v>
      </c>
      <c r="J936">
        <v>4.8</v>
      </c>
      <c r="Q936" s="21"/>
    </row>
    <row r="937" spans="1:17" x14ac:dyDescent="0.3">
      <c r="A937" t="s">
        <v>2067</v>
      </c>
      <c r="B937" s="17">
        <v>43312</v>
      </c>
      <c r="C937" t="s">
        <v>111</v>
      </c>
      <c r="D937" t="s">
        <v>104</v>
      </c>
      <c r="E937">
        <v>2</v>
      </c>
      <c r="F937">
        <v>150</v>
      </c>
      <c r="G937">
        <v>300</v>
      </c>
      <c r="H937">
        <v>0.02</v>
      </c>
      <c r="I937" t="s">
        <v>107</v>
      </c>
      <c r="J937">
        <v>6</v>
      </c>
      <c r="Q937" s="22"/>
    </row>
    <row r="938" spans="1:17" x14ac:dyDescent="0.3">
      <c r="A938" t="s">
        <v>2068</v>
      </c>
      <c r="B938" s="17">
        <v>43312</v>
      </c>
      <c r="C938" t="s">
        <v>111</v>
      </c>
      <c r="D938" t="s">
        <v>104</v>
      </c>
      <c r="E938">
        <v>22</v>
      </c>
      <c r="F938">
        <v>150</v>
      </c>
      <c r="G938">
        <v>3300</v>
      </c>
      <c r="H938">
        <v>0.09</v>
      </c>
      <c r="I938" t="s">
        <v>110</v>
      </c>
      <c r="J938">
        <v>297</v>
      </c>
      <c r="Q938" s="21"/>
    </row>
    <row r="939" spans="1:17" x14ac:dyDescent="0.3">
      <c r="A939" t="s">
        <v>2069</v>
      </c>
      <c r="B939" s="17">
        <v>43312</v>
      </c>
      <c r="C939" t="s">
        <v>101</v>
      </c>
      <c r="D939" t="s">
        <v>96</v>
      </c>
      <c r="E939">
        <v>5</v>
      </c>
      <c r="F939">
        <v>230</v>
      </c>
      <c r="G939">
        <v>1150</v>
      </c>
      <c r="H939">
        <v>0.1</v>
      </c>
      <c r="I939" t="s">
        <v>112</v>
      </c>
      <c r="J939">
        <v>115</v>
      </c>
      <c r="Q939" s="22"/>
    </row>
    <row r="940" spans="1:17" x14ac:dyDescent="0.3">
      <c r="A940" t="s">
        <v>2070</v>
      </c>
      <c r="B940" s="17">
        <v>43312</v>
      </c>
      <c r="C940" t="s">
        <v>108</v>
      </c>
      <c r="D940" t="s">
        <v>109</v>
      </c>
      <c r="E940">
        <v>12</v>
      </c>
      <c r="F940">
        <v>16</v>
      </c>
      <c r="G940">
        <v>192</v>
      </c>
      <c r="H940">
        <v>0.04</v>
      </c>
      <c r="I940" t="s">
        <v>113</v>
      </c>
      <c r="J940">
        <v>7.68</v>
      </c>
      <c r="Q940" s="21"/>
    </row>
    <row r="941" spans="1:17" x14ac:dyDescent="0.3">
      <c r="A941" t="s">
        <v>2071</v>
      </c>
      <c r="B941" s="17">
        <v>43312</v>
      </c>
      <c r="C941" t="s">
        <v>98</v>
      </c>
      <c r="D941" t="s">
        <v>106</v>
      </c>
      <c r="E941">
        <v>6</v>
      </c>
      <c r="F941">
        <v>40</v>
      </c>
      <c r="G941">
        <v>240</v>
      </c>
      <c r="H941">
        <v>7.0000000000000007E-2</v>
      </c>
      <c r="I941" t="s">
        <v>114</v>
      </c>
      <c r="J941">
        <v>16.8</v>
      </c>
      <c r="Q941" s="22"/>
    </row>
    <row r="942" spans="1:17" x14ac:dyDescent="0.3">
      <c r="A942" t="s">
        <v>2072</v>
      </c>
      <c r="B942" s="17">
        <v>43312</v>
      </c>
      <c r="C942" t="s">
        <v>108</v>
      </c>
      <c r="D942" t="s">
        <v>109</v>
      </c>
      <c r="E942">
        <v>15</v>
      </c>
      <c r="F942">
        <v>16</v>
      </c>
      <c r="G942">
        <v>240</v>
      </c>
      <c r="H942">
        <v>0.01</v>
      </c>
      <c r="I942" t="s">
        <v>115</v>
      </c>
      <c r="J942">
        <v>2.4</v>
      </c>
      <c r="Q942" s="21"/>
    </row>
    <row r="943" spans="1:17" x14ac:dyDescent="0.3">
      <c r="A943" t="s">
        <v>2073</v>
      </c>
      <c r="B943" s="17">
        <v>43282</v>
      </c>
      <c r="C943" t="s">
        <v>111</v>
      </c>
      <c r="D943" t="s">
        <v>109</v>
      </c>
      <c r="E943">
        <v>13</v>
      </c>
      <c r="F943">
        <v>150</v>
      </c>
      <c r="G943">
        <v>1950</v>
      </c>
      <c r="H943">
        <v>0.11</v>
      </c>
      <c r="I943" t="s">
        <v>116</v>
      </c>
      <c r="J943">
        <v>214.5</v>
      </c>
      <c r="Q943" s="22"/>
    </row>
    <row r="944" spans="1:17" x14ac:dyDescent="0.3">
      <c r="A944" t="s">
        <v>2074</v>
      </c>
      <c r="B944" s="17">
        <v>43282</v>
      </c>
      <c r="C944" t="s">
        <v>98</v>
      </c>
      <c r="D944" t="s">
        <v>99</v>
      </c>
      <c r="E944">
        <v>8</v>
      </c>
      <c r="F944">
        <v>40</v>
      </c>
      <c r="G944">
        <v>320</v>
      </c>
      <c r="H944">
        <v>0.09</v>
      </c>
      <c r="I944" t="s">
        <v>97</v>
      </c>
      <c r="J944">
        <v>28.799999999999997</v>
      </c>
      <c r="Q944" s="21"/>
    </row>
    <row r="945" spans="1:17" x14ac:dyDescent="0.3">
      <c r="A945" t="s">
        <v>2075</v>
      </c>
      <c r="B945" s="17">
        <v>43282</v>
      </c>
      <c r="C945" t="s">
        <v>98</v>
      </c>
      <c r="D945" t="s">
        <v>106</v>
      </c>
      <c r="E945">
        <v>7</v>
      </c>
      <c r="F945">
        <v>40</v>
      </c>
      <c r="G945">
        <v>280</v>
      </c>
      <c r="H945">
        <v>7.0000000000000007E-2</v>
      </c>
      <c r="I945" t="s">
        <v>100</v>
      </c>
      <c r="J945">
        <v>19.600000000000001</v>
      </c>
      <c r="Q945" s="22"/>
    </row>
    <row r="946" spans="1:17" x14ac:dyDescent="0.3">
      <c r="A946" t="s">
        <v>2076</v>
      </c>
      <c r="B946" s="17">
        <v>43282</v>
      </c>
      <c r="C946" t="s">
        <v>98</v>
      </c>
      <c r="D946" t="s">
        <v>99</v>
      </c>
      <c r="E946">
        <v>18</v>
      </c>
      <c r="F946">
        <v>40</v>
      </c>
      <c r="G946">
        <v>720</v>
      </c>
      <c r="H946">
        <v>0.08</v>
      </c>
      <c r="I946" t="s">
        <v>102</v>
      </c>
      <c r="J946">
        <v>57.6</v>
      </c>
      <c r="Q946" s="21"/>
    </row>
    <row r="947" spans="1:17" x14ac:dyDescent="0.3">
      <c r="A947" t="s">
        <v>2077</v>
      </c>
      <c r="B947" s="17">
        <v>43282</v>
      </c>
      <c r="C947" t="s">
        <v>101</v>
      </c>
      <c r="D947" t="s">
        <v>106</v>
      </c>
      <c r="E947">
        <v>19</v>
      </c>
      <c r="F947">
        <v>230</v>
      </c>
      <c r="G947">
        <v>4370</v>
      </c>
      <c r="H947">
        <v>0.06</v>
      </c>
      <c r="I947" t="s">
        <v>103</v>
      </c>
      <c r="J947">
        <v>262.2</v>
      </c>
      <c r="Q947" s="22"/>
    </row>
    <row r="948" spans="1:17" x14ac:dyDescent="0.3">
      <c r="A948" t="s">
        <v>2078</v>
      </c>
      <c r="B948" s="17">
        <v>43282</v>
      </c>
      <c r="C948" t="s">
        <v>111</v>
      </c>
      <c r="D948" t="s">
        <v>96</v>
      </c>
      <c r="E948">
        <v>4</v>
      </c>
      <c r="F948">
        <v>150</v>
      </c>
      <c r="G948">
        <v>600</v>
      </c>
      <c r="H948">
        <v>0.1</v>
      </c>
      <c r="I948" t="s">
        <v>105</v>
      </c>
      <c r="J948">
        <v>60</v>
      </c>
      <c r="Q948" s="21"/>
    </row>
    <row r="949" spans="1:17" x14ac:dyDescent="0.3">
      <c r="A949" t="s">
        <v>2079</v>
      </c>
      <c r="B949" s="17">
        <v>43283</v>
      </c>
      <c r="C949" t="s">
        <v>95</v>
      </c>
      <c r="D949" t="s">
        <v>109</v>
      </c>
      <c r="E949">
        <v>9</v>
      </c>
      <c r="F949">
        <v>80</v>
      </c>
      <c r="G949">
        <v>720</v>
      </c>
      <c r="H949">
        <v>0.06</v>
      </c>
      <c r="I949" t="s">
        <v>107</v>
      </c>
      <c r="J949">
        <v>43.199999999999996</v>
      </c>
      <c r="Q949" s="22"/>
    </row>
    <row r="950" spans="1:17" x14ac:dyDescent="0.3">
      <c r="A950" t="s">
        <v>2080</v>
      </c>
      <c r="B950" s="17">
        <v>43283</v>
      </c>
      <c r="C950" t="s">
        <v>95</v>
      </c>
      <c r="D950" t="s">
        <v>104</v>
      </c>
      <c r="E950">
        <v>16</v>
      </c>
      <c r="F950">
        <v>80</v>
      </c>
      <c r="G950">
        <v>1280</v>
      </c>
      <c r="H950">
        <v>0.02</v>
      </c>
      <c r="I950" t="s">
        <v>100</v>
      </c>
      <c r="J950">
        <v>25.6</v>
      </c>
      <c r="Q950" s="21"/>
    </row>
    <row r="951" spans="1:17" x14ac:dyDescent="0.3">
      <c r="A951" t="s">
        <v>2081</v>
      </c>
      <c r="B951" s="17">
        <v>43283</v>
      </c>
      <c r="C951" t="s">
        <v>101</v>
      </c>
      <c r="D951" t="s">
        <v>99</v>
      </c>
      <c r="E951">
        <v>15</v>
      </c>
      <c r="F951">
        <v>230</v>
      </c>
      <c r="G951">
        <v>3450</v>
      </c>
      <c r="H951">
        <v>0.09</v>
      </c>
      <c r="I951" t="s">
        <v>102</v>
      </c>
      <c r="J951">
        <v>310.5</v>
      </c>
      <c r="Q951" s="22"/>
    </row>
    <row r="952" spans="1:17" x14ac:dyDescent="0.3">
      <c r="A952" t="s">
        <v>2082</v>
      </c>
      <c r="B952" s="17">
        <v>43283</v>
      </c>
      <c r="C952" t="s">
        <v>108</v>
      </c>
      <c r="D952" t="s">
        <v>109</v>
      </c>
      <c r="E952">
        <v>15</v>
      </c>
      <c r="F952">
        <v>16</v>
      </c>
      <c r="G952">
        <v>240</v>
      </c>
      <c r="H952">
        <v>0.01</v>
      </c>
      <c r="I952" t="s">
        <v>103</v>
      </c>
      <c r="J952">
        <v>2.4</v>
      </c>
      <c r="Q952" s="21"/>
    </row>
    <row r="953" spans="1:17" x14ac:dyDescent="0.3">
      <c r="A953" t="s">
        <v>2083</v>
      </c>
      <c r="B953" s="17">
        <v>43283</v>
      </c>
      <c r="C953" t="s">
        <v>101</v>
      </c>
      <c r="D953" t="s">
        <v>96</v>
      </c>
      <c r="E953">
        <v>7</v>
      </c>
      <c r="F953">
        <v>230</v>
      </c>
      <c r="G953">
        <v>1610</v>
      </c>
      <c r="H953">
        <v>0.02</v>
      </c>
      <c r="I953" t="s">
        <v>105</v>
      </c>
      <c r="J953">
        <v>32.200000000000003</v>
      </c>
      <c r="Q953" s="22"/>
    </row>
    <row r="954" spans="1:17" x14ac:dyDescent="0.3">
      <c r="A954" t="s">
        <v>2084</v>
      </c>
      <c r="B954" s="17">
        <v>43283</v>
      </c>
      <c r="C954" t="s">
        <v>108</v>
      </c>
      <c r="D954" t="s">
        <v>104</v>
      </c>
      <c r="E954">
        <v>23</v>
      </c>
      <c r="F954">
        <v>16</v>
      </c>
      <c r="G954">
        <v>368</v>
      </c>
      <c r="H954">
        <v>0.11</v>
      </c>
      <c r="I954" t="s">
        <v>107</v>
      </c>
      <c r="J954">
        <v>40.479999999999997</v>
      </c>
      <c r="Q954" s="21"/>
    </row>
    <row r="955" spans="1:17" x14ac:dyDescent="0.3">
      <c r="A955" t="s">
        <v>2085</v>
      </c>
      <c r="B955" s="17">
        <v>43283</v>
      </c>
      <c r="C955" t="s">
        <v>98</v>
      </c>
      <c r="D955" t="s">
        <v>109</v>
      </c>
      <c r="E955">
        <v>20</v>
      </c>
      <c r="F955">
        <v>40</v>
      </c>
      <c r="G955">
        <v>800</v>
      </c>
      <c r="H955">
        <v>0.05</v>
      </c>
      <c r="I955" t="s">
        <v>110</v>
      </c>
      <c r="J955">
        <v>40</v>
      </c>
      <c r="Q955" s="22"/>
    </row>
    <row r="956" spans="1:17" x14ac:dyDescent="0.3">
      <c r="A956" t="s">
        <v>2086</v>
      </c>
      <c r="B956" s="17">
        <v>43284</v>
      </c>
      <c r="C956" t="s">
        <v>101</v>
      </c>
      <c r="D956" t="s">
        <v>99</v>
      </c>
      <c r="E956">
        <v>9</v>
      </c>
      <c r="F956">
        <v>230</v>
      </c>
      <c r="G956">
        <v>2070</v>
      </c>
      <c r="H956">
        <v>0.03</v>
      </c>
      <c r="I956" t="s">
        <v>112</v>
      </c>
      <c r="J956">
        <v>62.099999999999994</v>
      </c>
      <c r="Q956" s="21"/>
    </row>
    <row r="957" spans="1:17" x14ac:dyDescent="0.3">
      <c r="A957" t="s">
        <v>2087</v>
      </c>
      <c r="B957" s="17">
        <v>43284</v>
      </c>
      <c r="C957" t="s">
        <v>98</v>
      </c>
      <c r="D957" t="s">
        <v>106</v>
      </c>
      <c r="E957">
        <v>23</v>
      </c>
      <c r="F957">
        <v>40</v>
      </c>
      <c r="G957">
        <v>920</v>
      </c>
      <c r="H957">
        <v>0.06</v>
      </c>
      <c r="I957" t="s">
        <v>113</v>
      </c>
      <c r="J957">
        <v>55.199999999999996</v>
      </c>
      <c r="Q957" s="22"/>
    </row>
    <row r="958" spans="1:17" x14ac:dyDescent="0.3">
      <c r="A958" t="s">
        <v>2088</v>
      </c>
      <c r="B958" s="17">
        <v>43284</v>
      </c>
      <c r="C958" t="s">
        <v>98</v>
      </c>
      <c r="D958" t="s">
        <v>106</v>
      </c>
      <c r="E958">
        <v>4</v>
      </c>
      <c r="F958">
        <v>40</v>
      </c>
      <c r="G958">
        <v>160</v>
      </c>
      <c r="H958">
        <v>0.05</v>
      </c>
      <c r="I958" t="s">
        <v>114</v>
      </c>
      <c r="J958">
        <v>8</v>
      </c>
      <c r="Q958" s="21"/>
    </row>
    <row r="959" spans="1:17" x14ac:dyDescent="0.3">
      <c r="A959" t="s">
        <v>2089</v>
      </c>
      <c r="B959" s="17">
        <v>43284</v>
      </c>
      <c r="C959" t="s">
        <v>111</v>
      </c>
      <c r="D959" t="s">
        <v>96</v>
      </c>
      <c r="E959">
        <v>13</v>
      </c>
      <c r="F959">
        <v>150</v>
      </c>
      <c r="G959">
        <v>1950</v>
      </c>
      <c r="H959">
        <v>0.05</v>
      </c>
      <c r="I959" t="s">
        <v>115</v>
      </c>
      <c r="J959">
        <v>97.5</v>
      </c>
      <c r="Q959" s="22"/>
    </row>
    <row r="960" spans="1:17" x14ac:dyDescent="0.3">
      <c r="A960" t="s">
        <v>2090</v>
      </c>
      <c r="B960" s="17">
        <v>43284</v>
      </c>
      <c r="C960" t="s">
        <v>101</v>
      </c>
      <c r="D960" t="s">
        <v>99</v>
      </c>
      <c r="E960">
        <v>7</v>
      </c>
      <c r="F960">
        <v>230</v>
      </c>
      <c r="G960">
        <v>1610</v>
      </c>
      <c r="H960">
        <v>0.01</v>
      </c>
      <c r="I960" t="s">
        <v>116</v>
      </c>
      <c r="J960">
        <v>16.100000000000001</v>
      </c>
      <c r="Q960" s="21"/>
    </row>
    <row r="961" spans="1:17" x14ac:dyDescent="0.3">
      <c r="A961" t="s">
        <v>2091</v>
      </c>
      <c r="B961" s="17">
        <v>43284</v>
      </c>
      <c r="C961" t="s">
        <v>101</v>
      </c>
      <c r="D961" t="s">
        <v>99</v>
      </c>
      <c r="E961">
        <v>7</v>
      </c>
      <c r="F961">
        <v>230</v>
      </c>
      <c r="G961">
        <v>1610</v>
      </c>
      <c r="H961">
        <v>0.08</v>
      </c>
      <c r="I961" t="s">
        <v>97</v>
      </c>
      <c r="J961">
        <v>128.80000000000001</v>
      </c>
      <c r="Q961" s="22"/>
    </row>
    <row r="962" spans="1:17" x14ac:dyDescent="0.3">
      <c r="A962" t="s">
        <v>2092</v>
      </c>
      <c r="B962" s="17">
        <v>43284</v>
      </c>
      <c r="C962" t="s">
        <v>101</v>
      </c>
      <c r="D962" t="s">
        <v>104</v>
      </c>
      <c r="E962">
        <v>15</v>
      </c>
      <c r="F962">
        <v>230</v>
      </c>
      <c r="G962">
        <v>3450</v>
      </c>
      <c r="H962">
        <v>0.04</v>
      </c>
      <c r="I962" t="s">
        <v>100</v>
      </c>
      <c r="J962">
        <v>138</v>
      </c>
      <c r="Q962" s="21"/>
    </row>
    <row r="963" spans="1:17" x14ac:dyDescent="0.3">
      <c r="A963" t="s">
        <v>2093</v>
      </c>
      <c r="B963" s="17">
        <v>43284</v>
      </c>
      <c r="C963" t="s">
        <v>98</v>
      </c>
      <c r="D963" t="s">
        <v>106</v>
      </c>
      <c r="E963">
        <v>15</v>
      </c>
      <c r="F963">
        <v>40</v>
      </c>
      <c r="G963">
        <v>600</v>
      </c>
      <c r="H963">
        <v>0.03</v>
      </c>
      <c r="I963" t="s">
        <v>102</v>
      </c>
      <c r="J963">
        <v>18</v>
      </c>
      <c r="Q963" s="22"/>
    </row>
    <row r="964" spans="1:17" x14ac:dyDescent="0.3">
      <c r="A964" t="s">
        <v>2094</v>
      </c>
      <c r="B964" s="17">
        <v>43284</v>
      </c>
      <c r="C964" t="s">
        <v>98</v>
      </c>
      <c r="D964" t="s">
        <v>104</v>
      </c>
      <c r="E964">
        <v>2</v>
      </c>
      <c r="F964">
        <v>40</v>
      </c>
      <c r="G964">
        <v>80</v>
      </c>
      <c r="H964">
        <v>0.03</v>
      </c>
      <c r="I964" t="s">
        <v>103</v>
      </c>
      <c r="J964">
        <v>2.4</v>
      </c>
      <c r="Q964" s="21"/>
    </row>
    <row r="965" spans="1:17" x14ac:dyDescent="0.3">
      <c r="A965" t="s">
        <v>2095</v>
      </c>
      <c r="B965" s="17">
        <v>43284</v>
      </c>
      <c r="C965" t="s">
        <v>111</v>
      </c>
      <c r="D965" t="s">
        <v>104</v>
      </c>
      <c r="E965">
        <v>2</v>
      </c>
      <c r="F965">
        <v>150</v>
      </c>
      <c r="G965">
        <v>300</v>
      </c>
      <c r="H965">
        <v>0.02</v>
      </c>
      <c r="I965" t="s">
        <v>105</v>
      </c>
      <c r="J965">
        <v>6</v>
      </c>
      <c r="Q965" s="22"/>
    </row>
    <row r="966" spans="1:17" x14ac:dyDescent="0.3">
      <c r="A966" t="s">
        <v>2096</v>
      </c>
      <c r="B966" s="17">
        <v>43285</v>
      </c>
      <c r="C966" t="s">
        <v>101</v>
      </c>
      <c r="D966" t="s">
        <v>96</v>
      </c>
      <c r="E966">
        <v>3</v>
      </c>
      <c r="F966">
        <v>230</v>
      </c>
      <c r="G966">
        <v>690</v>
      </c>
      <c r="H966">
        <v>0.11</v>
      </c>
      <c r="I966" t="s">
        <v>107</v>
      </c>
      <c r="J966">
        <v>75.900000000000006</v>
      </c>
      <c r="Q966" s="21"/>
    </row>
    <row r="967" spans="1:17" x14ac:dyDescent="0.3">
      <c r="A967" t="s">
        <v>2097</v>
      </c>
      <c r="B967" s="17">
        <v>43285</v>
      </c>
      <c r="C967" t="s">
        <v>98</v>
      </c>
      <c r="D967" t="s">
        <v>104</v>
      </c>
      <c r="E967">
        <v>4</v>
      </c>
      <c r="F967">
        <v>40</v>
      </c>
      <c r="G967">
        <v>160</v>
      </c>
      <c r="H967">
        <v>0.06</v>
      </c>
      <c r="I967" t="s">
        <v>100</v>
      </c>
      <c r="J967">
        <v>9.6</v>
      </c>
      <c r="Q967" s="22"/>
    </row>
    <row r="968" spans="1:17" x14ac:dyDescent="0.3">
      <c r="A968" t="s">
        <v>2098</v>
      </c>
      <c r="B968" s="17">
        <v>43285</v>
      </c>
      <c r="C968" t="s">
        <v>98</v>
      </c>
      <c r="D968" t="s">
        <v>106</v>
      </c>
      <c r="E968">
        <v>13</v>
      </c>
      <c r="F968">
        <v>40</v>
      </c>
      <c r="G968">
        <v>520</v>
      </c>
      <c r="H968">
        <v>0.06</v>
      </c>
      <c r="I968" t="s">
        <v>102</v>
      </c>
      <c r="J968">
        <v>31.2</v>
      </c>
      <c r="Q968" s="21"/>
    </row>
    <row r="969" spans="1:17" x14ac:dyDescent="0.3">
      <c r="A969" t="s">
        <v>2099</v>
      </c>
      <c r="B969" s="17">
        <v>43285</v>
      </c>
      <c r="C969" t="s">
        <v>108</v>
      </c>
      <c r="D969" t="s">
        <v>106</v>
      </c>
      <c r="E969">
        <v>15</v>
      </c>
      <c r="F969">
        <v>16</v>
      </c>
      <c r="G969">
        <v>240</v>
      </c>
      <c r="H969">
        <v>0.12</v>
      </c>
      <c r="I969" t="s">
        <v>103</v>
      </c>
      <c r="J969">
        <v>28.799999999999997</v>
      </c>
      <c r="Q969" s="22"/>
    </row>
    <row r="970" spans="1:17" x14ac:dyDescent="0.3">
      <c r="A970" t="s">
        <v>2100</v>
      </c>
      <c r="B970" s="17">
        <v>43285</v>
      </c>
      <c r="C970" t="s">
        <v>95</v>
      </c>
      <c r="D970" t="s">
        <v>96</v>
      </c>
      <c r="E970">
        <v>14</v>
      </c>
      <c r="F970">
        <v>80</v>
      </c>
      <c r="G970">
        <v>1120</v>
      </c>
      <c r="H970">
        <v>0.08</v>
      </c>
      <c r="I970" t="s">
        <v>105</v>
      </c>
      <c r="J970">
        <v>89.600000000000009</v>
      </c>
      <c r="Q970" s="21"/>
    </row>
    <row r="971" spans="1:17" x14ac:dyDescent="0.3">
      <c r="A971" t="s">
        <v>2101</v>
      </c>
      <c r="B971" s="17">
        <v>43285</v>
      </c>
      <c r="C971" t="s">
        <v>108</v>
      </c>
      <c r="D971" t="s">
        <v>96</v>
      </c>
      <c r="E971">
        <v>7</v>
      </c>
      <c r="F971">
        <v>16</v>
      </c>
      <c r="G971">
        <v>112</v>
      </c>
      <c r="H971">
        <v>0.08</v>
      </c>
      <c r="I971" t="s">
        <v>107</v>
      </c>
      <c r="J971">
        <v>8.9600000000000009</v>
      </c>
      <c r="Q971" s="22"/>
    </row>
    <row r="972" spans="1:17" x14ac:dyDescent="0.3">
      <c r="A972" t="s">
        <v>2102</v>
      </c>
      <c r="B972" s="17">
        <v>43285</v>
      </c>
      <c r="C972" t="s">
        <v>111</v>
      </c>
      <c r="D972" t="s">
        <v>99</v>
      </c>
      <c r="E972">
        <v>13</v>
      </c>
      <c r="F972">
        <v>150</v>
      </c>
      <c r="G972">
        <v>1950</v>
      </c>
      <c r="H972">
        <v>0.02</v>
      </c>
      <c r="I972" t="s">
        <v>110</v>
      </c>
      <c r="J972">
        <v>39</v>
      </c>
      <c r="Q972" s="21"/>
    </row>
    <row r="973" spans="1:17" x14ac:dyDescent="0.3">
      <c r="A973" t="s">
        <v>2103</v>
      </c>
      <c r="B973" s="17">
        <v>43285</v>
      </c>
      <c r="C973" t="s">
        <v>111</v>
      </c>
      <c r="D973" t="s">
        <v>104</v>
      </c>
      <c r="E973">
        <v>9</v>
      </c>
      <c r="F973">
        <v>150</v>
      </c>
      <c r="G973">
        <v>1350</v>
      </c>
      <c r="H973">
        <v>0.02</v>
      </c>
      <c r="I973" t="s">
        <v>112</v>
      </c>
      <c r="J973">
        <v>27</v>
      </c>
      <c r="Q973" s="22"/>
    </row>
    <row r="974" spans="1:17" x14ac:dyDescent="0.3">
      <c r="A974" t="s">
        <v>2104</v>
      </c>
      <c r="B974" s="17">
        <v>43285</v>
      </c>
      <c r="C974" t="s">
        <v>98</v>
      </c>
      <c r="D974" t="s">
        <v>96</v>
      </c>
      <c r="E974">
        <v>9</v>
      </c>
      <c r="F974">
        <v>40</v>
      </c>
      <c r="G974">
        <v>360</v>
      </c>
      <c r="H974">
        <v>0.01</v>
      </c>
      <c r="I974" t="s">
        <v>113</v>
      </c>
      <c r="J974">
        <v>3.6</v>
      </c>
      <c r="Q974" s="21"/>
    </row>
    <row r="975" spans="1:17" x14ac:dyDescent="0.3">
      <c r="A975" t="s">
        <v>2105</v>
      </c>
      <c r="B975" s="17">
        <v>43286</v>
      </c>
      <c r="C975" t="s">
        <v>95</v>
      </c>
      <c r="D975" t="s">
        <v>109</v>
      </c>
      <c r="E975">
        <v>9</v>
      </c>
      <c r="F975">
        <v>80</v>
      </c>
      <c r="G975">
        <v>720</v>
      </c>
      <c r="H975">
        <v>7.0000000000000007E-2</v>
      </c>
      <c r="I975" t="s">
        <v>114</v>
      </c>
      <c r="J975">
        <v>50.400000000000006</v>
      </c>
      <c r="Q975" s="22"/>
    </row>
    <row r="976" spans="1:17" x14ac:dyDescent="0.3">
      <c r="A976" t="s">
        <v>2106</v>
      </c>
      <c r="B976" s="17">
        <v>43286</v>
      </c>
      <c r="C976" t="s">
        <v>101</v>
      </c>
      <c r="D976" t="s">
        <v>99</v>
      </c>
      <c r="E976">
        <v>22</v>
      </c>
      <c r="F976">
        <v>230</v>
      </c>
      <c r="G976">
        <v>5060</v>
      </c>
      <c r="H976">
        <v>0.11</v>
      </c>
      <c r="I976" t="s">
        <v>115</v>
      </c>
      <c r="J976">
        <v>556.6</v>
      </c>
      <c r="Q976" s="21"/>
    </row>
    <row r="977" spans="1:17" x14ac:dyDescent="0.3">
      <c r="A977" t="s">
        <v>2107</v>
      </c>
      <c r="B977" s="17">
        <v>43286</v>
      </c>
      <c r="C977" t="s">
        <v>111</v>
      </c>
      <c r="D977" t="s">
        <v>99</v>
      </c>
      <c r="E977">
        <v>15</v>
      </c>
      <c r="F977">
        <v>150</v>
      </c>
      <c r="G977">
        <v>2250</v>
      </c>
      <c r="H977">
        <v>0.02</v>
      </c>
      <c r="I977" t="s">
        <v>116</v>
      </c>
      <c r="J977">
        <v>45</v>
      </c>
      <c r="Q977" s="22"/>
    </row>
    <row r="978" spans="1:17" x14ac:dyDescent="0.3">
      <c r="A978" t="s">
        <v>2108</v>
      </c>
      <c r="B978" s="17">
        <v>43286</v>
      </c>
      <c r="C978" t="s">
        <v>101</v>
      </c>
      <c r="D978" t="s">
        <v>109</v>
      </c>
      <c r="E978">
        <v>5</v>
      </c>
      <c r="F978">
        <v>230</v>
      </c>
      <c r="G978">
        <v>1150</v>
      </c>
      <c r="H978">
        <v>0.12</v>
      </c>
      <c r="I978" t="s">
        <v>97</v>
      </c>
      <c r="J978">
        <v>138</v>
      </c>
      <c r="Q978" s="21"/>
    </row>
    <row r="979" spans="1:17" x14ac:dyDescent="0.3">
      <c r="A979" t="s">
        <v>2109</v>
      </c>
      <c r="B979" s="17">
        <v>43286</v>
      </c>
      <c r="C979" t="s">
        <v>98</v>
      </c>
      <c r="D979" t="s">
        <v>104</v>
      </c>
      <c r="E979">
        <v>20</v>
      </c>
      <c r="F979">
        <v>40</v>
      </c>
      <c r="G979">
        <v>800</v>
      </c>
      <c r="H979">
        <v>0.01</v>
      </c>
      <c r="I979" t="s">
        <v>100</v>
      </c>
      <c r="J979">
        <v>8</v>
      </c>
      <c r="Q979" s="22"/>
    </row>
    <row r="980" spans="1:17" x14ac:dyDescent="0.3">
      <c r="A980" t="s">
        <v>2110</v>
      </c>
      <c r="B980" s="17">
        <v>43286</v>
      </c>
      <c r="C980" t="s">
        <v>98</v>
      </c>
      <c r="D980" t="s">
        <v>96</v>
      </c>
      <c r="E980">
        <v>23</v>
      </c>
      <c r="F980">
        <v>40</v>
      </c>
      <c r="G980">
        <v>920</v>
      </c>
      <c r="H980">
        <v>0.03</v>
      </c>
      <c r="I980" t="s">
        <v>102</v>
      </c>
      <c r="J980">
        <v>27.599999999999998</v>
      </c>
      <c r="Q980" s="21"/>
    </row>
    <row r="981" spans="1:17" x14ac:dyDescent="0.3">
      <c r="A981" t="s">
        <v>2111</v>
      </c>
      <c r="B981" s="17">
        <v>43286</v>
      </c>
      <c r="C981" t="s">
        <v>95</v>
      </c>
      <c r="D981" t="s">
        <v>109</v>
      </c>
      <c r="E981">
        <v>16</v>
      </c>
      <c r="F981">
        <v>80</v>
      </c>
      <c r="G981">
        <v>1280</v>
      </c>
      <c r="H981">
        <v>0.05</v>
      </c>
      <c r="I981" t="s">
        <v>103</v>
      </c>
      <c r="J981">
        <v>64</v>
      </c>
      <c r="Q981" s="22"/>
    </row>
    <row r="982" spans="1:17" x14ac:dyDescent="0.3">
      <c r="A982" t="s">
        <v>2112</v>
      </c>
      <c r="B982" s="17">
        <v>43286</v>
      </c>
      <c r="C982" t="s">
        <v>101</v>
      </c>
      <c r="D982" t="s">
        <v>104</v>
      </c>
      <c r="E982">
        <v>18</v>
      </c>
      <c r="F982">
        <v>230</v>
      </c>
      <c r="G982">
        <v>4140</v>
      </c>
      <c r="H982">
        <v>0.01</v>
      </c>
      <c r="I982" t="s">
        <v>105</v>
      </c>
      <c r="J982">
        <v>41.4</v>
      </c>
      <c r="Q982" s="21"/>
    </row>
    <row r="983" spans="1:17" x14ac:dyDescent="0.3">
      <c r="A983" t="s">
        <v>2113</v>
      </c>
      <c r="B983" s="17">
        <v>43286</v>
      </c>
      <c r="C983" t="s">
        <v>98</v>
      </c>
      <c r="D983" t="s">
        <v>109</v>
      </c>
      <c r="E983">
        <v>23</v>
      </c>
      <c r="F983">
        <v>40</v>
      </c>
      <c r="G983">
        <v>920</v>
      </c>
      <c r="H983">
        <v>0.05</v>
      </c>
      <c r="I983" t="s">
        <v>107</v>
      </c>
      <c r="J983">
        <v>46</v>
      </c>
      <c r="Q983" s="22"/>
    </row>
    <row r="984" spans="1:17" x14ac:dyDescent="0.3">
      <c r="A984" t="s">
        <v>2114</v>
      </c>
      <c r="B984" s="17">
        <v>43286</v>
      </c>
      <c r="C984" t="s">
        <v>108</v>
      </c>
      <c r="D984" t="s">
        <v>106</v>
      </c>
      <c r="E984">
        <v>5</v>
      </c>
      <c r="F984">
        <v>16</v>
      </c>
      <c r="G984">
        <v>80</v>
      </c>
      <c r="H984">
        <v>0.09</v>
      </c>
      <c r="I984" t="s">
        <v>100</v>
      </c>
      <c r="J984">
        <v>7.1999999999999993</v>
      </c>
      <c r="Q984" s="21"/>
    </row>
    <row r="985" spans="1:17" x14ac:dyDescent="0.3">
      <c r="A985" t="s">
        <v>2115</v>
      </c>
      <c r="B985" s="17">
        <v>43286</v>
      </c>
      <c r="C985" t="s">
        <v>98</v>
      </c>
      <c r="D985" t="s">
        <v>96</v>
      </c>
      <c r="E985">
        <v>22</v>
      </c>
      <c r="F985">
        <v>40</v>
      </c>
      <c r="G985">
        <v>880</v>
      </c>
      <c r="H985">
        <v>0.02</v>
      </c>
      <c r="I985" t="s">
        <v>102</v>
      </c>
      <c r="J985">
        <v>17.600000000000001</v>
      </c>
      <c r="Q985" s="22"/>
    </row>
    <row r="986" spans="1:17" x14ac:dyDescent="0.3">
      <c r="A986" t="s">
        <v>2116</v>
      </c>
      <c r="B986" s="17">
        <v>43287</v>
      </c>
      <c r="C986" t="s">
        <v>111</v>
      </c>
      <c r="D986" t="s">
        <v>96</v>
      </c>
      <c r="E986">
        <v>23</v>
      </c>
      <c r="F986">
        <v>150</v>
      </c>
      <c r="G986">
        <v>3450</v>
      </c>
      <c r="H986">
        <v>0.1</v>
      </c>
      <c r="I986" t="s">
        <v>103</v>
      </c>
      <c r="J986">
        <v>345</v>
      </c>
      <c r="Q986" s="21"/>
    </row>
    <row r="987" spans="1:17" x14ac:dyDescent="0.3">
      <c r="A987" t="s">
        <v>2117</v>
      </c>
      <c r="B987" s="17">
        <v>43287</v>
      </c>
      <c r="C987" t="s">
        <v>101</v>
      </c>
      <c r="D987" t="s">
        <v>99</v>
      </c>
      <c r="E987">
        <v>22</v>
      </c>
      <c r="F987">
        <v>230</v>
      </c>
      <c r="G987">
        <v>5060</v>
      </c>
      <c r="H987">
        <v>0.04</v>
      </c>
      <c r="I987" t="s">
        <v>105</v>
      </c>
      <c r="J987">
        <v>202.4</v>
      </c>
      <c r="Q987" s="22"/>
    </row>
    <row r="988" spans="1:17" x14ac:dyDescent="0.3">
      <c r="A988" t="s">
        <v>2118</v>
      </c>
      <c r="B988" s="17">
        <v>43287</v>
      </c>
      <c r="C988" t="s">
        <v>95</v>
      </c>
      <c r="D988" t="s">
        <v>106</v>
      </c>
      <c r="E988">
        <v>16</v>
      </c>
      <c r="F988">
        <v>80</v>
      </c>
      <c r="G988">
        <v>1280</v>
      </c>
      <c r="H988">
        <v>7.0000000000000007E-2</v>
      </c>
      <c r="I988" t="s">
        <v>107</v>
      </c>
      <c r="J988">
        <v>89.600000000000009</v>
      </c>
      <c r="Q988" s="21"/>
    </row>
    <row r="989" spans="1:17" x14ac:dyDescent="0.3">
      <c r="A989" t="s">
        <v>2119</v>
      </c>
      <c r="B989" s="17">
        <v>43287</v>
      </c>
      <c r="C989" t="s">
        <v>111</v>
      </c>
      <c r="D989" t="s">
        <v>104</v>
      </c>
      <c r="E989">
        <v>22</v>
      </c>
      <c r="F989">
        <v>150</v>
      </c>
      <c r="G989">
        <v>3300</v>
      </c>
      <c r="H989">
        <v>0.09</v>
      </c>
      <c r="I989" t="s">
        <v>110</v>
      </c>
      <c r="J989">
        <v>297</v>
      </c>
      <c r="Q989" s="22"/>
    </row>
    <row r="990" spans="1:17" x14ac:dyDescent="0.3">
      <c r="A990" t="s">
        <v>2120</v>
      </c>
      <c r="B990" s="17">
        <v>43287</v>
      </c>
      <c r="C990" t="s">
        <v>95</v>
      </c>
      <c r="D990" t="s">
        <v>104</v>
      </c>
      <c r="E990">
        <v>5</v>
      </c>
      <c r="F990">
        <v>80</v>
      </c>
      <c r="G990">
        <v>400</v>
      </c>
      <c r="H990">
        <v>0.09</v>
      </c>
      <c r="I990" t="s">
        <v>112</v>
      </c>
      <c r="J990">
        <v>36</v>
      </c>
      <c r="Q990" s="21"/>
    </row>
    <row r="991" spans="1:17" x14ac:dyDescent="0.3">
      <c r="A991" t="s">
        <v>2121</v>
      </c>
      <c r="B991" s="17">
        <v>43287</v>
      </c>
      <c r="C991" t="s">
        <v>95</v>
      </c>
      <c r="D991" t="s">
        <v>106</v>
      </c>
      <c r="E991">
        <v>16</v>
      </c>
      <c r="F991">
        <v>80</v>
      </c>
      <c r="G991">
        <v>1280</v>
      </c>
      <c r="H991">
        <v>0.1</v>
      </c>
      <c r="I991" t="s">
        <v>113</v>
      </c>
      <c r="J991">
        <v>128</v>
      </c>
      <c r="Q991" s="22"/>
    </row>
    <row r="992" spans="1:17" x14ac:dyDescent="0.3">
      <c r="A992" t="s">
        <v>2122</v>
      </c>
      <c r="B992" s="17">
        <v>43287</v>
      </c>
      <c r="C992" t="s">
        <v>111</v>
      </c>
      <c r="D992" t="s">
        <v>99</v>
      </c>
      <c r="E992">
        <v>23</v>
      </c>
      <c r="F992">
        <v>150</v>
      </c>
      <c r="G992">
        <v>3450</v>
      </c>
      <c r="H992">
        <v>0.11</v>
      </c>
      <c r="I992" t="s">
        <v>114</v>
      </c>
      <c r="J992">
        <v>379.5</v>
      </c>
      <c r="Q992" s="21"/>
    </row>
    <row r="993" spans="1:17" x14ac:dyDescent="0.3">
      <c r="A993" t="s">
        <v>2123</v>
      </c>
      <c r="B993" s="17">
        <v>43287</v>
      </c>
      <c r="C993" t="s">
        <v>108</v>
      </c>
      <c r="D993" t="s">
        <v>99</v>
      </c>
      <c r="E993">
        <v>4</v>
      </c>
      <c r="F993">
        <v>16</v>
      </c>
      <c r="G993">
        <v>64</v>
      </c>
      <c r="H993">
        <v>0.09</v>
      </c>
      <c r="I993" t="s">
        <v>115</v>
      </c>
      <c r="J993">
        <v>5.76</v>
      </c>
      <c r="Q993" s="22"/>
    </row>
    <row r="994" spans="1:17" x14ac:dyDescent="0.3">
      <c r="A994" t="s">
        <v>2124</v>
      </c>
      <c r="B994" s="17">
        <v>43287</v>
      </c>
      <c r="C994" t="s">
        <v>108</v>
      </c>
      <c r="D994" t="s">
        <v>99</v>
      </c>
      <c r="E994">
        <v>4</v>
      </c>
      <c r="F994">
        <v>16</v>
      </c>
      <c r="G994">
        <v>64</v>
      </c>
      <c r="H994">
        <v>7.0000000000000007E-2</v>
      </c>
      <c r="I994" t="s">
        <v>116</v>
      </c>
      <c r="J994">
        <v>4.4800000000000004</v>
      </c>
      <c r="Q994" s="21"/>
    </row>
    <row r="995" spans="1:17" x14ac:dyDescent="0.3">
      <c r="A995" t="s">
        <v>2125</v>
      </c>
      <c r="B995" s="17">
        <v>43287</v>
      </c>
      <c r="C995" t="s">
        <v>108</v>
      </c>
      <c r="D995" t="s">
        <v>96</v>
      </c>
      <c r="E995">
        <v>16</v>
      </c>
      <c r="F995">
        <v>16</v>
      </c>
      <c r="G995">
        <v>256</v>
      </c>
      <c r="H995">
        <v>0.03</v>
      </c>
      <c r="I995" t="s">
        <v>97</v>
      </c>
      <c r="J995">
        <v>7.68</v>
      </c>
      <c r="Q995" s="22"/>
    </row>
    <row r="996" spans="1:17" x14ac:dyDescent="0.3">
      <c r="A996" t="s">
        <v>2126</v>
      </c>
      <c r="B996" s="17">
        <v>43287</v>
      </c>
      <c r="C996" t="s">
        <v>98</v>
      </c>
      <c r="D996" t="s">
        <v>106</v>
      </c>
      <c r="E996">
        <v>18</v>
      </c>
      <c r="F996">
        <v>40</v>
      </c>
      <c r="G996">
        <v>720</v>
      </c>
      <c r="H996">
        <v>0.04</v>
      </c>
      <c r="I996" t="s">
        <v>100</v>
      </c>
      <c r="J996">
        <v>28.8</v>
      </c>
      <c r="Q996" s="21"/>
    </row>
    <row r="997" spans="1:17" x14ac:dyDescent="0.3">
      <c r="A997" t="s">
        <v>2127</v>
      </c>
      <c r="B997" s="17">
        <v>43287</v>
      </c>
      <c r="C997" t="s">
        <v>95</v>
      </c>
      <c r="D997" t="s">
        <v>106</v>
      </c>
      <c r="E997">
        <v>21</v>
      </c>
      <c r="F997">
        <v>80</v>
      </c>
      <c r="G997">
        <v>1680</v>
      </c>
      <c r="H997">
        <v>0.02</v>
      </c>
      <c r="I997" t="s">
        <v>102</v>
      </c>
      <c r="J997">
        <v>33.6</v>
      </c>
      <c r="Q997" s="22"/>
    </row>
    <row r="998" spans="1:17" x14ac:dyDescent="0.3">
      <c r="A998" t="s">
        <v>2128</v>
      </c>
      <c r="B998" s="17">
        <v>43287</v>
      </c>
      <c r="C998" t="s">
        <v>95</v>
      </c>
      <c r="D998" t="s">
        <v>109</v>
      </c>
      <c r="E998">
        <v>10</v>
      </c>
      <c r="F998">
        <v>80</v>
      </c>
      <c r="G998">
        <v>800</v>
      </c>
      <c r="H998">
        <v>0.06</v>
      </c>
      <c r="I998" t="s">
        <v>103</v>
      </c>
      <c r="J998">
        <v>48</v>
      </c>
      <c r="Q998" s="21"/>
    </row>
    <row r="999" spans="1:17" x14ac:dyDescent="0.3">
      <c r="A999" t="s">
        <v>2129</v>
      </c>
      <c r="B999" s="17">
        <v>43287</v>
      </c>
      <c r="C999" t="s">
        <v>101</v>
      </c>
      <c r="D999" t="s">
        <v>104</v>
      </c>
      <c r="E999">
        <v>7</v>
      </c>
      <c r="F999">
        <v>230</v>
      </c>
      <c r="G999">
        <v>1610</v>
      </c>
      <c r="H999">
        <v>0.01</v>
      </c>
      <c r="I999" t="s">
        <v>105</v>
      </c>
      <c r="J999">
        <v>16.100000000000001</v>
      </c>
      <c r="Q999" s="22"/>
    </row>
    <row r="1000" spans="1:17" x14ac:dyDescent="0.3">
      <c r="A1000" t="s">
        <v>2130</v>
      </c>
      <c r="B1000" s="17">
        <v>43288</v>
      </c>
      <c r="C1000" t="s">
        <v>108</v>
      </c>
      <c r="D1000" t="s">
        <v>109</v>
      </c>
      <c r="E1000">
        <v>11</v>
      </c>
      <c r="F1000">
        <v>16</v>
      </c>
      <c r="G1000">
        <v>176</v>
      </c>
      <c r="H1000">
        <v>0.12</v>
      </c>
      <c r="I1000" t="s">
        <v>107</v>
      </c>
      <c r="J1000">
        <v>21.119999999999997</v>
      </c>
      <c r="Q1000" s="21"/>
    </row>
    <row r="1001" spans="1:17" x14ac:dyDescent="0.3">
      <c r="A1001" t="s">
        <v>2131</v>
      </c>
      <c r="B1001" s="17">
        <v>43288</v>
      </c>
      <c r="C1001" t="s">
        <v>95</v>
      </c>
      <c r="D1001" t="s">
        <v>106</v>
      </c>
      <c r="E1001">
        <v>10</v>
      </c>
      <c r="F1001">
        <v>80</v>
      </c>
      <c r="G1001">
        <v>800</v>
      </c>
      <c r="H1001">
        <v>0.1</v>
      </c>
      <c r="I1001" t="s">
        <v>100</v>
      </c>
      <c r="J1001">
        <v>80</v>
      </c>
      <c r="Q1001" s="22"/>
    </row>
    <row r="1002" spans="1:17" x14ac:dyDescent="0.3">
      <c r="A1002" t="s">
        <v>2132</v>
      </c>
      <c r="B1002" s="17">
        <v>43288</v>
      </c>
      <c r="C1002" t="s">
        <v>98</v>
      </c>
      <c r="D1002" t="s">
        <v>99</v>
      </c>
      <c r="E1002">
        <v>23</v>
      </c>
      <c r="F1002">
        <v>40</v>
      </c>
      <c r="G1002">
        <v>920</v>
      </c>
      <c r="H1002">
        <v>0.06</v>
      </c>
      <c r="I1002" t="s">
        <v>102</v>
      </c>
      <c r="J1002">
        <v>55.199999999999996</v>
      </c>
      <c r="Q1002" s="21"/>
    </row>
    <row r="1003" spans="1:17" x14ac:dyDescent="0.3">
      <c r="A1003" t="s">
        <v>2133</v>
      </c>
      <c r="B1003" s="17">
        <v>43288</v>
      </c>
      <c r="C1003" t="s">
        <v>111</v>
      </c>
      <c r="D1003" t="s">
        <v>109</v>
      </c>
      <c r="E1003">
        <v>7</v>
      </c>
      <c r="F1003">
        <v>150</v>
      </c>
      <c r="G1003">
        <v>1050</v>
      </c>
      <c r="H1003">
        <v>0.02</v>
      </c>
      <c r="I1003" t="s">
        <v>103</v>
      </c>
      <c r="J1003">
        <v>21</v>
      </c>
      <c r="Q1003" s="22"/>
    </row>
    <row r="1004" spans="1:17" x14ac:dyDescent="0.3">
      <c r="A1004" t="s">
        <v>2134</v>
      </c>
      <c r="B1004" s="17">
        <v>43288</v>
      </c>
      <c r="C1004" t="s">
        <v>95</v>
      </c>
      <c r="D1004" t="s">
        <v>96</v>
      </c>
      <c r="E1004">
        <v>17</v>
      </c>
      <c r="F1004">
        <v>80</v>
      </c>
      <c r="G1004">
        <v>1360</v>
      </c>
      <c r="H1004">
        <v>7.0000000000000007E-2</v>
      </c>
      <c r="I1004" t="s">
        <v>105</v>
      </c>
      <c r="J1004">
        <v>95.2</v>
      </c>
      <c r="Q1004" s="21"/>
    </row>
    <row r="1005" spans="1:17" x14ac:dyDescent="0.3">
      <c r="A1005" t="s">
        <v>2135</v>
      </c>
      <c r="B1005" s="17">
        <v>43288</v>
      </c>
      <c r="C1005" t="s">
        <v>111</v>
      </c>
      <c r="D1005" t="s">
        <v>99</v>
      </c>
      <c r="E1005">
        <v>20</v>
      </c>
      <c r="F1005">
        <v>150</v>
      </c>
      <c r="G1005">
        <v>3000</v>
      </c>
      <c r="H1005">
        <v>0.09</v>
      </c>
      <c r="I1005" t="s">
        <v>107</v>
      </c>
      <c r="J1005">
        <v>270</v>
      </c>
      <c r="Q1005" s="22"/>
    </row>
    <row r="1006" spans="1:17" x14ac:dyDescent="0.3">
      <c r="A1006" t="s">
        <v>2136</v>
      </c>
      <c r="B1006" s="17">
        <v>43288</v>
      </c>
      <c r="C1006" t="s">
        <v>101</v>
      </c>
      <c r="D1006" t="s">
        <v>106</v>
      </c>
      <c r="E1006">
        <v>23</v>
      </c>
      <c r="F1006">
        <v>230</v>
      </c>
      <c r="G1006">
        <v>5290</v>
      </c>
      <c r="H1006">
        <v>0.06</v>
      </c>
      <c r="I1006" t="s">
        <v>110</v>
      </c>
      <c r="J1006">
        <v>317.39999999999998</v>
      </c>
      <c r="Q1006" s="21"/>
    </row>
    <row r="1007" spans="1:17" x14ac:dyDescent="0.3">
      <c r="A1007" t="s">
        <v>2137</v>
      </c>
      <c r="B1007" s="17">
        <v>43288</v>
      </c>
      <c r="C1007" t="s">
        <v>95</v>
      </c>
      <c r="D1007" t="s">
        <v>99</v>
      </c>
      <c r="E1007">
        <v>16</v>
      </c>
      <c r="F1007">
        <v>80</v>
      </c>
      <c r="G1007">
        <v>1280</v>
      </c>
      <c r="H1007">
        <v>0.04</v>
      </c>
      <c r="I1007" t="s">
        <v>112</v>
      </c>
      <c r="J1007">
        <v>51.2</v>
      </c>
      <c r="Q1007" s="22"/>
    </row>
    <row r="1008" spans="1:17" x14ac:dyDescent="0.3">
      <c r="A1008" t="s">
        <v>2138</v>
      </c>
      <c r="B1008" s="17">
        <v>43288</v>
      </c>
      <c r="C1008" t="s">
        <v>101</v>
      </c>
      <c r="D1008" t="s">
        <v>109</v>
      </c>
      <c r="E1008">
        <v>22</v>
      </c>
      <c r="F1008">
        <v>230</v>
      </c>
      <c r="G1008">
        <v>5060</v>
      </c>
      <c r="H1008">
        <v>0.1</v>
      </c>
      <c r="I1008" t="s">
        <v>113</v>
      </c>
      <c r="J1008">
        <v>506</v>
      </c>
      <c r="Q1008" s="21"/>
    </row>
    <row r="1009" spans="1:17" x14ac:dyDescent="0.3">
      <c r="A1009" t="s">
        <v>2139</v>
      </c>
      <c r="B1009" s="17">
        <v>43288</v>
      </c>
      <c r="C1009" t="s">
        <v>101</v>
      </c>
      <c r="D1009" t="s">
        <v>104</v>
      </c>
      <c r="E1009">
        <v>15</v>
      </c>
      <c r="F1009">
        <v>230</v>
      </c>
      <c r="G1009">
        <v>3450</v>
      </c>
      <c r="H1009">
        <v>0.11</v>
      </c>
      <c r="I1009" t="s">
        <v>114</v>
      </c>
      <c r="J1009">
        <v>379.5</v>
      </c>
      <c r="Q1009" s="22"/>
    </row>
    <row r="1010" spans="1:17" x14ac:dyDescent="0.3">
      <c r="A1010" t="s">
        <v>2140</v>
      </c>
      <c r="B1010" s="17">
        <v>43288</v>
      </c>
      <c r="C1010" t="s">
        <v>98</v>
      </c>
      <c r="D1010" t="s">
        <v>99</v>
      </c>
      <c r="E1010">
        <v>15</v>
      </c>
      <c r="F1010">
        <v>40</v>
      </c>
      <c r="G1010">
        <v>600</v>
      </c>
      <c r="H1010">
        <v>0.04</v>
      </c>
      <c r="I1010" t="s">
        <v>115</v>
      </c>
      <c r="J1010">
        <v>24</v>
      </c>
      <c r="Q1010" s="21"/>
    </row>
    <row r="1011" spans="1:17" x14ac:dyDescent="0.3">
      <c r="A1011" t="s">
        <v>2141</v>
      </c>
      <c r="B1011" s="17">
        <v>43288</v>
      </c>
      <c r="C1011" t="s">
        <v>95</v>
      </c>
      <c r="D1011" t="s">
        <v>99</v>
      </c>
      <c r="E1011">
        <v>2</v>
      </c>
      <c r="F1011">
        <v>80</v>
      </c>
      <c r="G1011">
        <v>160</v>
      </c>
      <c r="H1011">
        <v>7.0000000000000007E-2</v>
      </c>
      <c r="I1011" t="s">
        <v>116</v>
      </c>
      <c r="J1011">
        <v>11.200000000000001</v>
      </c>
      <c r="Q1011" s="22"/>
    </row>
    <row r="1012" spans="1:17" x14ac:dyDescent="0.3">
      <c r="A1012" t="s">
        <v>2142</v>
      </c>
      <c r="B1012" s="17">
        <v>43289</v>
      </c>
      <c r="C1012" t="s">
        <v>111</v>
      </c>
      <c r="D1012" t="s">
        <v>96</v>
      </c>
      <c r="E1012">
        <v>22</v>
      </c>
      <c r="F1012">
        <v>150</v>
      </c>
      <c r="G1012">
        <v>3300</v>
      </c>
      <c r="H1012">
        <v>0.05</v>
      </c>
      <c r="I1012" t="s">
        <v>97</v>
      </c>
      <c r="J1012">
        <v>165</v>
      </c>
      <c r="Q1012" s="21"/>
    </row>
    <row r="1013" spans="1:17" x14ac:dyDescent="0.3">
      <c r="A1013" t="s">
        <v>2143</v>
      </c>
      <c r="B1013" s="17">
        <v>43289</v>
      </c>
      <c r="C1013" t="s">
        <v>98</v>
      </c>
      <c r="D1013" t="s">
        <v>109</v>
      </c>
      <c r="E1013">
        <v>20</v>
      </c>
      <c r="F1013">
        <v>40</v>
      </c>
      <c r="G1013">
        <v>800</v>
      </c>
      <c r="H1013">
        <v>7.0000000000000007E-2</v>
      </c>
      <c r="I1013" t="s">
        <v>100</v>
      </c>
      <c r="J1013">
        <v>56.000000000000007</v>
      </c>
      <c r="Q1013" s="22"/>
    </row>
    <row r="1014" spans="1:17" x14ac:dyDescent="0.3">
      <c r="A1014" t="s">
        <v>2144</v>
      </c>
      <c r="B1014" s="17">
        <v>43289</v>
      </c>
      <c r="C1014" t="s">
        <v>101</v>
      </c>
      <c r="D1014" t="s">
        <v>106</v>
      </c>
      <c r="E1014">
        <v>2</v>
      </c>
      <c r="F1014">
        <v>230</v>
      </c>
      <c r="G1014">
        <v>460</v>
      </c>
      <c r="H1014">
        <v>0.09</v>
      </c>
      <c r="I1014" t="s">
        <v>102</v>
      </c>
      <c r="J1014">
        <v>41.4</v>
      </c>
      <c r="Q1014" s="21"/>
    </row>
    <row r="1015" spans="1:17" x14ac:dyDescent="0.3">
      <c r="A1015" t="s">
        <v>2145</v>
      </c>
      <c r="B1015" s="17">
        <v>43289</v>
      </c>
      <c r="C1015" t="s">
        <v>98</v>
      </c>
      <c r="D1015" t="s">
        <v>106</v>
      </c>
      <c r="E1015">
        <v>7</v>
      </c>
      <c r="F1015">
        <v>40</v>
      </c>
      <c r="G1015">
        <v>280</v>
      </c>
      <c r="H1015">
        <v>0.11</v>
      </c>
      <c r="I1015" t="s">
        <v>103</v>
      </c>
      <c r="J1015">
        <v>30.8</v>
      </c>
      <c r="Q1015" s="22"/>
    </row>
    <row r="1016" spans="1:17" x14ac:dyDescent="0.3">
      <c r="A1016" t="s">
        <v>2146</v>
      </c>
      <c r="B1016" s="17">
        <v>43289</v>
      </c>
      <c r="C1016" t="s">
        <v>98</v>
      </c>
      <c r="D1016" t="s">
        <v>106</v>
      </c>
      <c r="E1016">
        <v>9</v>
      </c>
      <c r="F1016">
        <v>40</v>
      </c>
      <c r="G1016">
        <v>360</v>
      </c>
      <c r="H1016">
        <v>0.06</v>
      </c>
      <c r="I1016" t="s">
        <v>107</v>
      </c>
      <c r="J1016">
        <v>21.599999999999998</v>
      </c>
      <c r="Q1016" s="21"/>
    </row>
    <row r="1017" spans="1:17" x14ac:dyDescent="0.3">
      <c r="A1017" t="s">
        <v>2147</v>
      </c>
      <c r="B1017" s="17">
        <v>43289</v>
      </c>
      <c r="C1017" t="s">
        <v>98</v>
      </c>
      <c r="D1017" t="s">
        <v>96</v>
      </c>
      <c r="E1017">
        <v>18</v>
      </c>
      <c r="F1017">
        <v>40</v>
      </c>
      <c r="G1017">
        <v>720</v>
      </c>
      <c r="H1017">
        <v>0.11</v>
      </c>
      <c r="I1017" t="s">
        <v>100</v>
      </c>
      <c r="J1017">
        <v>79.2</v>
      </c>
      <c r="Q1017" s="22"/>
    </row>
    <row r="1018" spans="1:17" x14ac:dyDescent="0.3">
      <c r="A1018" t="s">
        <v>2148</v>
      </c>
      <c r="B1018" s="17">
        <v>43289</v>
      </c>
      <c r="C1018" t="s">
        <v>101</v>
      </c>
      <c r="D1018" t="s">
        <v>96</v>
      </c>
      <c r="E1018">
        <v>20</v>
      </c>
      <c r="F1018">
        <v>230</v>
      </c>
      <c r="G1018">
        <v>4600</v>
      </c>
      <c r="H1018">
        <v>0.04</v>
      </c>
      <c r="I1018" t="s">
        <v>102</v>
      </c>
      <c r="J1018">
        <v>184</v>
      </c>
      <c r="Q1018" s="21"/>
    </row>
    <row r="1019" spans="1:17" x14ac:dyDescent="0.3">
      <c r="A1019" t="s">
        <v>2149</v>
      </c>
      <c r="B1019" s="17">
        <v>43289</v>
      </c>
      <c r="C1019" t="s">
        <v>95</v>
      </c>
      <c r="D1019" t="s">
        <v>104</v>
      </c>
      <c r="E1019">
        <v>23</v>
      </c>
      <c r="F1019">
        <v>80</v>
      </c>
      <c r="G1019">
        <v>1840</v>
      </c>
      <c r="H1019">
        <v>0.05</v>
      </c>
      <c r="I1019" t="s">
        <v>103</v>
      </c>
      <c r="J1019">
        <v>92</v>
      </c>
      <c r="Q1019" s="22"/>
    </row>
    <row r="1020" spans="1:17" x14ac:dyDescent="0.3">
      <c r="A1020" t="s">
        <v>2150</v>
      </c>
      <c r="B1020" s="17">
        <v>43289</v>
      </c>
      <c r="C1020" t="s">
        <v>111</v>
      </c>
      <c r="D1020" t="s">
        <v>109</v>
      </c>
      <c r="E1020">
        <v>11</v>
      </c>
      <c r="F1020">
        <v>150</v>
      </c>
      <c r="G1020">
        <v>1650</v>
      </c>
      <c r="H1020">
        <v>0.09</v>
      </c>
      <c r="I1020" t="s">
        <v>105</v>
      </c>
      <c r="J1020">
        <v>148.5</v>
      </c>
      <c r="Q1020" s="21"/>
    </row>
    <row r="1021" spans="1:17" x14ac:dyDescent="0.3">
      <c r="A1021" t="s">
        <v>2151</v>
      </c>
      <c r="B1021" s="17">
        <v>43289</v>
      </c>
      <c r="C1021" t="s">
        <v>111</v>
      </c>
      <c r="D1021" t="s">
        <v>96</v>
      </c>
      <c r="E1021">
        <v>17</v>
      </c>
      <c r="F1021">
        <v>150</v>
      </c>
      <c r="G1021">
        <v>2550</v>
      </c>
      <c r="H1021">
        <v>0.12</v>
      </c>
      <c r="I1021" t="s">
        <v>107</v>
      </c>
      <c r="J1021">
        <v>306</v>
      </c>
      <c r="Q1021" s="22"/>
    </row>
    <row r="1022" spans="1:17" x14ac:dyDescent="0.3">
      <c r="A1022" t="s">
        <v>2152</v>
      </c>
      <c r="B1022" s="17">
        <v>43289</v>
      </c>
      <c r="C1022" t="s">
        <v>101</v>
      </c>
      <c r="D1022" t="s">
        <v>109</v>
      </c>
      <c r="E1022">
        <v>2</v>
      </c>
      <c r="F1022">
        <v>230</v>
      </c>
      <c r="G1022">
        <v>460</v>
      </c>
      <c r="H1022">
        <v>0.08</v>
      </c>
      <c r="I1022" t="s">
        <v>110</v>
      </c>
      <c r="J1022">
        <v>36.800000000000004</v>
      </c>
      <c r="Q1022" s="21"/>
    </row>
    <row r="1023" spans="1:17" x14ac:dyDescent="0.3">
      <c r="A1023" t="s">
        <v>2153</v>
      </c>
      <c r="B1023" s="17">
        <v>43289</v>
      </c>
      <c r="C1023" t="s">
        <v>95</v>
      </c>
      <c r="D1023" t="s">
        <v>104</v>
      </c>
      <c r="E1023">
        <v>10</v>
      </c>
      <c r="F1023">
        <v>80</v>
      </c>
      <c r="G1023">
        <v>800</v>
      </c>
      <c r="H1023">
        <v>0.11</v>
      </c>
      <c r="I1023" t="s">
        <v>112</v>
      </c>
      <c r="J1023">
        <v>88</v>
      </c>
      <c r="Q1023" s="22"/>
    </row>
    <row r="1024" spans="1:17" x14ac:dyDescent="0.3">
      <c r="A1024" t="s">
        <v>2154</v>
      </c>
      <c r="B1024" s="17">
        <v>43290</v>
      </c>
      <c r="C1024" t="s">
        <v>108</v>
      </c>
      <c r="D1024" t="s">
        <v>106</v>
      </c>
      <c r="E1024">
        <v>22</v>
      </c>
      <c r="F1024">
        <v>16</v>
      </c>
      <c r="G1024">
        <v>352</v>
      </c>
      <c r="H1024">
        <v>0.03</v>
      </c>
      <c r="I1024" t="s">
        <v>113</v>
      </c>
      <c r="J1024">
        <v>10.559999999999999</v>
      </c>
      <c r="Q1024" s="21"/>
    </row>
    <row r="1025" spans="1:17" x14ac:dyDescent="0.3">
      <c r="A1025" t="s">
        <v>2155</v>
      </c>
      <c r="B1025" s="17">
        <v>43290</v>
      </c>
      <c r="C1025" t="s">
        <v>108</v>
      </c>
      <c r="D1025" t="s">
        <v>104</v>
      </c>
      <c r="E1025">
        <v>9</v>
      </c>
      <c r="F1025">
        <v>16</v>
      </c>
      <c r="G1025">
        <v>144</v>
      </c>
      <c r="H1025">
        <v>0.05</v>
      </c>
      <c r="I1025" t="s">
        <v>114</v>
      </c>
      <c r="J1025">
        <v>7.2</v>
      </c>
      <c r="Q1025" s="22"/>
    </row>
    <row r="1026" spans="1:17" x14ac:dyDescent="0.3">
      <c r="A1026" t="s">
        <v>2156</v>
      </c>
      <c r="B1026" s="17">
        <v>43290</v>
      </c>
      <c r="C1026" t="s">
        <v>98</v>
      </c>
      <c r="D1026" t="s">
        <v>104</v>
      </c>
      <c r="E1026">
        <v>4</v>
      </c>
      <c r="F1026">
        <v>40</v>
      </c>
      <c r="G1026">
        <v>160</v>
      </c>
      <c r="H1026">
        <v>0.1</v>
      </c>
      <c r="I1026" t="s">
        <v>115</v>
      </c>
      <c r="J1026">
        <v>16</v>
      </c>
      <c r="Q1026" s="21"/>
    </row>
    <row r="1027" spans="1:17" x14ac:dyDescent="0.3">
      <c r="A1027" t="s">
        <v>2157</v>
      </c>
      <c r="B1027" s="17">
        <v>43290</v>
      </c>
      <c r="C1027" t="s">
        <v>95</v>
      </c>
      <c r="D1027" t="s">
        <v>109</v>
      </c>
      <c r="E1027">
        <v>9</v>
      </c>
      <c r="F1027">
        <v>80</v>
      </c>
      <c r="G1027">
        <v>720</v>
      </c>
      <c r="H1027">
        <v>0.02</v>
      </c>
      <c r="I1027" t="s">
        <v>116</v>
      </c>
      <c r="J1027">
        <v>14.4</v>
      </c>
      <c r="Q1027" s="22"/>
    </row>
    <row r="1028" spans="1:17" x14ac:dyDescent="0.3">
      <c r="A1028" t="s">
        <v>2158</v>
      </c>
      <c r="B1028" s="17">
        <v>43290</v>
      </c>
      <c r="C1028" t="s">
        <v>101</v>
      </c>
      <c r="D1028" t="s">
        <v>104</v>
      </c>
      <c r="E1028">
        <v>6</v>
      </c>
      <c r="F1028">
        <v>230</v>
      </c>
      <c r="G1028">
        <v>1380</v>
      </c>
      <c r="H1028">
        <v>0.05</v>
      </c>
      <c r="I1028" t="s">
        <v>97</v>
      </c>
      <c r="J1028">
        <v>69</v>
      </c>
      <c r="Q1028" s="21"/>
    </row>
    <row r="1029" spans="1:17" x14ac:dyDescent="0.3">
      <c r="A1029" t="s">
        <v>2159</v>
      </c>
      <c r="B1029" s="17">
        <v>43290</v>
      </c>
      <c r="C1029" t="s">
        <v>95</v>
      </c>
      <c r="D1029" t="s">
        <v>106</v>
      </c>
      <c r="E1029">
        <v>14</v>
      </c>
      <c r="F1029">
        <v>80</v>
      </c>
      <c r="G1029">
        <v>1120</v>
      </c>
      <c r="H1029">
        <v>0.05</v>
      </c>
      <c r="I1029" t="s">
        <v>100</v>
      </c>
      <c r="J1029">
        <v>56</v>
      </c>
      <c r="Q1029" s="22"/>
    </row>
    <row r="1030" spans="1:17" x14ac:dyDescent="0.3">
      <c r="A1030" t="s">
        <v>2160</v>
      </c>
      <c r="B1030" s="17">
        <v>43290</v>
      </c>
      <c r="C1030" t="s">
        <v>108</v>
      </c>
      <c r="D1030" t="s">
        <v>109</v>
      </c>
      <c r="E1030">
        <v>17</v>
      </c>
      <c r="F1030">
        <v>16</v>
      </c>
      <c r="G1030">
        <v>272</v>
      </c>
      <c r="H1030">
        <v>0.08</v>
      </c>
      <c r="I1030" t="s">
        <v>102</v>
      </c>
      <c r="J1030">
        <v>21.76</v>
      </c>
      <c r="Q1030" s="21"/>
    </row>
    <row r="1031" spans="1:17" x14ac:dyDescent="0.3">
      <c r="A1031" t="s">
        <v>2161</v>
      </c>
      <c r="B1031" s="17">
        <v>43290</v>
      </c>
      <c r="C1031" t="s">
        <v>111</v>
      </c>
      <c r="D1031" t="s">
        <v>99</v>
      </c>
      <c r="E1031">
        <v>22</v>
      </c>
      <c r="F1031">
        <v>150</v>
      </c>
      <c r="G1031">
        <v>3300</v>
      </c>
      <c r="H1031">
        <v>0.02</v>
      </c>
      <c r="I1031" t="s">
        <v>103</v>
      </c>
      <c r="J1031">
        <v>66</v>
      </c>
      <c r="Q1031" s="22"/>
    </row>
    <row r="1032" spans="1:17" x14ac:dyDescent="0.3">
      <c r="A1032" t="s">
        <v>2162</v>
      </c>
      <c r="B1032" s="17">
        <v>43290</v>
      </c>
      <c r="C1032" t="s">
        <v>98</v>
      </c>
      <c r="D1032" t="s">
        <v>109</v>
      </c>
      <c r="E1032">
        <v>17</v>
      </c>
      <c r="F1032">
        <v>40</v>
      </c>
      <c r="G1032">
        <v>680</v>
      </c>
      <c r="H1032">
        <v>0.02</v>
      </c>
      <c r="I1032" t="s">
        <v>105</v>
      </c>
      <c r="J1032">
        <v>13.6</v>
      </c>
      <c r="Q1032" s="21"/>
    </row>
    <row r="1033" spans="1:17" x14ac:dyDescent="0.3">
      <c r="A1033" t="s">
        <v>2163</v>
      </c>
      <c r="B1033" s="17">
        <v>43290</v>
      </c>
      <c r="C1033" t="s">
        <v>95</v>
      </c>
      <c r="D1033" t="s">
        <v>109</v>
      </c>
      <c r="E1033">
        <v>17</v>
      </c>
      <c r="F1033">
        <v>80</v>
      </c>
      <c r="G1033">
        <v>1360</v>
      </c>
      <c r="H1033">
        <v>7.0000000000000007E-2</v>
      </c>
      <c r="I1033" t="s">
        <v>107</v>
      </c>
      <c r="J1033">
        <v>95.2</v>
      </c>
      <c r="Q1033" s="22"/>
    </row>
    <row r="1034" spans="1:17" x14ac:dyDescent="0.3">
      <c r="A1034" t="s">
        <v>2164</v>
      </c>
      <c r="B1034" s="17">
        <v>43290</v>
      </c>
      <c r="C1034" t="s">
        <v>111</v>
      </c>
      <c r="D1034" t="s">
        <v>106</v>
      </c>
      <c r="E1034">
        <v>4</v>
      </c>
      <c r="F1034">
        <v>150</v>
      </c>
      <c r="G1034">
        <v>600</v>
      </c>
      <c r="H1034">
        <v>0.12</v>
      </c>
      <c r="I1034" t="s">
        <v>100</v>
      </c>
      <c r="J1034">
        <v>72</v>
      </c>
      <c r="Q1034" s="21"/>
    </row>
    <row r="1035" spans="1:17" x14ac:dyDescent="0.3">
      <c r="A1035" t="s">
        <v>2165</v>
      </c>
      <c r="B1035" s="17">
        <v>43290</v>
      </c>
      <c r="C1035" t="s">
        <v>108</v>
      </c>
      <c r="D1035" t="s">
        <v>106</v>
      </c>
      <c r="E1035">
        <v>14</v>
      </c>
      <c r="F1035">
        <v>16</v>
      </c>
      <c r="G1035">
        <v>224</v>
      </c>
      <c r="H1035">
        <v>0.12</v>
      </c>
      <c r="I1035" t="s">
        <v>102</v>
      </c>
      <c r="J1035">
        <v>26.88</v>
      </c>
      <c r="Q1035" s="22"/>
    </row>
    <row r="1036" spans="1:17" x14ac:dyDescent="0.3">
      <c r="A1036" t="s">
        <v>2166</v>
      </c>
      <c r="B1036" s="17">
        <v>43290</v>
      </c>
      <c r="C1036" t="s">
        <v>108</v>
      </c>
      <c r="D1036" t="s">
        <v>96</v>
      </c>
      <c r="E1036">
        <v>18</v>
      </c>
      <c r="F1036">
        <v>16</v>
      </c>
      <c r="G1036">
        <v>288</v>
      </c>
      <c r="H1036">
        <v>0.11</v>
      </c>
      <c r="I1036" t="s">
        <v>103</v>
      </c>
      <c r="J1036">
        <v>31.68</v>
      </c>
      <c r="Q1036" s="21"/>
    </row>
    <row r="1037" spans="1:17" x14ac:dyDescent="0.3">
      <c r="A1037" t="s">
        <v>2167</v>
      </c>
      <c r="B1037" s="17">
        <v>43290</v>
      </c>
      <c r="C1037" t="s">
        <v>95</v>
      </c>
      <c r="D1037" t="s">
        <v>109</v>
      </c>
      <c r="E1037">
        <v>22</v>
      </c>
      <c r="F1037">
        <v>80</v>
      </c>
      <c r="G1037">
        <v>1760</v>
      </c>
      <c r="H1037">
        <v>0.09</v>
      </c>
      <c r="I1037" t="s">
        <v>105</v>
      </c>
      <c r="J1037">
        <v>158.4</v>
      </c>
      <c r="Q1037" s="22"/>
    </row>
    <row r="1038" spans="1:17" x14ac:dyDescent="0.3">
      <c r="A1038" t="s">
        <v>2168</v>
      </c>
      <c r="B1038" s="17">
        <v>43290</v>
      </c>
      <c r="C1038" t="s">
        <v>101</v>
      </c>
      <c r="D1038" t="s">
        <v>99</v>
      </c>
      <c r="E1038">
        <v>12</v>
      </c>
      <c r="F1038">
        <v>230</v>
      </c>
      <c r="G1038">
        <v>2760</v>
      </c>
      <c r="H1038">
        <v>0.03</v>
      </c>
      <c r="I1038" t="s">
        <v>107</v>
      </c>
      <c r="J1038">
        <v>82.8</v>
      </c>
      <c r="Q1038" s="21"/>
    </row>
    <row r="1039" spans="1:17" x14ac:dyDescent="0.3">
      <c r="A1039" t="s">
        <v>2169</v>
      </c>
      <c r="B1039" s="17">
        <v>43290</v>
      </c>
      <c r="C1039" t="s">
        <v>98</v>
      </c>
      <c r="D1039" t="s">
        <v>99</v>
      </c>
      <c r="E1039">
        <v>12</v>
      </c>
      <c r="F1039">
        <v>40</v>
      </c>
      <c r="G1039">
        <v>480</v>
      </c>
      <c r="H1039">
        <v>0.1</v>
      </c>
      <c r="I1039" t="s">
        <v>110</v>
      </c>
      <c r="J1039">
        <v>48</v>
      </c>
      <c r="Q1039" s="22"/>
    </row>
    <row r="1040" spans="1:17" x14ac:dyDescent="0.3">
      <c r="A1040" t="s">
        <v>2170</v>
      </c>
      <c r="B1040" s="17">
        <v>43291</v>
      </c>
      <c r="C1040" t="s">
        <v>98</v>
      </c>
      <c r="D1040" t="s">
        <v>109</v>
      </c>
      <c r="E1040">
        <v>7</v>
      </c>
      <c r="F1040">
        <v>40</v>
      </c>
      <c r="G1040">
        <v>280</v>
      </c>
      <c r="H1040">
        <v>0.12</v>
      </c>
      <c r="I1040" t="s">
        <v>112</v>
      </c>
      <c r="J1040">
        <v>33.6</v>
      </c>
      <c r="Q1040" s="21"/>
    </row>
    <row r="1041" spans="1:17" x14ac:dyDescent="0.3">
      <c r="A1041" t="s">
        <v>2171</v>
      </c>
      <c r="B1041" s="17">
        <v>43291</v>
      </c>
      <c r="C1041" t="s">
        <v>95</v>
      </c>
      <c r="D1041" t="s">
        <v>96</v>
      </c>
      <c r="E1041">
        <v>12</v>
      </c>
      <c r="F1041">
        <v>80</v>
      </c>
      <c r="G1041">
        <v>960</v>
      </c>
      <c r="H1041">
        <v>0.04</v>
      </c>
      <c r="I1041" t="s">
        <v>113</v>
      </c>
      <c r="J1041">
        <v>38.4</v>
      </c>
      <c r="Q1041" s="22"/>
    </row>
    <row r="1042" spans="1:17" x14ac:dyDescent="0.3">
      <c r="A1042" t="s">
        <v>2172</v>
      </c>
      <c r="B1042" s="17">
        <v>43291</v>
      </c>
      <c r="C1042" t="s">
        <v>108</v>
      </c>
      <c r="D1042" t="s">
        <v>109</v>
      </c>
      <c r="E1042">
        <v>17</v>
      </c>
      <c r="F1042">
        <v>16</v>
      </c>
      <c r="G1042">
        <v>272</v>
      </c>
      <c r="H1042">
        <v>0.1</v>
      </c>
      <c r="I1042" t="s">
        <v>114</v>
      </c>
      <c r="J1042">
        <v>27.200000000000003</v>
      </c>
      <c r="Q1042" s="21"/>
    </row>
    <row r="1043" spans="1:17" x14ac:dyDescent="0.3">
      <c r="A1043" t="s">
        <v>2173</v>
      </c>
      <c r="B1043" s="17">
        <v>43291</v>
      </c>
      <c r="C1043" t="s">
        <v>101</v>
      </c>
      <c r="D1043" t="s">
        <v>99</v>
      </c>
      <c r="E1043">
        <v>6</v>
      </c>
      <c r="F1043">
        <v>230</v>
      </c>
      <c r="G1043">
        <v>1380</v>
      </c>
      <c r="H1043">
        <v>0.1</v>
      </c>
      <c r="I1043" t="s">
        <v>115</v>
      </c>
      <c r="J1043">
        <v>138</v>
      </c>
      <c r="Q1043" s="22"/>
    </row>
    <row r="1044" spans="1:17" x14ac:dyDescent="0.3">
      <c r="A1044" t="s">
        <v>2174</v>
      </c>
      <c r="B1044" s="17">
        <v>43291</v>
      </c>
      <c r="C1044" t="s">
        <v>98</v>
      </c>
      <c r="D1044" t="s">
        <v>96</v>
      </c>
      <c r="E1044">
        <v>11</v>
      </c>
      <c r="F1044">
        <v>40</v>
      </c>
      <c r="G1044">
        <v>440</v>
      </c>
      <c r="H1044">
        <v>0.04</v>
      </c>
      <c r="I1044" t="s">
        <v>116</v>
      </c>
      <c r="J1044">
        <v>17.600000000000001</v>
      </c>
      <c r="Q1044" s="21"/>
    </row>
    <row r="1045" spans="1:17" x14ac:dyDescent="0.3">
      <c r="A1045" t="s">
        <v>2175</v>
      </c>
      <c r="B1045" s="17">
        <v>43291</v>
      </c>
      <c r="C1045" t="s">
        <v>108</v>
      </c>
      <c r="D1045" t="s">
        <v>106</v>
      </c>
      <c r="E1045">
        <v>10</v>
      </c>
      <c r="F1045">
        <v>16</v>
      </c>
      <c r="G1045">
        <v>160</v>
      </c>
      <c r="H1045">
        <v>0.04</v>
      </c>
      <c r="I1045" t="s">
        <v>97</v>
      </c>
      <c r="J1045">
        <v>6.4</v>
      </c>
      <c r="Q1045" s="22"/>
    </row>
    <row r="1046" spans="1:17" x14ac:dyDescent="0.3">
      <c r="A1046" t="s">
        <v>2176</v>
      </c>
      <c r="B1046" s="17">
        <v>43291</v>
      </c>
      <c r="C1046" t="s">
        <v>95</v>
      </c>
      <c r="D1046" t="s">
        <v>96</v>
      </c>
      <c r="E1046">
        <v>6</v>
      </c>
      <c r="F1046">
        <v>80</v>
      </c>
      <c r="G1046">
        <v>480</v>
      </c>
      <c r="H1046">
        <v>7.0000000000000007E-2</v>
      </c>
      <c r="I1046" t="s">
        <v>100</v>
      </c>
      <c r="J1046">
        <v>33.6</v>
      </c>
      <c r="Q1046" s="21"/>
    </row>
    <row r="1047" spans="1:17" x14ac:dyDescent="0.3">
      <c r="A1047" t="s">
        <v>2177</v>
      </c>
      <c r="B1047" s="17">
        <v>43291</v>
      </c>
      <c r="C1047" t="s">
        <v>98</v>
      </c>
      <c r="D1047" t="s">
        <v>106</v>
      </c>
      <c r="E1047">
        <v>11</v>
      </c>
      <c r="F1047">
        <v>40</v>
      </c>
      <c r="G1047">
        <v>440</v>
      </c>
      <c r="H1047">
        <v>0.09</v>
      </c>
      <c r="I1047" t="s">
        <v>102</v>
      </c>
      <c r="J1047">
        <v>39.6</v>
      </c>
      <c r="Q1047" s="22"/>
    </row>
    <row r="1048" spans="1:17" x14ac:dyDescent="0.3">
      <c r="A1048" t="s">
        <v>2178</v>
      </c>
      <c r="B1048" s="17">
        <v>43291</v>
      </c>
      <c r="C1048" t="s">
        <v>95</v>
      </c>
      <c r="D1048" t="s">
        <v>109</v>
      </c>
      <c r="E1048">
        <v>16</v>
      </c>
      <c r="F1048">
        <v>80</v>
      </c>
      <c r="G1048">
        <v>1280</v>
      </c>
      <c r="H1048">
        <v>0.09</v>
      </c>
      <c r="I1048" t="s">
        <v>103</v>
      </c>
      <c r="J1048">
        <v>115.19999999999999</v>
      </c>
      <c r="Q1048" s="21"/>
    </row>
    <row r="1049" spans="1:17" x14ac:dyDescent="0.3">
      <c r="A1049" t="s">
        <v>2179</v>
      </c>
      <c r="B1049" s="17">
        <v>43291</v>
      </c>
      <c r="C1049" t="s">
        <v>98</v>
      </c>
      <c r="D1049" t="s">
        <v>106</v>
      </c>
      <c r="E1049">
        <v>13</v>
      </c>
      <c r="F1049">
        <v>40</v>
      </c>
      <c r="G1049">
        <v>520</v>
      </c>
      <c r="H1049">
        <v>0.09</v>
      </c>
      <c r="I1049" t="s">
        <v>105</v>
      </c>
      <c r="J1049">
        <v>46.8</v>
      </c>
      <c r="Q1049" s="22"/>
    </row>
    <row r="1050" spans="1:17" x14ac:dyDescent="0.3">
      <c r="A1050" t="s">
        <v>2180</v>
      </c>
      <c r="B1050" s="17">
        <v>43291</v>
      </c>
      <c r="C1050" t="s">
        <v>101</v>
      </c>
      <c r="D1050" t="s">
        <v>96</v>
      </c>
      <c r="E1050">
        <v>5</v>
      </c>
      <c r="F1050">
        <v>230</v>
      </c>
      <c r="G1050">
        <v>1150</v>
      </c>
      <c r="H1050">
        <v>0.1</v>
      </c>
      <c r="I1050" t="s">
        <v>107</v>
      </c>
      <c r="J1050">
        <v>115</v>
      </c>
      <c r="Q1050" s="21"/>
    </row>
    <row r="1051" spans="1:17" x14ac:dyDescent="0.3">
      <c r="A1051" t="s">
        <v>2181</v>
      </c>
      <c r="B1051" s="17">
        <v>43292</v>
      </c>
      <c r="C1051" t="s">
        <v>98</v>
      </c>
      <c r="D1051" t="s">
        <v>109</v>
      </c>
      <c r="E1051">
        <v>7</v>
      </c>
      <c r="F1051">
        <v>40</v>
      </c>
      <c r="G1051">
        <v>280</v>
      </c>
      <c r="H1051">
        <v>0.05</v>
      </c>
      <c r="I1051" t="s">
        <v>100</v>
      </c>
      <c r="J1051">
        <v>14</v>
      </c>
      <c r="Q1051" s="22"/>
    </row>
    <row r="1052" spans="1:17" x14ac:dyDescent="0.3">
      <c r="A1052" t="s">
        <v>2182</v>
      </c>
      <c r="B1052" s="17">
        <v>43292</v>
      </c>
      <c r="C1052" t="s">
        <v>95</v>
      </c>
      <c r="D1052" t="s">
        <v>104</v>
      </c>
      <c r="E1052">
        <v>14</v>
      </c>
      <c r="F1052">
        <v>80</v>
      </c>
      <c r="G1052">
        <v>1120</v>
      </c>
      <c r="H1052">
        <v>0.1</v>
      </c>
      <c r="I1052" t="s">
        <v>102</v>
      </c>
      <c r="J1052">
        <v>112</v>
      </c>
      <c r="Q1052" s="21"/>
    </row>
    <row r="1053" spans="1:17" x14ac:dyDescent="0.3">
      <c r="A1053" t="s">
        <v>2183</v>
      </c>
      <c r="B1053" s="17">
        <v>43292</v>
      </c>
      <c r="C1053" t="s">
        <v>108</v>
      </c>
      <c r="D1053" t="s">
        <v>109</v>
      </c>
      <c r="E1053">
        <v>12</v>
      </c>
      <c r="F1053">
        <v>16</v>
      </c>
      <c r="G1053">
        <v>192</v>
      </c>
      <c r="H1053">
        <v>0.04</v>
      </c>
      <c r="I1053" t="s">
        <v>103</v>
      </c>
      <c r="J1053">
        <v>7.68</v>
      </c>
      <c r="Q1053" s="22"/>
    </row>
    <row r="1054" spans="1:17" x14ac:dyDescent="0.3">
      <c r="A1054" t="s">
        <v>2184</v>
      </c>
      <c r="B1054" s="17">
        <v>43292</v>
      </c>
      <c r="C1054" t="s">
        <v>101</v>
      </c>
      <c r="D1054" t="s">
        <v>104</v>
      </c>
      <c r="E1054">
        <v>14</v>
      </c>
      <c r="F1054">
        <v>230</v>
      </c>
      <c r="G1054">
        <v>3220</v>
      </c>
      <c r="H1054">
        <v>0.03</v>
      </c>
      <c r="I1054" t="s">
        <v>105</v>
      </c>
      <c r="J1054">
        <v>96.6</v>
      </c>
      <c r="Q1054" s="21"/>
    </row>
    <row r="1055" spans="1:17" x14ac:dyDescent="0.3">
      <c r="A1055" t="s">
        <v>2185</v>
      </c>
      <c r="B1055" s="17">
        <v>43292</v>
      </c>
      <c r="C1055" t="s">
        <v>95</v>
      </c>
      <c r="D1055" t="s">
        <v>109</v>
      </c>
      <c r="E1055">
        <v>21</v>
      </c>
      <c r="F1055">
        <v>80</v>
      </c>
      <c r="G1055">
        <v>1680</v>
      </c>
      <c r="H1055">
        <v>0.09</v>
      </c>
      <c r="I1055" t="s">
        <v>107</v>
      </c>
      <c r="J1055">
        <v>151.19999999999999</v>
      </c>
      <c r="Q1055" s="22"/>
    </row>
    <row r="1056" spans="1:17" x14ac:dyDescent="0.3">
      <c r="A1056" t="s">
        <v>2186</v>
      </c>
      <c r="B1056" s="17">
        <v>43292</v>
      </c>
      <c r="C1056" t="s">
        <v>101</v>
      </c>
      <c r="D1056" t="s">
        <v>104</v>
      </c>
      <c r="E1056">
        <v>5</v>
      </c>
      <c r="F1056">
        <v>230</v>
      </c>
      <c r="G1056">
        <v>1150</v>
      </c>
      <c r="H1056">
        <v>0.1</v>
      </c>
      <c r="I1056" t="s">
        <v>110</v>
      </c>
      <c r="J1056">
        <v>115</v>
      </c>
      <c r="Q1056" s="21"/>
    </row>
    <row r="1057" spans="1:17" x14ac:dyDescent="0.3">
      <c r="A1057" t="s">
        <v>2187</v>
      </c>
      <c r="B1057" s="17">
        <v>43292</v>
      </c>
      <c r="C1057" t="s">
        <v>98</v>
      </c>
      <c r="D1057" t="s">
        <v>109</v>
      </c>
      <c r="E1057">
        <v>16</v>
      </c>
      <c r="F1057">
        <v>40</v>
      </c>
      <c r="G1057">
        <v>640</v>
      </c>
      <c r="H1057">
        <v>0.09</v>
      </c>
      <c r="I1057" t="s">
        <v>112</v>
      </c>
      <c r="J1057">
        <v>57.599999999999994</v>
      </c>
      <c r="Q1057" s="22"/>
    </row>
    <row r="1058" spans="1:17" x14ac:dyDescent="0.3">
      <c r="A1058" t="s">
        <v>2188</v>
      </c>
      <c r="B1058" s="17">
        <v>43292</v>
      </c>
      <c r="C1058" t="s">
        <v>111</v>
      </c>
      <c r="D1058" t="s">
        <v>99</v>
      </c>
      <c r="E1058">
        <v>15</v>
      </c>
      <c r="F1058">
        <v>150</v>
      </c>
      <c r="G1058">
        <v>2250</v>
      </c>
      <c r="H1058">
        <v>0.12</v>
      </c>
      <c r="I1058" t="s">
        <v>113</v>
      </c>
      <c r="J1058">
        <v>270</v>
      </c>
      <c r="Q1058" s="21"/>
    </row>
    <row r="1059" spans="1:17" x14ac:dyDescent="0.3">
      <c r="A1059" t="s">
        <v>2189</v>
      </c>
      <c r="B1059" s="17">
        <v>43292</v>
      </c>
      <c r="C1059" t="s">
        <v>108</v>
      </c>
      <c r="D1059" t="s">
        <v>109</v>
      </c>
      <c r="E1059">
        <v>23</v>
      </c>
      <c r="F1059">
        <v>16</v>
      </c>
      <c r="G1059">
        <v>368</v>
      </c>
      <c r="H1059">
        <v>0.01</v>
      </c>
      <c r="I1059" t="s">
        <v>114</v>
      </c>
      <c r="J1059">
        <v>3.68</v>
      </c>
      <c r="Q1059" s="22"/>
    </row>
    <row r="1060" spans="1:17" x14ac:dyDescent="0.3">
      <c r="A1060" t="s">
        <v>2190</v>
      </c>
      <c r="B1060" s="17">
        <v>43292</v>
      </c>
      <c r="C1060" t="s">
        <v>108</v>
      </c>
      <c r="D1060" t="s">
        <v>99</v>
      </c>
      <c r="E1060">
        <v>22</v>
      </c>
      <c r="F1060">
        <v>16</v>
      </c>
      <c r="G1060">
        <v>352</v>
      </c>
      <c r="H1060">
        <v>0.04</v>
      </c>
      <c r="I1060" t="s">
        <v>115</v>
      </c>
      <c r="J1060">
        <v>14.08</v>
      </c>
      <c r="Q1060" s="21"/>
    </row>
    <row r="1061" spans="1:17" x14ac:dyDescent="0.3">
      <c r="A1061" t="s">
        <v>2191</v>
      </c>
      <c r="B1061" s="17">
        <v>43292</v>
      </c>
      <c r="C1061" t="s">
        <v>95</v>
      </c>
      <c r="D1061" t="s">
        <v>96</v>
      </c>
      <c r="E1061">
        <v>20</v>
      </c>
      <c r="F1061">
        <v>80</v>
      </c>
      <c r="G1061">
        <v>1600</v>
      </c>
      <c r="H1061">
        <v>0.01</v>
      </c>
      <c r="I1061" t="s">
        <v>116</v>
      </c>
      <c r="J1061">
        <v>16</v>
      </c>
      <c r="Q1061" s="22"/>
    </row>
    <row r="1062" spans="1:17" x14ac:dyDescent="0.3">
      <c r="A1062" t="s">
        <v>2192</v>
      </c>
      <c r="B1062" s="17">
        <v>43292</v>
      </c>
      <c r="C1062" t="s">
        <v>98</v>
      </c>
      <c r="D1062" t="s">
        <v>106</v>
      </c>
      <c r="E1062">
        <v>6</v>
      </c>
      <c r="F1062">
        <v>40</v>
      </c>
      <c r="G1062">
        <v>240</v>
      </c>
      <c r="H1062">
        <v>7.0000000000000007E-2</v>
      </c>
      <c r="I1062" t="s">
        <v>97</v>
      </c>
      <c r="J1062">
        <v>16.8</v>
      </c>
      <c r="Q1062" s="21"/>
    </row>
    <row r="1063" spans="1:17" x14ac:dyDescent="0.3">
      <c r="A1063" t="s">
        <v>2193</v>
      </c>
      <c r="B1063" s="17">
        <v>43293</v>
      </c>
      <c r="C1063" t="s">
        <v>111</v>
      </c>
      <c r="D1063" t="s">
        <v>99</v>
      </c>
      <c r="E1063">
        <v>10</v>
      </c>
      <c r="F1063">
        <v>150</v>
      </c>
      <c r="G1063">
        <v>1500</v>
      </c>
      <c r="H1063">
        <v>0.01</v>
      </c>
      <c r="I1063" t="s">
        <v>100</v>
      </c>
      <c r="J1063">
        <v>15</v>
      </c>
      <c r="Q1063" s="22"/>
    </row>
    <row r="1064" spans="1:17" x14ac:dyDescent="0.3">
      <c r="A1064" t="s">
        <v>2194</v>
      </c>
      <c r="B1064" s="17">
        <v>43293</v>
      </c>
      <c r="C1064" t="s">
        <v>95</v>
      </c>
      <c r="D1064" t="s">
        <v>106</v>
      </c>
      <c r="E1064">
        <v>17</v>
      </c>
      <c r="F1064">
        <v>80</v>
      </c>
      <c r="G1064">
        <v>1360</v>
      </c>
      <c r="H1064">
        <v>0.05</v>
      </c>
      <c r="I1064" t="s">
        <v>102</v>
      </c>
      <c r="J1064">
        <v>68</v>
      </c>
      <c r="Q1064" s="21"/>
    </row>
    <row r="1065" spans="1:17" x14ac:dyDescent="0.3">
      <c r="A1065" t="s">
        <v>2195</v>
      </c>
      <c r="B1065" s="17">
        <v>43293</v>
      </c>
      <c r="C1065" t="s">
        <v>111</v>
      </c>
      <c r="D1065" t="s">
        <v>96</v>
      </c>
      <c r="E1065">
        <v>13</v>
      </c>
      <c r="F1065">
        <v>150</v>
      </c>
      <c r="G1065">
        <v>1950</v>
      </c>
      <c r="H1065">
        <v>0.05</v>
      </c>
      <c r="I1065" t="s">
        <v>103</v>
      </c>
      <c r="J1065">
        <v>97.5</v>
      </c>
      <c r="Q1065" s="22"/>
    </row>
    <row r="1066" spans="1:17" x14ac:dyDescent="0.3">
      <c r="A1066" t="s">
        <v>2196</v>
      </c>
      <c r="B1066" s="17">
        <v>43293</v>
      </c>
      <c r="C1066" t="s">
        <v>101</v>
      </c>
      <c r="D1066" t="s">
        <v>106</v>
      </c>
      <c r="E1066">
        <v>8</v>
      </c>
      <c r="F1066">
        <v>230</v>
      </c>
      <c r="G1066">
        <v>1840</v>
      </c>
      <c r="H1066">
        <v>0.05</v>
      </c>
      <c r="I1066" t="s">
        <v>105</v>
      </c>
      <c r="J1066">
        <v>92</v>
      </c>
      <c r="Q1066" s="21"/>
    </row>
    <row r="1067" spans="1:17" x14ac:dyDescent="0.3">
      <c r="A1067" t="s">
        <v>2197</v>
      </c>
      <c r="B1067" s="17">
        <v>43293</v>
      </c>
      <c r="C1067" t="s">
        <v>108</v>
      </c>
      <c r="D1067" t="s">
        <v>96</v>
      </c>
      <c r="E1067">
        <v>10</v>
      </c>
      <c r="F1067">
        <v>16</v>
      </c>
      <c r="G1067">
        <v>160</v>
      </c>
      <c r="H1067">
        <v>0.08</v>
      </c>
      <c r="I1067" t="s">
        <v>107</v>
      </c>
      <c r="J1067">
        <v>12.8</v>
      </c>
      <c r="Q1067" s="22"/>
    </row>
    <row r="1068" spans="1:17" x14ac:dyDescent="0.3">
      <c r="A1068" t="s">
        <v>2198</v>
      </c>
      <c r="B1068" s="17">
        <v>43293</v>
      </c>
      <c r="C1068" t="s">
        <v>98</v>
      </c>
      <c r="D1068" t="s">
        <v>99</v>
      </c>
      <c r="E1068">
        <v>4</v>
      </c>
      <c r="F1068">
        <v>40</v>
      </c>
      <c r="G1068">
        <v>160</v>
      </c>
      <c r="H1068">
        <v>0.06</v>
      </c>
      <c r="I1068" t="s">
        <v>100</v>
      </c>
      <c r="J1068">
        <v>9.6</v>
      </c>
      <c r="Q1068" s="21"/>
    </row>
    <row r="1069" spans="1:17" x14ac:dyDescent="0.3">
      <c r="A1069" t="s">
        <v>2199</v>
      </c>
      <c r="B1069" s="17">
        <v>43293</v>
      </c>
      <c r="C1069" t="s">
        <v>98</v>
      </c>
      <c r="D1069" t="s">
        <v>109</v>
      </c>
      <c r="E1069">
        <v>18</v>
      </c>
      <c r="F1069">
        <v>40</v>
      </c>
      <c r="G1069">
        <v>720</v>
      </c>
      <c r="H1069">
        <v>0.06</v>
      </c>
      <c r="I1069" t="s">
        <v>102</v>
      </c>
      <c r="J1069">
        <v>43.199999999999996</v>
      </c>
      <c r="Q1069" s="22"/>
    </row>
    <row r="1070" spans="1:17" x14ac:dyDescent="0.3">
      <c r="A1070" t="s">
        <v>2200</v>
      </c>
      <c r="B1070" s="17">
        <v>43293</v>
      </c>
      <c r="C1070" t="s">
        <v>111</v>
      </c>
      <c r="D1070" t="s">
        <v>106</v>
      </c>
      <c r="E1070">
        <v>15</v>
      </c>
      <c r="F1070">
        <v>150</v>
      </c>
      <c r="G1070">
        <v>2250</v>
      </c>
      <c r="H1070">
        <v>0.05</v>
      </c>
      <c r="I1070" t="s">
        <v>103</v>
      </c>
      <c r="J1070">
        <v>112.5</v>
      </c>
      <c r="Q1070" s="21"/>
    </row>
    <row r="1071" spans="1:17" x14ac:dyDescent="0.3">
      <c r="A1071" t="s">
        <v>2201</v>
      </c>
      <c r="B1071" s="17">
        <v>43293</v>
      </c>
      <c r="C1071" t="s">
        <v>111</v>
      </c>
      <c r="D1071" t="s">
        <v>106</v>
      </c>
      <c r="E1071">
        <v>3</v>
      </c>
      <c r="F1071">
        <v>150</v>
      </c>
      <c r="G1071">
        <v>450</v>
      </c>
      <c r="H1071">
        <v>0.01</v>
      </c>
      <c r="I1071" t="s">
        <v>105</v>
      </c>
      <c r="J1071">
        <v>4.5</v>
      </c>
      <c r="Q1071" s="22"/>
    </row>
    <row r="1072" spans="1:17" x14ac:dyDescent="0.3">
      <c r="A1072" t="s">
        <v>2202</v>
      </c>
      <c r="B1072" s="17">
        <v>43293</v>
      </c>
      <c r="C1072" t="s">
        <v>108</v>
      </c>
      <c r="D1072" t="s">
        <v>96</v>
      </c>
      <c r="E1072">
        <v>12</v>
      </c>
      <c r="F1072">
        <v>16</v>
      </c>
      <c r="G1072">
        <v>192</v>
      </c>
      <c r="H1072">
        <v>0.11</v>
      </c>
      <c r="I1072" t="s">
        <v>107</v>
      </c>
      <c r="J1072">
        <v>21.12</v>
      </c>
      <c r="Q1072" s="21"/>
    </row>
    <row r="1073" spans="1:17" x14ac:dyDescent="0.3">
      <c r="A1073" t="s">
        <v>2203</v>
      </c>
      <c r="B1073" s="17">
        <v>43294</v>
      </c>
      <c r="C1073" t="s">
        <v>95</v>
      </c>
      <c r="D1073" t="s">
        <v>109</v>
      </c>
      <c r="E1073">
        <v>17</v>
      </c>
      <c r="F1073">
        <v>80</v>
      </c>
      <c r="G1073">
        <v>1360</v>
      </c>
      <c r="H1073">
        <v>7.0000000000000007E-2</v>
      </c>
      <c r="I1073" t="s">
        <v>110</v>
      </c>
      <c r="J1073">
        <v>95.2</v>
      </c>
      <c r="Q1073" s="22"/>
    </row>
    <row r="1074" spans="1:17" x14ac:dyDescent="0.3">
      <c r="A1074" t="s">
        <v>2204</v>
      </c>
      <c r="B1074" s="17">
        <v>43294</v>
      </c>
      <c r="C1074" t="s">
        <v>101</v>
      </c>
      <c r="D1074" t="s">
        <v>96</v>
      </c>
      <c r="E1074">
        <v>3</v>
      </c>
      <c r="F1074">
        <v>230</v>
      </c>
      <c r="G1074">
        <v>690</v>
      </c>
      <c r="H1074">
        <v>0.06</v>
      </c>
      <c r="I1074" t="s">
        <v>112</v>
      </c>
      <c r="J1074">
        <v>41.4</v>
      </c>
      <c r="Q1074" s="21"/>
    </row>
    <row r="1075" spans="1:17" x14ac:dyDescent="0.3">
      <c r="A1075" t="s">
        <v>2205</v>
      </c>
      <c r="B1075" s="17">
        <v>43294</v>
      </c>
      <c r="C1075" t="s">
        <v>95</v>
      </c>
      <c r="D1075" t="s">
        <v>104</v>
      </c>
      <c r="E1075">
        <v>20</v>
      </c>
      <c r="F1075">
        <v>80</v>
      </c>
      <c r="G1075">
        <v>1600</v>
      </c>
      <c r="H1075">
        <v>7.0000000000000007E-2</v>
      </c>
      <c r="I1075" t="s">
        <v>113</v>
      </c>
      <c r="J1075">
        <v>112.00000000000001</v>
      </c>
      <c r="Q1075" s="22"/>
    </row>
    <row r="1076" spans="1:17" x14ac:dyDescent="0.3">
      <c r="A1076" t="s">
        <v>2206</v>
      </c>
      <c r="B1076" s="17">
        <v>43294</v>
      </c>
      <c r="C1076" t="s">
        <v>101</v>
      </c>
      <c r="D1076" t="s">
        <v>99</v>
      </c>
      <c r="E1076">
        <v>14</v>
      </c>
      <c r="F1076">
        <v>230</v>
      </c>
      <c r="G1076">
        <v>3220</v>
      </c>
      <c r="H1076">
        <v>0.05</v>
      </c>
      <c r="I1076" t="s">
        <v>114</v>
      </c>
      <c r="J1076">
        <v>161</v>
      </c>
      <c r="Q1076" s="21"/>
    </row>
    <row r="1077" spans="1:17" x14ac:dyDescent="0.3">
      <c r="A1077" t="s">
        <v>2207</v>
      </c>
      <c r="B1077" s="17">
        <v>43294</v>
      </c>
      <c r="C1077" t="s">
        <v>98</v>
      </c>
      <c r="D1077" t="s">
        <v>109</v>
      </c>
      <c r="E1077">
        <v>16</v>
      </c>
      <c r="F1077">
        <v>40</v>
      </c>
      <c r="G1077">
        <v>640</v>
      </c>
      <c r="H1077">
        <v>0.09</v>
      </c>
      <c r="I1077" t="s">
        <v>115</v>
      </c>
      <c r="J1077">
        <v>57.599999999999994</v>
      </c>
      <c r="Q1077" s="22"/>
    </row>
    <row r="1078" spans="1:17" x14ac:dyDescent="0.3">
      <c r="A1078" t="s">
        <v>2208</v>
      </c>
      <c r="B1078" s="17">
        <v>43294</v>
      </c>
      <c r="C1078" t="s">
        <v>108</v>
      </c>
      <c r="D1078" t="s">
        <v>99</v>
      </c>
      <c r="E1078">
        <v>7</v>
      </c>
      <c r="F1078">
        <v>16</v>
      </c>
      <c r="G1078">
        <v>112</v>
      </c>
      <c r="H1078">
        <v>0.08</v>
      </c>
      <c r="I1078" t="s">
        <v>116</v>
      </c>
      <c r="J1078">
        <v>8.9600000000000009</v>
      </c>
      <c r="Q1078" s="21"/>
    </row>
    <row r="1079" spans="1:17" x14ac:dyDescent="0.3">
      <c r="A1079" t="s">
        <v>2209</v>
      </c>
      <c r="B1079" s="17">
        <v>43294</v>
      </c>
      <c r="C1079" t="s">
        <v>98</v>
      </c>
      <c r="D1079" t="s">
        <v>99</v>
      </c>
      <c r="E1079">
        <v>19</v>
      </c>
      <c r="F1079">
        <v>40</v>
      </c>
      <c r="G1079">
        <v>760</v>
      </c>
      <c r="H1079">
        <v>0.1</v>
      </c>
      <c r="I1079" t="s">
        <v>97</v>
      </c>
      <c r="J1079">
        <v>76</v>
      </c>
      <c r="Q1079" s="22"/>
    </row>
    <row r="1080" spans="1:17" x14ac:dyDescent="0.3">
      <c r="A1080" t="s">
        <v>2210</v>
      </c>
      <c r="B1080" s="17">
        <v>43294</v>
      </c>
      <c r="C1080" t="s">
        <v>101</v>
      </c>
      <c r="D1080" t="s">
        <v>106</v>
      </c>
      <c r="E1080">
        <v>7</v>
      </c>
      <c r="F1080">
        <v>230</v>
      </c>
      <c r="G1080">
        <v>1610</v>
      </c>
      <c r="H1080">
        <v>0.06</v>
      </c>
      <c r="I1080" t="s">
        <v>100</v>
      </c>
      <c r="J1080">
        <v>96.6</v>
      </c>
      <c r="Q1080" s="21"/>
    </row>
    <row r="1081" spans="1:17" x14ac:dyDescent="0.3">
      <c r="A1081" t="s">
        <v>2211</v>
      </c>
      <c r="B1081" s="17">
        <v>43294</v>
      </c>
      <c r="C1081" t="s">
        <v>98</v>
      </c>
      <c r="D1081" t="s">
        <v>109</v>
      </c>
      <c r="E1081">
        <v>20</v>
      </c>
      <c r="F1081">
        <v>40</v>
      </c>
      <c r="G1081">
        <v>800</v>
      </c>
      <c r="H1081">
        <v>0.03</v>
      </c>
      <c r="I1081" t="s">
        <v>102</v>
      </c>
      <c r="J1081">
        <v>24</v>
      </c>
      <c r="Q1081" s="22"/>
    </row>
    <row r="1082" spans="1:17" x14ac:dyDescent="0.3">
      <c r="A1082" t="s">
        <v>2212</v>
      </c>
      <c r="B1082" s="17">
        <v>43294</v>
      </c>
      <c r="C1082" t="s">
        <v>108</v>
      </c>
      <c r="D1082" t="s">
        <v>104</v>
      </c>
      <c r="E1082">
        <v>11</v>
      </c>
      <c r="F1082">
        <v>16</v>
      </c>
      <c r="G1082">
        <v>176</v>
      </c>
      <c r="H1082">
        <v>0.12</v>
      </c>
      <c r="I1082" t="s">
        <v>103</v>
      </c>
      <c r="J1082">
        <v>21.119999999999997</v>
      </c>
      <c r="Q1082" s="21"/>
    </row>
    <row r="1083" spans="1:17" x14ac:dyDescent="0.3">
      <c r="A1083" t="s">
        <v>2213</v>
      </c>
      <c r="B1083" s="17">
        <v>43294</v>
      </c>
      <c r="C1083" t="s">
        <v>95</v>
      </c>
      <c r="D1083" t="s">
        <v>109</v>
      </c>
      <c r="E1083">
        <v>16</v>
      </c>
      <c r="F1083">
        <v>80</v>
      </c>
      <c r="G1083">
        <v>1280</v>
      </c>
      <c r="H1083">
        <v>0.09</v>
      </c>
      <c r="I1083" t="s">
        <v>105</v>
      </c>
      <c r="J1083">
        <v>115.19999999999999</v>
      </c>
      <c r="Q1083" s="22"/>
    </row>
    <row r="1084" spans="1:17" x14ac:dyDescent="0.3">
      <c r="A1084" t="s">
        <v>2214</v>
      </c>
      <c r="B1084" s="17">
        <v>43294</v>
      </c>
      <c r="C1084" t="s">
        <v>108</v>
      </c>
      <c r="D1084" t="s">
        <v>96</v>
      </c>
      <c r="E1084">
        <v>21</v>
      </c>
      <c r="F1084">
        <v>16</v>
      </c>
      <c r="G1084">
        <v>336</v>
      </c>
      <c r="H1084">
        <v>0.09</v>
      </c>
      <c r="I1084" t="s">
        <v>107</v>
      </c>
      <c r="J1084">
        <v>30.24</v>
      </c>
      <c r="Q1084" s="21"/>
    </row>
    <row r="1085" spans="1:17" x14ac:dyDescent="0.3">
      <c r="A1085" t="s">
        <v>2215</v>
      </c>
      <c r="B1085" s="17">
        <v>43294</v>
      </c>
      <c r="C1085" t="s">
        <v>108</v>
      </c>
      <c r="D1085" t="s">
        <v>96</v>
      </c>
      <c r="E1085">
        <v>22</v>
      </c>
      <c r="F1085">
        <v>16</v>
      </c>
      <c r="G1085">
        <v>352</v>
      </c>
      <c r="H1085">
        <v>0.01</v>
      </c>
      <c r="I1085" t="s">
        <v>100</v>
      </c>
      <c r="J1085">
        <v>3.52</v>
      </c>
      <c r="Q1085" s="22"/>
    </row>
    <row r="1086" spans="1:17" x14ac:dyDescent="0.3">
      <c r="A1086" t="s">
        <v>2216</v>
      </c>
      <c r="B1086" s="17">
        <v>43294</v>
      </c>
      <c r="C1086" t="s">
        <v>101</v>
      </c>
      <c r="D1086" t="s">
        <v>106</v>
      </c>
      <c r="E1086">
        <v>23</v>
      </c>
      <c r="F1086">
        <v>230</v>
      </c>
      <c r="G1086">
        <v>5290</v>
      </c>
      <c r="H1086">
        <v>0.06</v>
      </c>
      <c r="I1086" t="s">
        <v>102</v>
      </c>
      <c r="J1086">
        <v>317.39999999999998</v>
      </c>
      <c r="Q1086" s="21"/>
    </row>
    <row r="1087" spans="1:17" x14ac:dyDescent="0.3">
      <c r="A1087" t="s">
        <v>2217</v>
      </c>
      <c r="B1087" s="17">
        <v>43294</v>
      </c>
      <c r="C1087" t="s">
        <v>111</v>
      </c>
      <c r="D1087" t="s">
        <v>96</v>
      </c>
      <c r="E1087">
        <v>9</v>
      </c>
      <c r="F1087">
        <v>150</v>
      </c>
      <c r="G1087">
        <v>1350</v>
      </c>
      <c r="H1087">
        <v>0.1</v>
      </c>
      <c r="I1087" t="s">
        <v>103</v>
      </c>
      <c r="J1087">
        <v>135</v>
      </c>
      <c r="Q1087" s="22"/>
    </row>
    <row r="1088" spans="1:17" x14ac:dyDescent="0.3">
      <c r="A1088" t="s">
        <v>2218</v>
      </c>
      <c r="B1088" s="17">
        <v>43294</v>
      </c>
      <c r="C1088" t="s">
        <v>111</v>
      </c>
      <c r="D1088" t="s">
        <v>104</v>
      </c>
      <c r="E1088">
        <v>9</v>
      </c>
      <c r="F1088">
        <v>150</v>
      </c>
      <c r="G1088">
        <v>1350</v>
      </c>
      <c r="H1088">
        <v>0.06</v>
      </c>
      <c r="I1088" t="s">
        <v>105</v>
      </c>
      <c r="J1088">
        <v>81</v>
      </c>
      <c r="Q1088" s="21"/>
    </row>
    <row r="1089" spans="1:17" x14ac:dyDescent="0.3">
      <c r="A1089" t="s">
        <v>2219</v>
      </c>
      <c r="B1089" s="17">
        <v>43295</v>
      </c>
      <c r="C1089" t="s">
        <v>101</v>
      </c>
      <c r="D1089" t="s">
        <v>96</v>
      </c>
      <c r="E1089">
        <v>9</v>
      </c>
      <c r="F1089">
        <v>230</v>
      </c>
      <c r="G1089">
        <v>2070</v>
      </c>
      <c r="H1089">
        <v>7.0000000000000007E-2</v>
      </c>
      <c r="I1089" t="s">
        <v>107</v>
      </c>
      <c r="J1089">
        <v>144.9</v>
      </c>
      <c r="Q1089" s="22"/>
    </row>
    <row r="1090" spans="1:17" x14ac:dyDescent="0.3">
      <c r="A1090" t="s">
        <v>2220</v>
      </c>
      <c r="B1090" s="17">
        <v>43295</v>
      </c>
      <c r="C1090" t="s">
        <v>95</v>
      </c>
      <c r="D1090" t="s">
        <v>104</v>
      </c>
      <c r="E1090">
        <v>10</v>
      </c>
      <c r="F1090">
        <v>80</v>
      </c>
      <c r="G1090">
        <v>800</v>
      </c>
      <c r="H1090">
        <v>0.08</v>
      </c>
      <c r="I1090" t="s">
        <v>110</v>
      </c>
      <c r="J1090">
        <v>64</v>
      </c>
      <c r="Q1090" s="21"/>
    </row>
    <row r="1091" spans="1:17" x14ac:dyDescent="0.3">
      <c r="A1091" t="s">
        <v>2221</v>
      </c>
      <c r="B1091" s="17">
        <v>43295</v>
      </c>
      <c r="C1091" t="s">
        <v>108</v>
      </c>
      <c r="D1091" t="s">
        <v>104</v>
      </c>
      <c r="E1091">
        <v>23</v>
      </c>
      <c r="F1091">
        <v>16</v>
      </c>
      <c r="G1091">
        <v>368</v>
      </c>
      <c r="H1091">
        <v>0.11</v>
      </c>
      <c r="I1091" t="s">
        <v>112</v>
      </c>
      <c r="J1091">
        <v>40.479999999999997</v>
      </c>
      <c r="Q1091" s="22"/>
    </row>
    <row r="1092" spans="1:17" x14ac:dyDescent="0.3">
      <c r="A1092" t="s">
        <v>2222</v>
      </c>
      <c r="B1092" s="17">
        <v>43295</v>
      </c>
      <c r="C1092" t="s">
        <v>95</v>
      </c>
      <c r="D1092" t="s">
        <v>106</v>
      </c>
      <c r="E1092">
        <v>22</v>
      </c>
      <c r="F1092">
        <v>80</v>
      </c>
      <c r="G1092">
        <v>1760</v>
      </c>
      <c r="H1092">
        <v>0.03</v>
      </c>
      <c r="I1092" t="s">
        <v>113</v>
      </c>
      <c r="J1092">
        <v>52.8</v>
      </c>
      <c r="Q1092" s="21"/>
    </row>
    <row r="1093" spans="1:17" x14ac:dyDescent="0.3">
      <c r="A1093" t="s">
        <v>2223</v>
      </c>
      <c r="B1093" s="17">
        <v>43295</v>
      </c>
      <c r="C1093" t="s">
        <v>95</v>
      </c>
      <c r="D1093" t="s">
        <v>106</v>
      </c>
      <c r="E1093">
        <v>4</v>
      </c>
      <c r="F1093">
        <v>80</v>
      </c>
      <c r="G1093">
        <v>320</v>
      </c>
      <c r="H1093">
        <v>0.11</v>
      </c>
      <c r="I1093" t="s">
        <v>114</v>
      </c>
      <c r="J1093">
        <v>35.200000000000003</v>
      </c>
      <c r="Q1093" s="22"/>
    </row>
    <row r="1094" spans="1:17" x14ac:dyDescent="0.3">
      <c r="A1094" t="s">
        <v>2224</v>
      </c>
      <c r="B1094" s="17">
        <v>43295</v>
      </c>
      <c r="C1094" t="s">
        <v>108</v>
      </c>
      <c r="D1094" t="s">
        <v>96</v>
      </c>
      <c r="E1094">
        <v>22</v>
      </c>
      <c r="F1094">
        <v>16</v>
      </c>
      <c r="G1094">
        <v>352</v>
      </c>
      <c r="H1094">
        <v>0.06</v>
      </c>
      <c r="I1094" t="s">
        <v>115</v>
      </c>
      <c r="J1094">
        <v>21.119999999999997</v>
      </c>
      <c r="Q1094" s="21"/>
    </row>
    <row r="1095" spans="1:17" x14ac:dyDescent="0.3">
      <c r="A1095" t="s">
        <v>2225</v>
      </c>
      <c r="B1095" s="17">
        <v>43295</v>
      </c>
      <c r="C1095" t="s">
        <v>98</v>
      </c>
      <c r="D1095" t="s">
        <v>99</v>
      </c>
      <c r="E1095">
        <v>15</v>
      </c>
      <c r="F1095">
        <v>40</v>
      </c>
      <c r="G1095">
        <v>600</v>
      </c>
      <c r="H1095">
        <v>0.02</v>
      </c>
      <c r="I1095" t="s">
        <v>116</v>
      </c>
      <c r="J1095">
        <v>12</v>
      </c>
      <c r="Q1095" s="22"/>
    </row>
    <row r="1096" spans="1:17" x14ac:dyDescent="0.3">
      <c r="A1096" t="s">
        <v>2226</v>
      </c>
      <c r="B1096" s="17">
        <v>43295</v>
      </c>
      <c r="C1096" t="s">
        <v>98</v>
      </c>
      <c r="D1096" t="s">
        <v>109</v>
      </c>
      <c r="E1096">
        <v>7</v>
      </c>
      <c r="F1096">
        <v>40</v>
      </c>
      <c r="G1096">
        <v>280</v>
      </c>
      <c r="H1096">
        <v>0.04</v>
      </c>
      <c r="I1096" t="s">
        <v>97</v>
      </c>
      <c r="J1096">
        <v>11.200000000000001</v>
      </c>
      <c r="Q1096" s="21"/>
    </row>
    <row r="1097" spans="1:17" x14ac:dyDescent="0.3">
      <c r="A1097" t="s">
        <v>2227</v>
      </c>
      <c r="B1097" s="17">
        <v>43295</v>
      </c>
      <c r="C1097" t="s">
        <v>108</v>
      </c>
      <c r="D1097" t="s">
        <v>109</v>
      </c>
      <c r="E1097">
        <v>2</v>
      </c>
      <c r="F1097">
        <v>16</v>
      </c>
      <c r="G1097">
        <v>32</v>
      </c>
      <c r="H1097">
        <v>0.04</v>
      </c>
      <c r="I1097" t="s">
        <v>100</v>
      </c>
      <c r="J1097">
        <v>1.28</v>
      </c>
      <c r="Q1097" s="22"/>
    </row>
    <row r="1098" spans="1:17" x14ac:dyDescent="0.3">
      <c r="A1098" t="s">
        <v>2228</v>
      </c>
      <c r="B1098" s="17">
        <v>43295</v>
      </c>
      <c r="C1098" t="s">
        <v>95</v>
      </c>
      <c r="D1098" t="s">
        <v>106</v>
      </c>
      <c r="E1098">
        <v>7</v>
      </c>
      <c r="F1098">
        <v>80</v>
      </c>
      <c r="G1098">
        <v>560</v>
      </c>
      <c r="H1098">
        <v>0.02</v>
      </c>
      <c r="I1098" t="s">
        <v>102</v>
      </c>
      <c r="J1098">
        <v>11.200000000000001</v>
      </c>
      <c r="Q1098" s="21"/>
    </row>
    <row r="1099" spans="1:17" x14ac:dyDescent="0.3">
      <c r="A1099" t="s">
        <v>2229</v>
      </c>
      <c r="B1099" s="17">
        <v>43296</v>
      </c>
      <c r="C1099" t="s">
        <v>108</v>
      </c>
      <c r="D1099" t="s">
        <v>109</v>
      </c>
      <c r="E1099">
        <v>22</v>
      </c>
      <c r="F1099">
        <v>16</v>
      </c>
      <c r="G1099">
        <v>352</v>
      </c>
      <c r="H1099">
        <v>0.12</v>
      </c>
      <c r="I1099" t="s">
        <v>103</v>
      </c>
      <c r="J1099">
        <v>42.239999999999995</v>
      </c>
      <c r="Q1099" s="22"/>
    </row>
    <row r="1100" spans="1:17" x14ac:dyDescent="0.3">
      <c r="A1100" t="s">
        <v>2230</v>
      </c>
      <c r="B1100" s="17">
        <v>43296</v>
      </c>
      <c r="C1100" t="s">
        <v>98</v>
      </c>
      <c r="D1100" t="s">
        <v>99</v>
      </c>
      <c r="E1100">
        <v>21</v>
      </c>
      <c r="F1100">
        <v>40</v>
      </c>
      <c r="G1100">
        <v>840</v>
      </c>
      <c r="H1100">
        <v>0.03</v>
      </c>
      <c r="I1100" t="s">
        <v>105</v>
      </c>
      <c r="J1100">
        <v>25.2</v>
      </c>
      <c r="Q1100" s="21"/>
    </row>
    <row r="1101" spans="1:17" x14ac:dyDescent="0.3">
      <c r="A1101" t="s">
        <v>2231</v>
      </c>
      <c r="B1101" s="17">
        <v>43296</v>
      </c>
      <c r="C1101" t="s">
        <v>95</v>
      </c>
      <c r="D1101" t="s">
        <v>96</v>
      </c>
      <c r="E1101">
        <v>6</v>
      </c>
      <c r="F1101">
        <v>80</v>
      </c>
      <c r="G1101">
        <v>480</v>
      </c>
      <c r="H1101">
        <v>0.01</v>
      </c>
      <c r="I1101" t="s">
        <v>107</v>
      </c>
      <c r="J1101">
        <v>4.8</v>
      </c>
      <c r="Q1101" s="22"/>
    </row>
    <row r="1102" spans="1:17" x14ac:dyDescent="0.3">
      <c r="A1102" t="s">
        <v>2232</v>
      </c>
      <c r="B1102" s="17">
        <v>43296</v>
      </c>
      <c r="C1102" t="s">
        <v>95</v>
      </c>
      <c r="D1102" t="s">
        <v>109</v>
      </c>
      <c r="E1102">
        <v>13</v>
      </c>
      <c r="F1102">
        <v>80</v>
      </c>
      <c r="G1102">
        <v>1040</v>
      </c>
      <c r="H1102">
        <v>0.05</v>
      </c>
      <c r="I1102" t="s">
        <v>100</v>
      </c>
      <c r="J1102">
        <v>52</v>
      </c>
      <c r="Q1102" s="21"/>
    </row>
    <row r="1103" spans="1:17" x14ac:dyDescent="0.3">
      <c r="A1103" t="s">
        <v>2233</v>
      </c>
      <c r="B1103" s="17">
        <v>43296</v>
      </c>
      <c r="C1103" t="s">
        <v>95</v>
      </c>
      <c r="D1103" t="s">
        <v>106</v>
      </c>
      <c r="E1103">
        <v>11</v>
      </c>
      <c r="F1103">
        <v>80</v>
      </c>
      <c r="G1103">
        <v>880</v>
      </c>
      <c r="H1103">
        <v>0.01</v>
      </c>
      <c r="I1103" t="s">
        <v>102</v>
      </c>
      <c r="J1103">
        <v>8.8000000000000007</v>
      </c>
      <c r="Q1103" s="22"/>
    </row>
    <row r="1104" spans="1:17" x14ac:dyDescent="0.3">
      <c r="A1104" t="s">
        <v>2234</v>
      </c>
      <c r="B1104" s="17">
        <v>43296</v>
      </c>
      <c r="C1104" t="s">
        <v>98</v>
      </c>
      <c r="D1104" t="s">
        <v>96</v>
      </c>
      <c r="E1104">
        <v>18</v>
      </c>
      <c r="F1104">
        <v>40</v>
      </c>
      <c r="G1104">
        <v>720</v>
      </c>
      <c r="H1104">
        <v>0.06</v>
      </c>
      <c r="I1104" t="s">
        <v>103</v>
      </c>
      <c r="J1104">
        <v>43.199999999999996</v>
      </c>
      <c r="Q1104" s="21"/>
    </row>
    <row r="1105" spans="1:17" x14ac:dyDescent="0.3">
      <c r="A1105" t="s">
        <v>2235</v>
      </c>
      <c r="B1105" s="17">
        <v>43296</v>
      </c>
      <c r="C1105" t="s">
        <v>111</v>
      </c>
      <c r="D1105" t="s">
        <v>106</v>
      </c>
      <c r="E1105">
        <v>7</v>
      </c>
      <c r="F1105">
        <v>150</v>
      </c>
      <c r="G1105">
        <v>1050</v>
      </c>
      <c r="H1105">
        <v>0.05</v>
      </c>
      <c r="I1105" t="s">
        <v>105</v>
      </c>
      <c r="J1105">
        <v>52.5</v>
      </c>
      <c r="Q1105" s="22"/>
    </row>
    <row r="1106" spans="1:17" x14ac:dyDescent="0.3">
      <c r="A1106" t="s">
        <v>2236</v>
      </c>
      <c r="B1106" s="17">
        <v>43296</v>
      </c>
      <c r="C1106" t="s">
        <v>98</v>
      </c>
      <c r="D1106" t="s">
        <v>96</v>
      </c>
      <c r="E1106">
        <v>2</v>
      </c>
      <c r="F1106">
        <v>40</v>
      </c>
      <c r="G1106">
        <v>80</v>
      </c>
      <c r="H1106">
        <v>0.12</v>
      </c>
      <c r="I1106" t="s">
        <v>107</v>
      </c>
      <c r="J1106">
        <v>9.6</v>
      </c>
      <c r="Q1106" s="21"/>
    </row>
    <row r="1107" spans="1:17" x14ac:dyDescent="0.3">
      <c r="A1107" t="s">
        <v>2237</v>
      </c>
      <c r="B1107" s="17">
        <v>43296</v>
      </c>
      <c r="C1107" t="s">
        <v>95</v>
      </c>
      <c r="D1107" t="s">
        <v>99</v>
      </c>
      <c r="E1107">
        <v>14</v>
      </c>
      <c r="F1107">
        <v>80</v>
      </c>
      <c r="G1107">
        <v>1120</v>
      </c>
      <c r="H1107">
        <v>0.06</v>
      </c>
      <c r="I1107" t="s">
        <v>110</v>
      </c>
      <c r="J1107">
        <v>67.2</v>
      </c>
      <c r="Q1107" s="22"/>
    </row>
    <row r="1108" spans="1:17" x14ac:dyDescent="0.3">
      <c r="A1108" t="s">
        <v>2238</v>
      </c>
      <c r="B1108" s="17">
        <v>43296</v>
      </c>
      <c r="C1108" t="s">
        <v>111</v>
      </c>
      <c r="D1108" t="s">
        <v>109</v>
      </c>
      <c r="E1108">
        <v>7</v>
      </c>
      <c r="F1108">
        <v>150</v>
      </c>
      <c r="G1108">
        <v>1050</v>
      </c>
      <c r="H1108">
        <v>0.03</v>
      </c>
      <c r="I1108" t="s">
        <v>112</v>
      </c>
      <c r="J1108">
        <v>31.5</v>
      </c>
      <c r="Q1108" s="21"/>
    </row>
    <row r="1109" spans="1:17" x14ac:dyDescent="0.3">
      <c r="A1109" t="s">
        <v>2239</v>
      </c>
      <c r="B1109" s="17">
        <v>43296</v>
      </c>
      <c r="C1109" t="s">
        <v>108</v>
      </c>
      <c r="D1109" t="s">
        <v>106</v>
      </c>
      <c r="E1109">
        <v>10</v>
      </c>
      <c r="F1109">
        <v>16</v>
      </c>
      <c r="G1109">
        <v>160</v>
      </c>
      <c r="H1109">
        <v>0.01</v>
      </c>
      <c r="I1109" t="s">
        <v>113</v>
      </c>
      <c r="J1109">
        <v>1.6</v>
      </c>
      <c r="Q1109" s="22"/>
    </row>
    <row r="1110" spans="1:17" x14ac:dyDescent="0.3">
      <c r="A1110" t="s">
        <v>2240</v>
      </c>
      <c r="B1110" s="17">
        <v>43297</v>
      </c>
      <c r="C1110" t="s">
        <v>98</v>
      </c>
      <c r="D1110" t="s">
        <v>99</v>
      </c>
      <c r="E1110">
        <v>7</v>
      </c>
      <c r="F1110">
        <v>40</v>
      </c>
      <c r="G1110">
        <v>280</v>
      </c>
      <c r="H1110">
        <v>0.01</v>
      </c>
      <c r="I1110" t="s">
        <v>114</v>
      </c>
      <c r="J1110">
        <v>2.8000000000000003</v>
      </c>
      <c r="Q1110" s="21"/>
    </row>
    <row r="1111" spans="1:17" x14ac:dyDescent="0.3">
      <c r="A1111" t="s">
        <v>2241</v>
      </c>
      <c r="B1111" s="17">
        <v>43297</v>
      </c>
      <c r="C1111" t="s">
        <v>108</v>
      </c>
      <c r="D1111" t="s">
        <v>106</v>
      </c>
      <c r="E1111">
        <v>7</v>
      </c>
      <c r="F1111">
        <v>16</v>
      </c>
      <c r="G1111">
        <v>112</v>
      </c>
      <c r="H1111">
        <v>0.08</v>
      </c>
      <c r="I1111" t="s">
        <v>115</v>
      </c>
      <c r="J1111">
        <v>8.9600000000000009</v>
      </c>
      <c r="Q1111" s="22"/>
    </row>
    <row r="1112" spans="1:17" x14ac:dyDescent="0.3">
      <c r="A1112" t="s">
        <v>2242</v>
      </c>
      <c r="B1112" s="17">
        <v>43297</v>
      </c>
      <c r="C1112" t="s">
        <v>111</v>
      </c>
      <c r="D1112" t="s">
        <v>104</v>
      </c>
      <c r="E1112">
        <v>15</v>
      </c>
      <c r="F1112">
        <v>150</v>
      </c>
      <c r="G1112">
        <v>2250</v>
      </c>
      <c r="H1112">
        <v>0.05</v>
      </c>
      <c r="I1112" t="s">
        <v>116</v>
      </c>
      <c r="J1112">
        <v>112.5</v>
      </c>
      <c r="Q1112" s="21"/>
    </row>
    <row r="1113" spans="1:17" x14ac:dyDescent="0.3">
      <c r="A1113" t="s">
        <v>2243</v>
      </c>
      <c r="B1113" s="17">
        <v>43297</v>
      </c>
      <c r="C1113" t="s">
        <v>95</v>
      </c>
      <c r="D1113" t="s">
        <v>96</v>
      </c>
      <c r="E1113">
        <v>7</v>
      </c>
      <c r="F1113">
        <v>80</v>
      </c>
      <c r="G1113">
        <v>560</v>
      </c>
      <c r="H1113">
        <v>0.02</v>
      </c>
      <c r="I1113" t="s">
        <v>97</v>
      </c>
      <c r="J1113">
        <v>11.200000000000001</v>
      </c>
      <c r="Q1113" s="22"/>
    </row>
    <row r="1114" spans="1:17" x14ac:dyDescent="0.3">
      <c r="A1114" t="s">
        <v>2244</v>
      </c>
      <c r="B1114" s="17">
        <v>43297</v>
      </c>
      <c r="C1114" t="s">
        <v>98</v>
      </c>
      <c r="D1114" t="s">
        <v>104</v>
      </c>
      <c r="E1114">
        <v>6</v>
      </c>
      <c r="F1114">
        <v>40</v>
      </c>
      <c r="G1114">
        <v>240</v>
      </c>
      <c r="H1114">
        <v>0.06</v>
      </c>
      <c r="I1114" t="s">
        <v>100</v>
      </c>
      <c r="J1114">
        <v>14.399999999999999</v>
      </c>
      <c r="Q1114" s="21"/>
    </row>
    <row r="1115" spans="1:17" x14ac:dyDescent="0.3">
      <c r="A1115" t="s">
        <v>2245</v>
      </c>
      <c r="B1115" s="17">
        <v>43297</v>
      </c>
      <c r="C1115" t="s">
        <v>101</v>
      </c>
      <c r="D1115" t="s">
        <v>96</v>
      </c>
      <c r="E1115">
        <v>3</v>
      </c>
      <c r="F1115">
        <v>230</v>
      </c>
      <c r="G1115">
        <v>690</v>
      </c>
      <c r="H1115">
        <v>0.06</v>
      </c>
      <c r="I1115" t="s">
        <v>102</v>
      </c>
      <c r="J1115">
        <v>41.4</v>
      </c>
      <c r="Q1115" s="22"/>
    </row>
    <row r="1116" spans="1:17" x14ac:dyDescent="0.3">
      <c r="A1116" t="s">
        <v>2246</v>
      </c>
      <c r="B1116" s="17">
        <v>43297</v>
      </c>
      <c r="C1116" t="s">
        <v>111</v>
      </c>
      <c r="D1116" t="s">
        <v>104</v>
      </c>
      <c r="E1116">
        <v>20</v>
      </c>
      <c r="F1116">
        <v>150</v>
      </c>
      <c r="G1116">
        <v>3000</v>
      </c>
      <c r="H1116">
        <v>0.04</v>
      </c>
      <c r="I1116" t="s">
        <v>103</v>
      </c>
      <c r="J1116">
        <v>120</v>
      </c>
      <c r="Q1116" s="21"/>
    </row>
    <row r="1117" spans="1:17" x14ac:dyDescent="0.3">
      <c r="A1117" t="s">
        <v>2247</v>
      </c>
      <c r="B1117" s="17">
        <v>43297</v>
      </c>
      <c r="C1117" t="s">
        <v>101</v>
      </c>
      <c r="D1117" t="s">
        <v>104</v>
      </c>
      <c r="E1117">
        <v>20</v>
      </c>
      <c r="F1117">
        <v>230</v>
      </c>
      <c r="G1117">
        <v>4600</v>
      </c>
      <c r="H1117">
        <v>0.06</v>
      </c>
      <c r="I1117" t="s">
        <v>105</v>
      </c>
      <c r="J1117">
        <v>276</v>
      </c>
      <c r="Q1117" s="22"/>
    </row>
    <row r="1118" spans="1:17" x14ac:dyDescent="0.3">
      <c r="A1118" t="s">
        <v>2248</v>
      </c>
      <c r="B1118" s="17">
        <v>43297</v>
      </c>
      <c r="C1118" t="s">
        <v>108</v>
      </c>
      <c r="D1118" t="s">
        <v>104</v>
      </c>
      <c r="E1118">
        <v>14</v>
      </c>
      <c r="F1118">
        <v>16</v>
      </c>
      <c r="G1118">
        <v>224</v>
      </c>
      <c r="H1118">
        <v>0.01</v>
      </c>
      <c r="I1118" t="s">
        <v>107</v>
      </c>
      <c r="J1118">
        <v>2.2400000000000002</v>
      </c>
      <c r="Q1118" s="21"/>
    </row>
    <row r="1119" spans="1:17" x14ac:dyDescent="0.3">
      <c r="A1119" t="s">
        <v>2249</v>
      </c>
      <c r="B1119" s="17">
        <v>43297</v>
      </c>
      <c r="C1119" t="s">
        <v>111</v>
      </c>
      <c r="D1119" t="s">
        <v>104</v>
      </c>
      <c r="E1119">
        <v>20</v>
      </c>
      <c r="F1119">
        <v>150</v>
      </c>
      <c r="G1119">
        <v>3000</v>
      </c>
      <c r="H1119">
        <v>0.04</v>
      </c>
      <c r="I1119" t="s">
        <v>100</v>
      </c>
      <c r="J1119">
        <v>120</v>
      </c>
      <c r="Q1119" s="22"/>
    </row>
    <row r="1120" spans="1:17" x14ac:dyDescent="0.3">
      <c r="A1120" t="s">
        <v>2250</v>
      </c>
      <c r="B1120" s="17">
        <v>43297</v>
      </c>
      <c r="C1120" t="s">
        <v>95</v>
      </c>
      <c r="D1120" t="s">
        <v>96</v>
      </c>
      <c r="E1120">
        <v>17</v>
      </c>
      <c r="F1120">
        <v>80</v>
      </c>
      <c r="G1120">
        <v>1360</v>
      </c>
      <c r="H1120">
        <v>0.09</v>
      </c>
      <c r="I1120" t="s">
        <v>102</v>
      </c>
      <c r="J1120">
        <v>122.39999999999999</v>
      </c>
      <c r="Q1120" s="21"/>
    </row>
    <row r="1121" spans="1:17" x14ac:dyDescent="0.3">
      <c r="A1121" t="s">
        <v>2251</v>
      </c>
      <c r="B1121" s="17">
        <v>43298</v>
      </c>
      <c r="C1121" t="s">
        <v>111</v>
      </c>
      <c r="D1121" t="s">
        <v>104</v>
      </c>
      <c r="E1121">
        <v>20</v>
      </c>
      <c r="F1121">
        <v>150</v>
      </c>
      <c r="G1121">
        <v>3000</v>
      </c>
      <c r="H1121">
        <v>0.12</v>
      </c>
      <c r="I1121" t="s">
        <v>103</v>
      </c>
      <c r="J1121">
        <v>360</v>
      </c>
      <c r="Q1121" s="22"/>
    </row>
    <row r="1122" spans="1:17" x14ac:dyDescent="0.3">
      <c r="A1122" t="s">
        <v>2252</v>
      </c>
      <c r="B1122" s="17">
        <v>43298</v>
      </c>
      <c r="C1122" t="s">
        <v>108</v>
      </c>
      <c r="D1122" t="s">
        <v>104</v>
      </c>
      <c r="E1122">
        <v>11</v>
      </c>
      <c r="F1122">
        <v>16</v>
      </c>
      <c r="G1122">
        <v>176</v>
      </c>
      <c r="H1122">
        <v>0.04</v>
      </c>
      <c r="I1122" t="s">
        <v>105</v>
      </c>
      <c r="J1122">
        <v>7.04</v>
      </c>
      <c r="Q1122" s="21"/>
    </row>
    <row r="1123" spans="1:17" x14ac:dyDescent="0.3">
      <c r="A1123" t="s">
        <v>2253</v>
      </c>
      <c r="B1123" s="17">
        <v>43298</v>
      </c>
      <c r="C1123" t="s">
        <v>101</v>
      </c>
      <c r="D1123" t="s">
        <v>109</v>
      </c>
      <c r="E1123">
        <v>7</v>
      </c>
      <c r="F1123">
        <v>230</v>
      </c>
      <c r="G1123">
        <v>1610</v>
      </c>
      <c r="H1123">
        <v>0.05</v>
      </c>
      <c r="I1123" t="s">
        <v>107</v>
      </c>
      <c r="J1123">
        <v>80.5</v>
      </c>
      <c r="Q1123" s="22"/>
    </row>
    <row r="1124" spans="1:17" x14ac:dyDescent="0.3">
      <c r="A1124" t="s">
        <v>2254</v>
      </c>
      <c r="B1124" s="17">
        <v>43298</v>
      </c>
      <c r="C1124" t="s">
        <v>98</v>
      </c>
      <c r="D1124" t="s">
        <v>99</v>
      </c>
      <c r="E1124">
        <v>14</v>
      </c>
      <c r="F1124">
        <v>40</v>
      </c>
      <c r="G1124">
        <v>560</v>
      </c>
      <c r="H1124">
        <v>0.06</v>
      </c>
      <c r="I1124" t="s">
        <v>110</v>
      </c>
      <c r="J1124">
        <v>33.6</v>
      </c>
      <c r="Q1124" s="21"/>
    </row>
    <row r="1125" spans="1:17" x14ac:dyDescent="0.3">
      <c r="A1125" t="s">
        <v>2255</v>
      </c>
      <c r="B1125" s="17">
        <v>43298</v>
      </c>
      <c r="C1125" t="s">
        <v>95</v>
      </c>
      <c r="D1125" t="s">
        <v>99</v>
      </c>
      <c r="E1125">
        <v>13</v>
      </c>
      <c r="F1125">
        <v>80</v>
      </c>
      <c r="G1125">
        <v>1040</v>
      </c>
      <c r="H1125">
        <v>0.06</v>
      </c>
      <c r="I1125" t="s">
        <v>112</v>
      </c>
      <c r="J1125">
        <v>62.4</v>
      </c>
      <c r="Q1125" s="22"/>
    </row>
    <row r="1126" spans="1:17" x14ac:dyDescent="0.3">
      <c r="A1126" t="s">
        <v>2256</v>
      </c>
      <c r="B1126" s="17">
        <v>43298</v>
      </c>
      <c r="C1126" t="s">
        <v>108</v>
      </c>
      <c r="D1126" t="s">
        <v>104</v>
      </c>
      <c r="E1126">
        <v>17</v>
      </c>
      <c r="F1126">
        <v>16</v>
      </c>
      <c r="G1126">
        <v>272</v>
      </c>
      <c r="H1126">
        <v>0.05</v>
      </c>
      <c r="I1126" t="s">
        <v>113</v>
      </c>
      <c r="J1126">
        <v>13.600000000000001</v>
      </c>
      <c r="Q1126" s="21"/>
    </row>
    <row r="1127" spans="1:17" x14ac:dyDescent="0.3">
      <c r="A1127" t="s">
        <v>2257</v>
      </c>
      <c r="B1127" s="17">
        <v>43298</v>
      </c>
      <c r="C1127" t="s">
        <v>101</v>
      </c>
      <c r="D1127" t="s">
        <v>104</v>
      </c>
      <c r="E1127">
        <v>12</v>
      </c>
      <c r="F1127">
        <v>230</v>
      </c>
      <c r="G1127">
        <v>2760</v>
      </c>
      <c r="H1127">
        <v>0.03</v>
      </c>
      <c r="I1127" t="s">
        <v>114</v>
      </c>
      <c r="J1127">
        <v>82.8</v>
      </c>
      <c r="Q1127" s="22"/>
    </row>
    <row r="1128" spans="1:17" x14ac:dyDescent="0.3">
      <c r="A1128" t="s">
        <v>2258</v>
      </c>
      <c r="B1128" s="17">
        <v>43298</v>
      </c>
      <c r="C1128" t="s">
        <v>98</v>
      </c>
      <c r="D1128" t="s">
        <v>99</v>
      </c>
      <c r="E1128">
        <v>4</v>
      </c>
      <c r="F1128">
        <v>40</v>
      </c>
      <c r="G1128">
        <v>160</v>
      </c>
      <c r="H1128">
        <v>0.12</v>
      </c>
      <c r="I1128" t="s">
        <v>115</v>
      </c>
      <c r="J1128">
        <v>19.2</v>
      </c>
      <c r="Q1128" s="21"/>
    </row>
    <row r="1129" spans="1:17" x14ac:dyDescent="0.3">
      <c r="A1129" t="s">
        <v>2259</v>
      </c>
      <c r="B1129" s="17">
        <v>43298</v>
      </c>
      <c r="C1129" t="s">
        <v>108</v>
      </c>
      <c r="D1129" t="s">
        <v>96</v>
      </c>
      <c r="E1129">
        <v>20</v>
      </c>
      <c r="F1129">
        <v>16</v>
      </c>
      <c r="G1129">
        <v>320</v>
      </c>
      <c r="H1129">
        <v>0.01</v>
      </c>
      <c r="I1129" t="s">
        <v>116</v>
      </c>
      <c r="J1129">
        <v>3.2</v>
      </c>
      <c r="Q1129" s="22"/>
    </row>
    <row r="1130" spans="1:17" x14ac:dyDescent="0.3">
      <c r="A1130" t="s">
        <v>2260</v>
      </c>
      <c r="B1130" s="17">
        <v>43298</v>
      </c>
      <c r="C1130" t="s">
        <v>95</v>
      </c>
      <c r="D1130" t="s">
        <v>106</v>
      </c>
      <c r="E1130">
        <v>8</v>
      </c>
      <c r="F1130">
        <v>80</v>
      </c>
      <c r="G1130">
        <v>640</v>
      </c>
      <c r="H1130">
        <v>0.06</v>
      </c>
      <c r="I1130" t="s">
        <v>97</v>
      </c>
      <c r="J1130">
        <v>38.4</v>
      </c>
      <c r="Q1130" s="21"/>
    </row>
    <row r="1131" spans="1:17" x14ac:dyDescent="0.3">
      <c r="A1131" t="s">
        <v>2261</v>
      </c>
      <c r="B1131" s="17">
        <v>43298</v>
      </c>
      <c r="C1131" t="s">
        <v>95</v>
      </c>
      <c r="D1131" t="s">
        <v>96</v>
      </c>
      <c r="E1131">
        <v>18</v>
      </c>
      <c r="F1131">
        <v>80</v>
      </c>
      <c r="G1131">
        <v>1440</v>
      </c>
      <c r="H1131">
        <v>0.02</v>
      </c>
      <c r="I1131" t="s">
        <v>100</v>
      </c>
      <c r="J1131">
        <v>28.8</v>
      </c>
      <c r="Q1131" s="22"/>
    </row>
    <row r="1132" spans="1:17" x14ac:dyDescent="0.3">
      <c r="A1132" t="s">
        <v>2262</v>
      </c>
      <c r="B1132" s="17">
        <v>43298</v>
      </c>
      <c r="C1132" t="s">
        <v>108</v>
      </c>
      <c r="D1132" t="s">
        <v>104</v>
      </c>
      <c r="E1132">
        <v>6</v>
      </c>
      <c r="F1132">
        <v>16</v>
      </c>
      <c r="G1132">
        <v>96</v>
      </c>
      <c r="H1132">
        <v>0.06</v>
      </c>
      <c r="I1132" t="s">
        <v>102</v>
      </c>
      <c r="J1132">
        <v>5.76</v>
      </c>
      <c r="Q1132" s="21"/>
    </row>
    <row r="1133" spans="1:17" x14ac:dyDescent="0.3">
      <c r="A1133" t="s">
        <v>2263</v>
      </c>
      <c r="B1133" s="17">
        <v>43298</v>
      </c>
      <c r="C1133" t="s">
        <v>95</v>
      </c>
      <c r="D1133" t="s">
        <v>96</v>
      </c>
      <c r="E1133">
        <v>9</v>
      </c>
      <c r="F1133">
        <v>80</v>
      </c>
      <c r="G1133">
        <v>720</v>
      </c>
      <c r="H1133">
        <v>0.04</v>
      </c>
      <c r="I1133" t="s">
        <v>103</v>
      </c>
      <c r="J1133">
        <v>28.8</v>
      </c>
      <c r="Q1133" s="22"/>
    </row>
    <row r="1134" spans="1:17" x14ac:dyDescent="0.3">
      <c r="A1134" t="s">
        <v>2264</v>
      </c>
      <c r="B1134" s="17">
        <v>43299</v>
      </c>
      <c r="C1134" t="s">
        <v>95</v>
      </c>
      <c r="D1134" t="s">
        <v>104</v>
      </c>
      <c r="E1134">
        <v>8</v>
      </c>
      <c r="F1134">
        <v>80</v>
      </c>
      <c r="G1134">
        <v>640</v>
      </c>
      <c r="H1134">
        <v>0.02</v>
      </c>
      <c r="I1134" t="s">
        <v>105</v>
      </c>
      <c r="J1134">
        <v>12.8</v>
      </c>
      <c r="Q1134" s="21"/>
    </row>
    <row r="1135" spans="1:17" x14ac:dyDescent="0.3">
      <c r="A1135" t="s">
        <v>2265</v>
      </c>
      <c r="B1135" s="17">
        <v>43299</v>
      </c>
      <c r="C1135" t="s">
        <v>111</v>
      </c>
      <c r="D1135" t="s">
        <v>106</v>
      </c>
      <c r="E1135">
        <v>6</v>
      </c>
      <c r="F1135">
        <v>150</v>
      </c>
      <c r="G1135">
        <v>900</v>
      </c>
      <c r="H1135">
        <v>0.03</v>
      </c>
      <c r="I1135" t="s">
        <v>107</v>
      </c>
      <c r="J1135">
        <v>27</v>
      </c>
      <c r="Q1135" s="22"/>
    </row>
    <row r="1136" spans="1:17" x14ac:dyDescent="0.3">
      <c r="A1136" t="s">
        <v>2266</v>
      </c>
      <c r="B1136" s="17">
        <v>43299</v>
      </c>
      <c r="C1136" t="s">
        <v>108</v>
      </c>
      <c r="D1136" t="s">
        <v>106</v>
      </c>
      <c r="E1136">
        <v>14</v>
      </c>
      <c r="F1136">
        <v>16</v>
      </c>
      <c r="G1136">
        <v>224</v>
      </c>
      <c r="H1136">
        <v>0.12</v>
      </c>
      <c r="I1136" t="s">
        <v>100</v>
      </c>
      <c r="J1136">
        <v>26.88</v>
      </c>
      <c r="Q1136" s="21"/>
    </row>
    <row r="1137" spans="1:17" x14ac:dyDescent="0.3">
      <c r="A1137" t="s">
        <v>2267</v>
      </c>
      <c r="B1137" s="17">
        <v>43299</v>
      </c>
      <c r="C1137" t="s">
        <v>95</v>
      </c>
      <c r="D1137" t="s">
        <v>104</v>
      </c>
      <c r="E1137">
        <v>6</v>
      </c>
      <c r="F1137">
        <v>80</v>
      </c>
      <c r="G1137">
        <v>480</v>
      </c>
      <c r="H1137">
        <v>0.09</v>
      </c>
      <c r="I1137" t="s">
        <v>102</v>
      </c>
      <c r="J1137">
        <v>43.199999999999996</v>
      </c>
      <c r="Q1137" s="22"/>
    </row>
    <row r="1138" spans="1:17" x14ac:dyDescent="0.3">
      <c r="A1138" t="s">
        <v>2268</v>
      </c>
      <c r="B1138" s="17">
        <v>43299</v>
      </c>
      <c r="C1138" t="s">
        <v>98</v>
      </c>
      <c r="D1138" t="s">
        <v>109</v>
      </c>
      <c r="E1138">
        <v>23</v>
      </c>
      <c r="F1138">
        <v>40</v>
      </c>
      <c r="G1138">
        <v>920</v>
      </c>
      <c r="H1138">
        <v>0.04</v>
      </c>
      <c r="I1138" t="s">
        <v>103</v>
      </c>
      <c r="J1138">
        <v>36.800000000000004</v>
      </c>
      <c r="Q1138" s="21"/>
    </row>
    <row r="1139" spans="1:17" x14ac:dyDescent="0.3">
      <c r="A1139" t="s">
        <v>2269</v>
      </c>
      <c r="B1139" s="17">
        <v>43299</v>
      </c>
      <c r="C1139" t="s">
        <v>98</v>
      </c>
      <c r="D1139" t="s">
        <v>104</v>
      </c>
      <c r="E1139">
        <v>12</v>
      </c>
      <c r="F1139">
        <v>40</v>
      </c>
      <c r="G1139">
        <v>480</v>
      </c>
      <c r="H1139">
        <v>0.02</v>
      </c>
      <c r="I1139" t="s">
        <v>105</v>
      </c>
      <c r="J1139">
        <v>9.6</v>
      </c>
      <c r="Q1139" s="22"/>
    </row>
    <row r="1140" spans="1:17" x14ac:dyDescent="0.3">
      <c r="A1140" t="s">
        <v>2270</v>
      </c>
      <c r="B1140" s="17">
        <v>43299</v>
      </c>
      <c r="C1140" t="s">
        <v>98</v>
      </c>
      <c r="D1140" t="s">
        <v>106</v>
      </c>
      <c r="E1140">
        <v>22</v>
      </c>
      <c r="F1140">
        <v>40</v>
      </c>
      <c r="G1140">
        <v>880</v>
      </c>
      <c r="H1140">
        <v>0.01</v>
      </c>
      <c r="I1140" t="s">
        <v>107</v>
      </c>
      <c r="J1140">
        <v>8.8000000000000007</v>
      </c>
      <c r="Q1140" s="21"/>
    </row>
    <row r="1141" spans="1:17" x14ac:dyDescent="0.3">
      <c r="A1141" t="s">
        <v>2271</v>
      </c>
      <c r="B1141" s="17">
        <v>43299</v>
      </c>
      <c r="C1141" t="s">
        <v>111</v>
      </c>
      <c r="D1141" t="s">
        <v>106</v>
      </c>
      <c r="E1141">
        <v>6</v>
      </c>
      <c r="F1141">
        <v>150</v>
      </c>
      <c r="G1141">
        <v>900</v>
      </c>
      <c r="H1141">
        <v>0.03</v>
      </c>
      <c r="I1141" t="s">
        <v>110</v>
      </c>
      <c r="J1141">
        <v>27</v>
      </c>
      <c r="Q1141" s="22"/>
    </row>
    <row r="1142" spans="1:17" x14ac:dyDescent="0.3">
      <c r="A1142" t="s">
        <v>2272</v>
      </c>
      <c r="B1142" s="17">
        <v>43299</v>
      </c>
      <c r="C1142" t="s">
        <v>108</v>
      </c>
      <c r="D1142" t="s">
        <v>109</v>
      </c>
      <c r="E1142">
        <v>19</v>
      </c>
      <c r="F1142">
        <v>16</v>
      </c>
      <c r="G1142">
        <v>304</v>
      </c>
      <c r="H1142">
        <v>0.02</v>
      </c>
      <c r="I1142" t="s">
        <v>112</v>
      </c>
      <c r="J1142">
        <v>6.08</v>
      </c>
      <c r="Q1142" s="21"/>
    </row>
    <row r="1143" spans="1:17" x14ac:dyDescent="0.3">
      <c r="A1143" t="s">
        <v>2273</v>
      </c>
      <c r="B1143" s="17">
        <v>43299</v>
      </c>
      <c r="C1143" t="s">
        <v>98</v>
      </c>
      <c r="D1143" t="s">
        <v>104</v>
      </c>
      <c r="E1143">
        <v>2</v>
      </c>
      <c r="F1143">
        <v>40</v>
      </c>
      <c r="G1143">
        <v>80</v>
      </c>
      <c r="H1143">
        <v>0.02</v>
      </c>
      <c r="I1143" t="s">
        <v>113</v>
      </c>
      <c r="J1143">
        <v>1.6</v>
      </c>
      <c r="Q1143" s="22"/>
    </row>
    <row r="1144" spans="1:17" x14ac:dyDescent="0.3">
      <c r="A1144" t="s">
        <v>2274</v>
      </c>
      <c r="B1144" s="17">
        <v>43300</v>
      </c>
      <c r="C1144" t="s">
        <v>98</v>
      </c>
      <c r="D1144" t="s">
        <v>106</v>
      </c>
      <c r="E1144">
        <v>22</v>
      </c>
      <c r="F1144">
        <v>40</v>
      </c>
      <c r="G1144">
        <v>880</v>
      </c>
      <c r="H1144">
        <v>0.01</v>
      </c>
      <c r="I1144" t="s">
        <v>114</v>
      </c>
      <c r="J1144">
        <v>8.8000000000000007</v>
      </c>
      <c r="Q1144" s="21"/>
    </row>
    <row r="1145" spans="1:17" x14ac:dyDescent="0.3">
      <c r="A1145" t="s">
        <v>2275</v>
      </c>
      <c r="B1145" s="17">
        <v>43300</v>
      </c>
      <c r="C1145" t="s">
        <v>101</v>
      </c>
      <c r="D1145" t="s">
        <v>106</v>
      </c>
      <c r="E1145">
        <v>3</v>
      </c>
      <c r="F1145">
        <v>230</v>
      </c>
      <c r="G1145">
        <v>690</v>
      </c>
      <c r="H1145">
        <v>0.01</v>
      </c>
      <c r="I1145" t="s">
        <v>115</v>
      </c>
      <c r="J1145">
        <v>6.9</v>
      </c>
      <c r="Q1145" s="22"/>
    </row>
    <row r="1146" spans="1:17" x14ac:dyDescent="0.3">
      <c r="A1146" t="s">
        <v>2276</v>
      </c>
      <c r="B1146" s="17">
        <v>43300</v>
      </c>
      <c r="C1146" t="s">
        <v>98</v>
      </c>
      <c r="D1146" t="s">
        <v>106</v>
      </c>
      <c r="E1146">
        <v>23</v>
      </c>
      <c r="F1146">
        <v>40</v>
      </c>
      <c r="G1146">
        <v>920</v>
      </c>
      <c r="H1146">
        <v>0.06</v>
      </c>
      <c r="I1146" t="s">
        <v>116</v>
      </c>
      <c r="J1146">
        <v>55.199999999999996</v>
      </c>
      <c r="Q1146" s="21"/>
    </row>
    <row r="1147" spans="1:17" x14ac:dyDescent="0.3">
      <c r="A1147" t="s">
        <v>2277</v>
      </c>
      <c r="B1147" s="17">
        <v>43300</v>
      </c>
      <c r="C1147" t="s">
        <v>98</v>
      </c>
      <c r="D1147" t="s">
        <v>109</v>
      </c>
      <c r="E1147">
        <v>5</v>
      </c>
      <c r="F1147">
        <v>40</v>
      </c>
      <c r="G1147">
        <v>200</v>
      </c>
      <c r="H1147">
        <v>0.03</v>
      </c>
      <c r="I1147" t="s">
        <v>97</v>
      </c>
      <c r="J1147">
        <v>6</v>
      </c>
      <c r="Q1147" s="22"/>
    </row>
    <row r="1148" spans="1:17" x14ac:dyDescent="0.3">
      <c r="A1148" t="s">
        <v>2278</v>
      </c>
      <c r="B1148" s="17">
        <v>43300</v>
      </c>
      <c r="C1148" t="s">
        <v>95</v>
      </c>
      <c r="D1148" t="s">
        <v>96</v>
      </c>
      <c r="E1148">
        <v>8</v>
      </c>
      <c r="F1148">
        <v>80</v>
      </c>
      <c r="G1148">
        <v>640</v>
      </c>
      <c r="H1148">
        <v>0.08</v>
      </c>
      <c r="I1148" t="s">
        <v>100</v>
      </c>
      <c r="J1148">
        <v>51.2</v>
      </c>
      <c r="Q1148" s="21"/>
    </row>
    <row r="1149" spans="1:17" x14ac:dyDescent="0.3">
      <c r="A1149" t="s">
        <v>2279</v>
      </c>
      <c r="B1149" s="17">
        <v>43300</v>
      </c>
      <c r="C1149" t="s">
        <v>98</v>
      </c>
      <c r="D1149" t="s">
        <v>104</v>
      </c>
      <c r="E1149">
        <v>18</v>
      </c>
      <c r="F1149">
        <v>40</v>
      </c>
      <c r="G1149">
        <v>720</v>
      </c>
      <c r="H1149">
        <v>0.03</v>
      </c>
      <c r="I1149" t="s">
        <v>102</v>
      </c>
      <c r="J1149">
        <v>21.599999999999998</v>
      </c>
      <c r="Q1149" s="22"/>
    </row>
    <row r="1150" spans="1:17" x14ac:dyDescent="0.3">
      <c r="A1150" t="s">
        <v>2280</v>
      </c>
      <c r="B1150" s="17">
        <v>43300</v>
      </c>
      <c r="C1150" t="s">
        <v>98</v>
      </c>
      <c r="D1150" t="s">
        <v>109</v>
      </c>
      <c r="E1150">
        <v>20</v>
      </c>
      <c r="F1150">
        <v>40</v>
      </c>
      <c r="G1150">
        <v>800</v>
      </c>
      <c r="H1150">
        <v>0.1</v>
      </c>
      <c r="I1150" t="s">
        <v>103</v>
      </c>
      <c r="J1150">
        <v>80</v>
      </c>
      <c r="Q1150" s="21"/>
    </row>
    <row r="1151" spans="1:17" x14ac:dyDescent="0.3">
      <c r="A1151" t="s">
        <v>2281</v>
      </c>
      <c r="B1151" s="17">
        <v>43300</v>
      </c>
      <c r="C1151" t="s">
        <v>98</v>
      </c>
      <c r="D1151" t="s">
        <v>104</v>
      </c>
      <c r="E1151">
        <v>2</v>
      </c>
      <c r="F1151">
        <v>40</v>
      </c>
      <c r="G1151">
        <v>80</v>
      </c>
      <c r="H1151">
        <v>0.03</v>
      </c>
      <c r="I1151" t="s">
        <v>105</v>
      </c>
      <c r="J1151">
        <v>2.4</v>
      </c>
      <c r="Q1151" s="22"/>
    </row>
    <row r="1152" spans="1:17" x14ac:dyDescent="0.3">
      <c r="A1152" t="s">
        <v>2282</v>
      </c>
      <c r="B1152" s="17">
        <v>43300</v>
      </c>
      <c r="C1152" t="s">
        <v>101</v>
      </c>
      <c r="D1152" t="s">
        <v>96</v>
      </c>
      <c r="E1152">
        <v>15</v>
      </c>
      <c r="F1152">
        <v>230</v>
      </c>
      <c r="G1152">
        <v>3450</v>
      </c>
      <c r="H1152">
        <v>0.05</v>
      </c>
      <c r="I1152" t="s">
        <v>107</v>
      </c>
      <c r="J1152">
        <v>172.5</v>
      </c>
      <c r="Q1152" s="21"/>
    </row>
    <row r="1153" spans="1:17" x14ac:dyDescent="0.3">
      <c r="A1153" t="s">
        <v>2283</v>
      </c>
      <c r="B1153" s="17">
        <v>43300</v>
      </c>
      <c r="C1153" t="s">
        <v>111</v>
      </c>
      <c r="D1153" t="s">
        <v>106</v>
      </c>
      <c r="E1153">
        <v>15</v>
      </c>
      <c r="F1153">
        <v>150</v>
      </c>
      <c r="G1153">
        <v>2250</v>
      </c>
      <c r="H1153">
        <v>0.08</v>
      </c>
      <c r="I1153" t="s">
        <v>100</v>
      </c>
      <c r="J1153">
        <v>180</v>
      </c>
      <c r="Q1153" s="22"/>
    </row>
    <row r="1154" spans="1:17" x14ac:dyDescent="0.3">
      <c r="A1154" t="s">
        <v>2284</v>
      </c>
      <c r="B1154" s="17">
        <v>43300</v>
      </c>
      <c r="C1154" t="s">
        <v>111</v>
      </c>
      <c r="D1154" t="s">
        <v>106</v>
      </c>
      <c r="E1154">
        <v>22</v>
      </c>
      <c r="F1154">
        <v>150</v>
      </c>
      <c r="G1154">
        <v>3300</v>
      </c>
      <c r="H1154">
        <v>0.05</v>
      </c>
      <c r="I1154" t="s">
        <v>102</v>
      </c>
      <c r="J1154">
        <v>165</v>
      </c>
      <c r="Q1154" s="21"/>
    </row>
    <row r="1155" spans="1:17" x14ac:dyDescent="0.3">
      <c r="A1155" t="s">
        <v>2285</v>
      </c>
      <c r="B1155" s="17">
        <v>43300</v>
      </c>
      <c r="C1155" t="s">
        <v>101</v>
      </c>
      <c r="D1155" t="s">
        <v>99</v>
      </c>
      <c r="E1155">
        <v>19</v>
      </c>
      <c r="F1155">
        <v>230</v>
      </c>
      <c r="G1155">
        <v>4370</v>
      </c>
      <c r="H1155">
        <v>0.11</v>
      </c>
      <c r="I1155" t="s">
        <v>103</v>
      </c>
      <c r="J1155">
        <v>480.7</v>
      </c>
      <c r="Q1155" s="22"/>
    </row>
    <row r="1156" spans="1:17" x14ac:dyDescent="0.3">
      <c r="A1156" t="s">
        <v>2286</v>
      </c>
      <c r="B1156" s="17">
        <v>43300</v>
      </c>
      <c r="C1156" t="s">
        <v>95</v>
      </c>
      <c r="D1156" t="s">
        <v>99</v>
      </c>
      <c r="E1156">
        <v>10</v>
      </c>
      <c r="F1156">
        <v>80</v>
      </c>
      <c r="G1156">
        <v>800</v>
      </c>
      <c r="H1156">
        <v>0.11</v>
      </c>
      <c r="I1156" t="s">
        <v>105</v>
      </c>
      <c r="J1156">
        <v>88</v>
      </c>
      <c r="Q1156" s="21"/>
    </row>
    <row r="1157" spans="1:17" x14ac:dyDescent="0.3">
      <c r="A1157" t="s">
        <v>2287</v>
      </c>
      <c r="B1157" s="17">
        <v>43300</v>
      </c>
      <c r="C1157" t="s">
        <v>98</v>
      </c>
      <c r="D1157" t="s">
        <v>106</v>
      </c>
      <c r="E1157">
        <v>18</v>
      </c>
      <c r="F1157">
        <v>40</v>
      </c>
      <c r="G1157">
        <v>720</v>
      </c>
      <c r="H1157">
        <v>0.06</v>
      </c>
      <c r="I1157" t="s">
        <v>107</v>
      </c>
      <c r="J1157">
        <v>43.199999999999996</v>
      </c>
      <c r="Q1157" s="22"/>
    </row>
    <row r="1158" spans="1:17" x14ac:dyDescent="0.3">
      <c r="A1158" t="s">
        <v>2288</v>
      </c>
      <c r="B1158" s="17">
        <v>43300</v>
      </c>
      <c r="C1158" t="s">
        <v>95</v>
      </c>
      <c r="D1158" t="s">
        <v>106</v>
      </c>
      <c r="E1158">
        <v>16</v>
      </c>
      <c r="F1158">
        <v>80</v>
      </c>
      <c r="G1158">
        <v>1280</v>
      </c>
      <c r="H1158">
        <v>0.05</v>
      </c>
      <c r="I1158" t="s">
        <v>110</v>
      </c>
      <c r="J1158">
        <v>64</v>
      </c>
      <c r="Q1158" s="21"/>
    </row>
    <row r="1159" spans="1:17" x14ac:dyDescent="0.3">
      <c r="A1159" t="s">
        <v>2289</v>
      </c>
      <c r="B1159" s="17">
        <v>43300</v>
      </c>
      <c r="C1159" t="s">
        <v>111</v>
      </c>
      <c r="D1159" t="s">
        <v>109</v>
      </c>
      <c r="E1159">
        <v>17</v>
      </c>
      <c r="F1159">
        <v>150</v>
      </c>
      <c r="G1159">
        <v>2550</v>
      </c>
      <c r="H1159">
        <v>0.02</v>
      </c>
      <c r="I1159" t="s">
        <v>112</v>
      </c>
      <c r="J1159">
        <v>51</v>
      </c>
      <c r="Q1159" s="22"/>
    </row>
    <row r="1160" spans="1:17" x14ac:dyDescent="0.3">
      <c r="A1160" t="s">
        <v>2290</v>
      </c>
      <c r="B1160" s="17">
        <v>43301</v>
      </c>
      <c r="C1160" t="s">
        <v>101</v>
      </c>
      <c r="D1160" t="s">
        <v>96</v>
      </c>
      <c r="E1160">
        <v>8</v>
      </c>
      <c r="F1160">
        <v>230</v>
      </c>
      <c r="G1160">
        <v>1840</v>
      </c>
      <c r="H1160">
        <v>0.03</v>
      </c>
      <c r="I1160" t="s">
        <v>113</v>
      </c>
      <c r="J1160">
        <v>55.199999999999996</v>
      </c>
      <c r="Q1160" s="21"/>
    </row>
    <row r="1161" spans="1:17" x14ac:dyDescent="0.3">
      <c r="A1161" t="s">
        <v>2291</v>
      </c>
      <c r="B1161" s="17">
        <v>43301</v>
      </c>
      <c r="C1161" t="s">
        <v>95</v>
      </c>
      <c r="D1161" t="s">
        <v>106</v>
      </c>
      <c r="E1161">
        <v>11</v>
      </c>
      <c r="F1161">
        <v>80</v>
      </c>
      <c r="G1161">
        <v>880</v>
      </c>
      <c r="H1161">
        <v>0.01</v>
      </c>
      <c r="I1161" t="s">
        <v>114</v>
      </c>
      <c r="J1161">
        <v>8.8000000000000007</v>
      </c>
      <c r="Q1161" s="22"/>
    </row>
    <row r="1162" spans="1:17" x14ac:dyDescent="0.3">
      <c r="A1162" t="s">
        <v>2292</v>
      </c>
      <c r="B1162" s="17">
        <v>43301</v>
      </c>
      <c r="C1162" t="s">
        <v>98</v>
      </c>
      <c r="D1162" t="s">
        <v>96</v>
      </c>
      <c r="E1162">
        <v>5</v>
      </c>
      <c r="F1162">
        <v>40</v>
      </c>
      <c r="G1162">
        <v>200</v>
      </c>
      <c r="H1162">
        <v>0.06</v>
      </c>
      <c r="I1162" t="s">
        <v>115</v>
      </c>
      <c r="J1162">
        <v>12</v>
      </c>
      <c r="Q1162" s="21"/>
    </row>
    <row r="1163" spans="1:17" x14ac:dyDescent="0.3">
      <c r="A1163" t="s">
        <v>2293</v>
      </c>
      <c r="B1163" s="17">
        <v>43301</v>
      </c>
      <c r="C1163" t="s">
        <v>98</v>
      </c>
      <c r="D1163" t="s">
        <v>109</v>
      </c>
      <c r="E1163">
        <v>11</v>
      </c>
      <c r="F1163">
        <v>40</v>
      </c>
      <c r="G1163">
        <v>440</v>
      </c>
      <c r="H1163">
        <v>0.05</v>
      </c>
      <c r="I1163" t="s">
        <v>116</v>
      </c>
      <c r="J1163">
        <v>22</v>
      </c>
      <c r="Q1163" s="22"/>
    </row>
    <row r="1164" spans="1:17" x14ac:dyDescent="0.3">
      <c r="A1164" t="s">
        <v>2294</v>
      </c>
      <c r="B1164" s="17">
        <v>43301</v>
      </c>
      <c r="C1164" t="s">
        <v>111</v>
      </c>
      <c r="D1164" t="s">
        <v>106</v>
      </c>
      <c r="E1164">
        <v>20</v>
      </c>
      <c r="F1164">
        <v>150</v>
      </c>
      <c r="G1164">
        <v>3000</v>
      </c>
      <c r="H1164">
        <v>0.1</v>
      </c>
      <c r="I1164" t="s">
        <v>97</v>
      </c>
      <c r="J1164">
        <v>300</v>
      </c>
      <c r="Q1164" s="21"/>
    </row>
    <row r="1165" spans="1:17" x14ac:dyDescent="0.3">
      <c r="A1165" t="s">
        <v>2295</v>
      </c>
      <c r="B1165" s="17">
        <v>43301</v>
      </c>
      <c r="C1165" t="s">
        <v>111</v>
      </c>
      <c r="D1165" t="s">
        <v>104</v>
      </c>
      <c r="E1165">
        <v>11</v>
      </c>
      <c r="F1165">
        <v>150</v>
      </c>
      <c r="G1165">
        <v>1650</v>
      </c>
      <c r="H1165">
        <v>0.11</v>
      </c>
      <c r="I1165" t="s">
        <v>100</v>
      </c>
      <c r="J1165">
        <v>181.5</v>
      </c>
      <c r="Q1165" s="22"/>
    </row>
    <row r="1166" spans="1:17" x14ac:dyDescent="0.3">
      <c r="A1166" t="s">
        <v>2296</v>
      </c>
      <c r="B1166" s="17">
        <v>43301</v>
      </c>
      <c r="C1166" t="s">
        <v>95</v>
      </c>
      <c r="D1166" t="s">
        <v>106</v>
      </c>
      <c r="E1166">
        <v>2</v>
      </c>
      <c r="F1166">
        <v>80</v>
      </c>
      <c r="G1166">
        <v>160</v>
      </c>
      <c r="H1166">
        <v>0.08</v>
      </c>
      <c r="I1166" t="s">
        <v>102</v>
      </c>
      <c r="J1166">
        <v>12.8</v>
      </c>
      <c r="Q1166" s="21"/>
    </row>
    <row r="1167" spans="1:17" x14ac:dyDescent="0.3">
      <c r="A1167" t="s">
        <v>2297</v>
      </c>
      <c r="B1167" s="17">
        <v>43301</v>
      </c>
      <c r="C1167" t="s">
        <v>111</v>
      </c>
      <c r="D1167" t="s">
        <v>99</v>
      </c>
      <c r="E1167">
        <v>16</v>
      </c>
      <c r="F1167">
        <v>150</v>
      </c>
      <c r="G1167">
        <v>2400</v>
      </c>
      <c r="H1167">
        <v>0.08</v>
      </c>
      <c r="I1167" t="s">
        <v>103</v>
      </c>
      <c r="J1167">
        <v>192</v>
      </c>
      <c r="Q1167" s="22"/>
    </row>
    <row r="1168" spans="1:17" x14ac:dyDescent="0.3">
      <c r="A1168" t="s">
        <v>2298</v>
      </c>
      <c r="B1168" s="17">
        <v>43301</v>
      </c>
      <c r="C1168" t="s">
        <v>108</v>
      </c>
      <c r="D1168" t="s">
        <v>96</v>
      </c>
      <c r="E1168">
        <v>20</v>
      </c>
      <c r="F1168">
        <v>16</v>
      </c>
      <c r="G1168">
        <v>320</v>
      </c>
      <c r="H1168">
        <v>0.11</v>
      </c>
      <c r="I1168" t="s">
        <v>105</v>
      </c>
      <c r="J1168">
        <v>35.200000000000003</v>
      </c>
      <c r="Q1168" s="21"/>
    </row>
    <row r="1169" spans="1:17" x14ac:dyDescent="0.3">
      <c r="A1169" t="s">
        <v>2299</v>
      </c>
      <c r="B1169" s="17">
        <v>43301</v>
      </c>
      <c r="C1169" t="s">
        <v>101</v>
      </c>
      <c r="D1169" t="s">
        <v>104</v>
      </c>
      <c r="E1169">
        <v>2</v>
      </c>
      <c r="F1169">
        <v>230</v>
      </c>
      <c r="G1169">
        <v>460</v>
      </c>
      <c r="H1169">
        <v>0.09</v>
      </c>
      <c r="I1169" t="s">
        <v>107</v>
      </c>
      <c r="J1169">
        <v>41.4</v>
      </c>
      <c r="Q1169" s="22"/>
    </row>
    <row r="1170" spans="1:17" x14ac:dyDescent="0.3">
      <c r="A1170" t="s">
        <v>2300</v>
      </c>
      <c r="B1170" s="17">
        <v>43301</v>
      </c>
      <c r="C1170" t="s">
        <v>111</v>
      </c>
      <c r="D1170" t="s">
        <v>96</v>
      </c>
      <c r="E1170">
        <v>20</v>
      </c>
      <c r="F1170">
        <v>150</v>
      </c>
      <c r="G1170">
        <v>3000</v>
      </c>
      <c r="H1170">
        <v>0.04</v>
      </c>
      <c r="I1170" t="s">
        <v>100</v>
      </c>
      <c r="J1170">
        <v>120</v>
      </c>
      <c r="Q1170" s="21"/>
    </row>
    <row r="1171" spans="1:17" x14ac:dyDescent="0.3">
      <c r="A1171" t="s">
        <v>2301</v>
      </c>
      <c r="B1171" s="17">
        <v>43301</v>
      </c>
      <c r="C1171" t="s">
        <v>111</v>
      </c>
      <c r="D1171" t="s">
        <v>96</v>
      </c>
      <c r="E1171">
        <v>22</v>
      </c>
      <c r="F1171">
        <v>150</v>
      </c>
      <c r="G1171">
        <v>3300</v>
      </c>
      <c r="H1171">
        <v>7.0000000000000007E-2</v>
      </c>
      <c r="I1171" t="s">
        <v>102</v>
      </c>
      <c r="J1171">
        <v>231.00000000000003</v>
      </c>
      <c r="Q1171" s="22"/>
    </row>
    <row r="1172" spans="1:17" x14ac:dyDescent="0.3">
      <c r="A1172" t="s">
        <v>2302</v>
      </c>
      <c r="B1172" s="17">
        <v>43301</v>
      </c>
      <c r="C1172" t="s">
        <v>111</v>
      </c>
      <c r="D1172" t="s">
        <v>104</v>
      </c>
      <c r="E1172">
        <v>22</v>
      </c>
      <c r="F1172">
        <v>150</v>
      </c>
      <c r="G1172">
        <v>3300</v>
      </c>
      <c r="H1172">
        <v>0.04</v>
      </c>
      <c r="I1172" t="s">
        <v>103</v>
      </c>
      <c r="J1172">
        <v>132</v>
      </c>
      <c r="Q1172" s="21"/>
    </row>
    <row r="1173" spans="1:17" x14ac:dyDescent="0.3">
      <c r="A1173" t="s">
        <v>2303</v>
      </c>
      <c r="B1173" s="17">
        <v>43301</v>
      </c>
      <c r="C1173" t="s">
        <v>98</v>
      </c>
      <c r="D1173" t="s">
        <v>96</v>
      </c>
      <c r="E1173">
        <v>23</v>
      </c>
      <c r="F1173">
        <v>40</v>
      </c>
      <c r="G1173">
        <v>920</v>
      </c>
      <c r="H1173">
        <v>7.0000000000000007E-2</v>
      </c>
      <c r="I1173" t="s">
        <v>105</v>
      </c>
      <c r="J1173">
        <v>64.400000000000006</v>
      </c>
      <c r="Q1173" s="22"/>
    </row>
    <row r="1174" spans="1:17" x14ac:dyDescent="0.3">
      <c r="A1174" t="s">
        <v>2304</v>
      </c>
      <c r="B1174" s="17">
        <v>43302</v>
      </c>
      <c r="C1174" t="s">
        <v>108</v>
      </c>
      <c r="D1174" t="s">
        <v>104</v>
      </c>
      <c r="E1174">
        <v>11</v>
      </c>
      <c r="F1174">
        <v>16</v>
      </c>
      <c r="G1174">
        <v>176</v>
      </c>
      <c r="H1174">
        <v>0.04</v>
      </c>
      <c r="I1174" t="s">
        <v>107</v>
      </c>
      <c r="J1174">
        <v>7.04</v>
      </c>
      <c r="Q1174" s="21"/>
    </row>
    <row r="1175" spans="1:17" x14ac:dyDescent="0.3">
      <c r="A1175" t="s">
        <v>2305</v>
      </c>
      <c r="B1175" s="17">
        <v>43302</v>
      </c>
      <c r="C1175" t="s">
        <v>101</v>
      </c>
      <c r="D1175" t="s">
        <v>99</v>
      </c>
      <c r="E1175">
        <v>11</v>
      </c>
      <c r="F1175">
        <v>230</v>
      </c>
      <c r="G1175">
        <v>2530</v>
      </c>
      <c r="H1175">
        <v>0.1</v>
      </c>
      <c r="I1175" t="s">
        <v>110</v>
      </c>
      <c r="J1175">
        <v>253</v>
      </c>
      <c r="Q1175" s="22"/>
    </row>
    <row r="1176" spans="1:17" x14ac:dyDescent="0.3">
      <c r="A1176" t="s">
        <v>2306</v>
      </c>
      <c r="B1176" s="17">
        <v>43302</v>
      </c>
      <c r="C1176" t="s">
        <v>101</v>
      </c>
      <c r="D1176" t="s">
        <v>96</v>
      </c>
      <c r="E1176">
        <v>7</v>
      </c>
      <c r="F1176">
        <v>230</v>
      </c>
      <c r="G1176">
        <v>1610</v>
      </c>
      <c r="H1176">
        <v>0.08</v>
      </c>
      <c r="I1176" t="s">
        <v>112</v>
      </c>
      <c r="J1176">
        <v>128.80000000000001</v>
      </c>
      <c r="Q1176" s="21"/>
    </row>
    <row r="1177" spans="1:17" x14ac:dyDescent="0.3">
      <c r="A1177" t="s">
        <v>2307</v>
      </c>
      <c r="B1177" s="17">
        <v>43302</v>
      </c>
      <c r="C1177" t="s">
        <v>101</v>
      </c>
      <c r="D1177" t="s">
        <v>106</v>
      </c>
      <c r="E1177">
        <v>16</v>
      </c>
      <c r="F1177">
        <v>230</v>
      </c>
      <c r="G1177">
        <v>3680</v>
      </c>
      <c r="H1177">
        <v>0.11</v>
      </c>
      <c r="I1177" t="s">
        <v>114</v>
      </c>
      <c r="J1177">
        <v>404.8</v>
      </c>
      <c r="Q1177" s="22"/>
    </row>
    <row r="1178" spans="1:17" x14ac:dyDescent="0.3">
      <c r="A1178" t="s">
        <v>2308</v>
      </c>
      <c r="B1178" s="17">
        <v>43302</v>
      </c>
      <c r="C1178" t="s">
        <v>101</v>
      </c>
      <c r="D1178" t="s">
        <v>109</v>
      </c>
      <c r="E1178">
        <v>20</v>
      </c>
      <c r="F1178">
        <v>230</v>
      </c>
      <c r="G1178">
        <v>4600</v>
      </c>
      <c r="H1178">
        <v>0.09</v>
      </c>
      <c r="I1178" t="s">
        <v>115</v>
      </c>
      <c r="J1178">
        <v>414</v>
      </c>
      <c r="Q1178" s="21"/>
    </row>
    <row r="1179" spans="1:17" x14ac:dyDescent="0.3">
      <c r="A1179" t="s">
        <v>2309</v>
      </c>
      <c r="B1179" s="17">
        <v>43302</v>
      </c>
      <c r="C1179" t="s">
        <v>98</v>
      </c>
      <c r="D1179" t="s">
        <v>104</v>
      </c>
      <c r="E1179">
        <v>20</v>
      </c>
      <c r="F1179">
        <v>40</v>
      </c>
      <c r="G1179">
        <v>800</v>
      </c>
      <c r="H1179">
        <v>0.01</v>
      </c>
      <c r="I1179" t="s">
        <v>116</v>
      </c>
      <c r="J1179">
        <v>8</v>
      </c>
      <c r="Q1179" s="22"/>
    </row>
    <row r="1180" spans="1:17" x14ac:dyDescent="0.3">
      <c r="A1180" t="s">
        <v>2310</v>
      </c>
      <c r="B1180" s="17">
        <v>43302</v>
      </c>
      <c r="C1180" t="s">
        <v>95</v>
      </c>
      <c r="D1180" t="s">
        <v>96</v>
      </c>
      <c r="E1180">
        <v>20</v>
      </c>
      <c r="F1180">
        <v>80</v>
      </c>
      <c r="G1180">
        <v>1600</v>
      </c>
      <c r="H1180">
        <v>0.01</v>
      </c>
      <c r="I1180" t="s">
        <v>97</v>
      </c>
      <c r="J1180">
        <v>16</v>
      </c>
      <c r="Q1180" s="21"/>
    </row>
    <row r="1181" spans="1:17" x14ac:dyDescent="0.3">
      <c r="A1181" t="s">
        <v>2311</v>
      </c>
      <c r="B1181" s="17">
        <v>43302</v>
      </c>
      <c r="C1181" t="s">
        <v>111</v>
      </c>
      <c r="D1181" t="s">
        <v>96</v>
      </c>
      <c r="E1181">
        <v>5</v>
      </c>
      <c r="F1181">
        <v>150</v>
      </c>
      <c r="G1181">
        <v>750</v>
      </c>
      <c r="H1181">
        <v>0.11</v>
      </c>
      <c r="I1181" t="s">
        <v>100</v>
      </c>
      <c r="J1181">
        <v>82.5</v>
      </c>
      <c r="Q1181" s="22"/>
    </row>
    <row r="1182" spans="1:17" x14ac:dyDescent="0.3">
      <c r="A1182" t="s">
        <v>2312</v>
      </c>
      <c r="B1182" s="17">
        <v>43303</v>
      </c>
      <c r="C1182" t="s">
        <v>98</v>
      </c>
      <c r="D1182" t="s">
        <v>104</v>
      </c>
      <c r="E1182">
        <v>4</v>
      </c>
      <c r="F1182">
        <v>40</v>
      </c>
      <c r="G1182">
        <v>160</v>
      </c>
      <c r="H1182">
        <v>0.11</v>
      </c>
      <c r="I1182" t="s">
        <v>102</v>
      </c>
      <c r="J1182">
        <v>17.600000000000001</v>
      </c>
      <c r="Q1182" s="21"/>
    </row>
    <row r="1183" spans="1:17" x14ac:dyDescent="0.3">
      <c r="A1183" t="s">
        <v>2313</v>
      </c>
      <c r="B1183" s="17">
        <v>43303</v>
      </c>
      <c r="C1183" t="s">
        <v>108</v>
      </c>
      <c r="D1183" t="s">
        <v>96</v>
      </c>
      <c r="E1183">
        <v>7</v>
      </c>
      <c r="F1183">
        <v>16</v>
      </c>
      <c r="G1183">
        <v>112</v>
      </c>
      <c r="H1183">
        <v>0.12</v>
      </c>
      <c r="I1183" t="s">
        <v>103</v>
      </c>
      <c r="J1183">
        <v>13.44</v>
      </c>
      <c r="Q1183" s="22"/>
    </row>
    <row r="1184" spans="1:17" x14ac:dyDescent="0.3">
      <c r="A1184" t="s">
        <v>2314</v>
      </c>
      <c r="B1184" s="17">
        <v>43303</v>
      </c>
      <c r="C1184" t="s">
        <v>108</v>
      </c>
      <c r="D1184" t="s">
        <v>99</v>
      </c>
      <c r="E1184">
        <v>22</v>
      </c>
      <c r="F1184">
        <v>16</v>
      </c>
      <c r="G1184">
        <v>352</v>
      </c>
      <c r="H1184">
        <v>0.01</v>
      </c>
      <c r="I1184" t="s">
        <v>105</v>
      </c>
      <c r="J1184">
        <v>3.52</v>
      </c>
      <c r="Q1184" s="21"/>
    </row>
    <row r="1185" spans="1:17" x14ac:dyDescent="0.3">
      <c r="A1185" t="s">
        <v>2315</v>
      </c>
      <c r="B1185" s="17">
        <v>43303</v>
      </c>
      <c r="C1185" t="s">
        <v>98</v>
      </c>
      <c r="D1185" t="s">
        <v>106</v>
      </c>
      <c r="E1185">
        <v>15</v>
      </c>
      <c r="F1185">
        <v>40</v>
      </c>
      <c r="G1185">
        <v>600</v>
      </c>
      <c r="H1185">
        <v>0.03</v>
      </c>
      <c r="I1185" t="s">
        <v>107</v>
      </c>
      <c r="J1185">
        <v>18</v>
      </c>
      <c r="Q1185" s="22"/>
    </row>
    <row r="1186" spans="1:17" x14ac:dyDescent="0.3">
      <c r="A1186" t="s">
        <v>2316</v>
      </c>
      <c r="B1186" s="17">
        <v>43303</v>
      </c>
      <c r="C1186" t="s">
        <v>95</v>
      </c>
      <c r="D1186" t="s">
        <v>99</v>
      </c>
      <c r="E1186">
        <v>14</v>
      </c>
      <c r="F1186">
        <v>80</v>
      </c>
      <c r="G1186">
        <v>1120</v>
      </c>
      <c r="H1186">
        <v>0.11</v>
      </c>
      <c r="I1186" t="s">
        <v>100</v>
      </c>
      <c r="J1186">
        <v>123.2</v>
      </c>
      <c r="Q1186" s="21"/>
    </row>
    <row r="1187" spans="1:17" x14ac:dyDescent="0.3">
      <c r="A1187" t="s">
        <v>2317</v>
      </c>
      <c r="B1187" s="17">
        <v>43303</v>
      </c>
      <c r="C1187" t="s">
        <v>108</v>
      </c>
      <c r="D1187" t="s">
        <v>99</v>
      </c>
      <c r="E1187">
        <v>15</v>
      </c>
      <c r="F1187">
        <v>16</v>
      </c>
      <c r="G1187">
        <v>240</v>
      </c>
      <c r="H1187">
        <v>0.02</v>
      </c>
      <c r="I1187" t="s">
        <v>102</v>
      </c>
      <c r="J1187">
        <v>4.8</v>
      </c>
      <c r="Q1187" s="22"/>
    </row>
    <row r="1188" spans="1:17" x14ac:dyDescent="0.3">
      <c r="A1188" t="s">
        <v>2318</v>
      </c>
      <c r="B1188" s="17">
        <v>43304</v>
      </c>
      <c r="C1188" t="s">
        <v>95</v>
      </c>
      <c r="D1188" t="s">
        <v>106</v>
      </c>
      <c r="E1188">
        <v>19</v>
      </c>
      <c r="F1188">
        <v>80</v>
      </c>
      <c r="G1188">
        <v>1520</v>
      </c>
      <c r="H1188">
        <v>0.02</v>
      </c>
      <c r="I1188" t="s">
        <v>103</v>
      </c>
      <c r="J1188">
        <v>30.400000000000002</v>
      </c>
      <c r="Q1188" s="21"/>
    </row>
    <row r="1189" spans="1:17" x14ac:dyDescent="0.3">
      <c r="A1189" t="s">
        <v>2319</v>
      </c>
      <c r="B1189" s="17">
        <v>43304</v>
      </c>
      <c r="C1189" t="s">
        <v>98</v>
      </c>
      <c r="D1189" t="s">
        <v>109</v>
      </c>
      <c r="E1189">
        <v>20</v>
      </c>
      <c r="F1189">
        <v>40</v>
      </c>
      <c r="G1189">
        <v>800</v>
      </c>
      <c r="H1189">
        <v>0.05</v>
      </c>
      <c r="I1189" t="s">
        <v>105</v>
      </c>
      <c r="J1189">
        <v>40</v>
      </c>
      <c r="Q1189" s="22"/>
    </row>
    <row r="1190" spans="1:17" x14ac:dyDescent="0.3">
      <c r="A1190" t="s">
        <v>2320</v>
      </c>
      <c r="B1190" s="17">
        <v>43304</v>
      </c>
      <c r="C1190" t="s">
        <v>98</v>
      </c>
      <c r="D1190" t="s">
        <v>106</v>
      </c>
      <c r="E1190">
        <v>11</v>
      </c>
      <c r="F1190">
        <v>40</v>
      </c>
      <c r="G1190">
        <v>440</v>
      </c>
      <c r="H1190">
        <v>0.06</v>
      </c>
      <c r="I1190" t="s">
        <v>107</v>
      </c>
      <c r="J1190">
        <v>26.4</v>
      </c>
      <c r="Q1190" s="21"/>
    </row>
    <row r="1191" spans="1:17" x14ac:dyDescent="0.3">
      <c r="A1191" t="s">
        <v>2321</v>
      </c>
      <c r="B1191" s="17">
        <v>43304</v>
      </c>
      <c r="C1191" t="s">
        <v>111</v>
      </c>
      <c r="D1191" t="s">
        <v>104</v>
      </c>
      <c r="E1191">
        <v>11</v>
      </c>
      <c r="F1191">
        <v>150</v>
      </c>
      <c r="G1191">
        <v>1650</v>
      </c>
      <c r="H1191">
        <v>0.05</v>
      </c>
      <c r="I1191" t="s">
        <v>110</v>
      </c>
      <c r="J1191">
        <v>82.5</v>
      </c>
      <c r="Q1191" s="22"/>
    </row>
    <row r="1192" spans="1:17" x14ac:dyDescent="0.3">
      <c r="A1192" t="s">
        <v>2322</v>
      </c>
      <c r="B1192" s="17">
        <v>43304</v>
      </c>
      <c r="C1192" t="s">
        <v>95</v>
      </c>
      <c r="D1192" t="s">
        <v>106</v>
      </c>
      <c r="E1192">
        <v>23</v>
      </c>
      <c r="F1192">
        <v>80</v>
      </c>
      <c r="G1192">
        <v>1840</v>
      </c>
      <c r="H1192">
        <v>0.11</v>
      </c>
      <c r="I1192" t="s">
        <v>112</v>
      </c>
      <c r="J1192">
        <v>202.4</v>
      </c>
      <c r="Q1192" s="21"/>
    </row>
    <row r="1193" spans="1:17" x14ac:dyDescent="0.3">
      <c r="A1193" t="s">
        <v>2323</v>
      </c>
      <c r="B1193" s="17">
        <v>43304</v>
      </c>
      <c r="C1193" t="s">
        <v>95</v>
      </c>
      <c r="D1193" t="s">
        <v>96</v>
      </c>
      <c r="E1193">
        <v>8</v>
      </c>
      <c r="F1193">
        <v>80</v>
      </c>
      <c r="G1193">
        <v>640</v>
      </c>
      <c r="H1193">
        <v>0.09</v>
      </c>
      <c r="I1193" t="s">
        <v>113</v>
      </c>
      <c r="J1193">
        <v>57.599999999999994</v>
      </c>
      <c r="Q1193" s="22"/>
    </row>
    <row r="1194" spans="1:17" x14ac:dyDescent="0.3">
      <c r="A1194" t="s">
        <v>2324</v>
      </c>
      <c r="B1194" s="17">
        <v>43304</v>
      </c>
      <c r="C1194" t="s">
        <v>98</v>
      </c>
      <c r="D1194" t="s">
        <v>106</v>
      </c>
      <c r="E1194">
        <v>9</v>
      </c>
      <c r="F1194">
        <v>40</v>
      </c>
      <c r="G1194">
        <v>360</v>
      </c>
      <c r="H1194">
        <v>0.06</v>
      </c>
      <c r="I1194" t="s">
        <v>114</v>
      </c>
      <c r="J1194">
        <v>21.599999999999998</v>
      </c>
      <c r="Q1194" s="21"/>
    </row>
    <row r="1195" spans="1:17" x14ac:dyDescent="0.3">
      <c r="A1195" t="s">
        <v>2325</v>
      </c>
      <c r="B1195" s="17">
        <v>43304</v>
      </c>
      <c r="C1195" t="s">
        <v>101</v>
      </c>
      <c r="D1195" t="s">
        <v>109</v>
      </c>
      <c r="E1195">
        <v>13</v>
      </c>
      <c r="F1195">
        <v>230</v>
      </c>
      <c r="G1195">
        <v>2990</v>
      </c>
      <c r="H1195">
        <v>0.06</v>
      </c>
      <c r="I1195" t="s">
        <v>115</v>
      </c>
      <c r="J1195">
        <v>179.4</v>
      </c>
      <c r="Q1195" s="22"/>
    </row>
    <row r="1196" spans="1:17" x14ac:dyDescent="0.3">
      <c r="A1196" t="s">
        <v>2326</v>
      </c>
      <c r="B1196" s="17">
        <v>43304</v>
      </c>
      <c r="C1196" t="s">
        <v>98</v>
      </c>
      <c r="D1196" t="s">
        <v>106</v>
      </c>
      <c r="E1196">
        <v>22</v>
      </c>
      <c r="F1196">
        <v>40</v>
      </c>
      <c r="G1196">
        <v>880</v>
      </c>
      <c r="H1196">
        <v>0.01</v>
      </c>
      <c r="I1196" t="s">
        <v>116</v>
      </c>
      <c r="J1196">
        <v>8.8000000000000007</v>
      </c>
      <c r="Q1196" s="21"/>
    </row>
    <row r="1197" spans="1:17" x14ac:dyDescent="0.3">
      <c r="A1197" t="s">
        <v>2327</v>
      </c>
      <c r="B1197" s="17">
        <v>43304</v>
      </c>
      <c r="C1197" t="s">
        <v>108</v>
      </c>
      <c r="D1197" t="s">
        <v>109</v>
      </c>
      <c r="E1197">
        <v>14</v>
      </c>
      <c r="F1197">
        <v>16</v>
      </c>
      <c r="G1197">
        <v>224</v>
      </c>
      <c r="H1197">
        <v>0.06</v>
      </c>
      <c r="I1197" t="s">
        <v>97</v>
      </c>
      <c r="J1197">
        <v>13.44</v>
      </c>
      <c r="Q1197" s="22"/>
    </row>
    <row r="1198" spans="1:17" x14ac:dyDescent="0.3">
      <c r="A1198" t="s">
        <v>2328</v>
      </c>
      <c r="B1198" s="17">
        <v>43305</v>
      </c>
      <c r="C1198" t="s">
        <v>95</v>
      </c>
      <c r="D1198" t="s">
        <v>99</v>
      </c>
      <c r="E1198">
        <v>5</v>
      </c>
      <c r="F1198">
        <v>80</v>
      </c>
      <c r="G1198">
        <v>400</v>
      </c>
      <c r="H1198">
        <v>0.04</v>
      </c>
      <c r="I1198" t="s">
        <v>100</v>
      </c>
      <c r="J1198">
        <v>16</v>
      </c>
      <c r="Q1198" s="21"/>
    </row>
    <row r="1199" spans="1:17" x14ac:dyDescent="0.3">
      <c r="A1199" t="s">
        <v>2329</v>
      </c>
      <c r="B1199" s="17">
        <v>43305</v>
      </c>
      <c r="C1199" t="s">
        <v>111</v>
      </c>
      <c r="D1199" t="s">
        <v>109</v>
      </c>
      <c r="E1199">
        <v>18</v>
      </c>
      <c r="F1199">
        <v>150</v>
      </c>
      <c r="G1199">
        <v>2700</v>
      </c>
      <c r="H1199">
        <v>0.12</v>
      </c>
      <c r="I1199" t="s">
        <v>102</v>
      </c>
      <c r="J1199">
        <v>324</v>
      </c>
      <c r="Q1199" s="22"/>
    </row>
    <row r="1200" spans="1:17" x14ac:dyDescent="0.3">
      <c r="A1200" t="s">
        <v>2330</v>
      </c>
      <c r="B1200" s="17">
        <v>43305</v>
      </c>
      <c r="C1200" t="s">
        <v>101</v>
      </c>
      <c r="D1200" t="s">
        <v>104</v>
      </c>
      <c r="E1200">
        <v>14</v>
      </c>
      <c r="F1200">
        <v>230</v>
      </c>
      <c r="G1200">
        <v>3220</v>
      </c>
      <c r="H1200">
        <v>0.12</v>
      </c>
      <c r="I1200" t="s">
        <v>103</v>
      </c>
      <c r="J1200">
        <v>386.4</v>
      </c>
      <c r="Q1200" s="21"/>
    </row>
    <row r="1201" spans="1:17" x14ac:dyDescent="0.3">
      <c r="A1201" t="s">
        <v>2331</v>
      </c>
      <c r="B1201" s="17">
        <v>43305</v>
      </c>
      <c r="C1201" t="s">
        <v>101</v>
      </c>
      <c r="D1201" t="s">
        <v>109</v>
      </c>
      <c r="E1201">
        <v>20</v>
      </c>
      <c r="F1201">
        <v>230</v>
      </c>
      <c r="G1201">
        <v>4600</v>
      </c>
      <c r="H1201">
        <v>0.11</v>
      </c>
      <c r="I1201" t="s">
        <v>105</v>
      </c>
      <c r="J1201">
        <v>506</v>
      </c>
      <c r="Q1201" s="22"/>
    </row>
    <row r="1202" spans="1:17" x14ac:dyDescent="0.3">
      <c r="A1202" t="s">
        <v>2332</v>
      </c>
      <c r="B1202" s="17">
        <v>43305</v>
      </c>
      <c r="C1202" t="s">
        <v>108</v>
      </c>
      <c r="D1202" t="s">
        <v>109</v>
      </c>
      <c r="E1202">
        <v>3</v>
      </c>
      <c r="F1202">
        <v>16</v>
      </c>
      <c r="G1202">
        <v>48</v>
      </c>
      <c r="H1202">
        <v>0.03</v>
      </c>
      <c r="I1202" t="s">
        <v>107</v>
      </c>
      <c r="J1202">
        <v>1.44</v>
      </c>
      <c r="Q1202" s="21"/>
    </row>
    <row r="1203" spans="1:17" x14ac:dyDescent="0.3">
      <c r="A1203" t="s">
        <v>2333</v>
      </c>
      <c r="B1203" s="17">
        <v>43305</v>
      </c>
      <c r="C1203" t="s">
        <v>101</v>
      </c>
      <c r="D1203" t="s">
        <v>104</v>
      </c>
      <c r="E1203">
        <v>20</v>
      </c>
      <c r="F1203">
        <v>230</v>
      </c>
      <c r="G1203">
        <v>4600</v>
      </c>
      <c r="H1203">
        <v>0.06</v>
      </c>
      <c r="I1203" t="s">
        <v>100</v>
      </c>
      <c r="J1203">
        <v>276</v>
      </c>
      <c r="Q1203" s="22"/>
    </row>
    <row r="1204" spans="1:17" x14ac:dyDescent="0.3">
      <c r="A1204" t="s">
        <v>2334</v>
      </c>
      <c r="B1204" s="17">
        <v>43305</v>
      </c>
      <c r="C1204" t="s">
        <v>95</v>
      </c>
      <c r="D1204" t="s">
        <v>109</v>
      </c>
      <c r="E1204">
        <v>9</v>
      </c>
      <c r="F1204">
        <v>80</v>
      </c>
      <c r="G1204">
        <v>720</v>
      </c>
      <c r="H1204">
        <v>0.02</v>
      </c>
      <c r="I1204" t="s">
        <v>102</v>
      </c>
      <c r="J1204">
        <v>14.4</v>
      </c>
      <c r="Q1204" s="21"/>
    </row>
    <row r="1205" spans="1:17" x14ac:dyDescent="0.3">
      <c r="A1205" t="s">
        <v>2335</v>
      </c>
      <c r="B1205" s="17">
        <v>43305</v>
      </c>
      <c r="C1205" t="s">
        <v>108</v>
      </c>
      <c r="D1205" t="s">
        <v>106</v>
      </c>
      <c r="E1205">
        <v>22</v>
      </c>
      <c r="F1205">
        <v>16</v>
      </c>
      <c r="G1205">
        <v>352</v>
      </c>
      <c r="H1205">
        <v>0.03</v>
      </c>
      <c r="I1205" t="s">
        <v>103</v>
      </c>
      <c r="J1205">
        <v>10.559999999999999</v>
      </c>
      <c r="Q1205" s="22"/>
    </row>
    <row r="1206" spans="1:17" x14ac:dyDescent="0.3">
      <c r="A1206" t="s">
        <v>2336</v>
      </c>
      <c r="B1206" s="17">
        <v>43305</v>
      </c>
      <c r="C1206" t="s">
        <v>95</v>
      </c>
      <c r="D1206" t="s">
        <v>99</v>
      </c>
      <c r="E1206">
        <v>15</v>
      </c>
      <c r="F1206">
        <v>80</v>
      </c>
      <c r="G1206">
        <v>1200</v>
      </c>
      <c r="H1206">
        <v>0.12</v>
      </c>
      <c r="I1206" t="s">
        <v>105</v>
      </c>
      <c r="J1206">
        <v>144</v>
      </c>
      <c r="Q1206" s="21"/>
    </row>
    <row r="1207" spans="1:17" x14ac:dyDescent="0.3">
      <c r="A1207" t="s">
        <v>2337</v>
      </c>
      <c r="B1207" s="17">
        <v>43305</v>
      </c>
      <c r="C1207" t="s">
        <v>111</v>
      </c>
      <c r="D1207" t="s">
        <v>96</v>
      </c>
      <c r="E1207">
        <v>11</v>
      </c>
      <c r="F1207">
        <v>150</v>
      </c>
      <c r="G1207">
        <v>1650</v>
      </c>
      <c r="H1207">
        <v>0.05</v>
      </c>
      <c r="I1207" t="s">
        <v>107</v>
      </c>
      <c r="J1207">
        <v>82.5</v>
      </c>
      <c r="Q1207" s="22"/>
    </row>
    <row r="1208" spans="1:17" x14ac:dyDescent="0.3">
      <c r="A1208" t="s">
        <v>2338</v>
      </c>
      <c r="B1208" s="17">
        <v>43305</v>
      </c>
      <c r="C1208" t="s">
        <v>101</v>
      </c>
      <c r="D1208" t="s">
        <v>106</v>
      </c>
      <c r="E1208">
        <v>11</v>
      </c>
      <c r="F1208">
        <v>230</v>
      </c>
      <c r="G1208">
        <v>2530</v>
      </c>
      <c r="H1208">
        <v>0.12</v>
      </c>
      <c r="I1208" t="s">
        <v>110</v>
      </c>
      <c r="J1208">
        <v>303.59999999999997</v>
      </c>
      <c r="Q1208" s="21"/>
    </row>
    <row r="1209" spans="1:17" x14ac:dyDescent="0.3">
      <c r="A1209" t="s">
        <v>2339</v>
      </c>
      <c r="B1209" s="17">
        <v>43305</v>
      </c>
      <c r="C1209" t="s">
        <v>111</v>
      </c>
      <c r="D1209" t="s">
        <v>96</v>
      </c>
      <c r="E1209">
        <v>20</v>
      </c>
      <c r="F1209">
        <v>150</v>
      </c>
      <c r="G1209">
        <v>3000</v>
      </c>
      <c r="H1209">
        <v>0.01</v>
      </c>
      <c r="I1209" t="s">
        <v>112</v>
      </c>
      <c r="J1209">
        <v>30</v>
      </c>
      <c r="Q1209" s="22"/>
    </row>
    <row r="1210" spans="1:17" x14ac:dyDescent="0.3">
      <c r="A1210" t="s">
        <v>2340</v>
      </c>
      <c r="B1210" s="17">
        <v>43305</v>
      </c>
      <c r="C1210" t="s">
        <v>98</v>
      </c>
      <c r="D1210" t="s">
        <v>104</v>
      </c>
      <c r="E1210">
        <v>11</v>
      </c>
      <c r="F1210">
        <v>40</v>
      </c>
      <c r="G1210">
        <v>440</v>
      </c>
      <c r="H1210">
        <v>0.12</v>
      </c>
      <c r="I1210" t="s">
        <v>113</v>
      </c>
      <c r="J1210">
        <v>52.8</v>
      </c>
      <c r="Q1210" s="21"/>
    </row>
    <row r="1211" spans="1:17" x14ac:dyDescent="0.3">
      <c r="A1211" t="s">
        <v>2341</v>
      </c>
      <c r="B1211" s="17">
        <v>43306</v>
      </c>
      <c r="C1211" t="s">
        <v>101</v>
      </c>
      <c r="D1211" t="s">
        <v>104</v>
      </c>
      <c r="E1211">
        <v>12</v>
      </c>
      <c r="F1211">
        <v>230</v>
      </c>
      <c r="G1211">
        <v>2760</v>
      </c>
      <c r="H1211">
        <v>0.06</v>
      </c>
      <c r="I1211" t="s">
        <v>114</v>
      </c>
      <c r="J1211">
        <v>165.6</v>
      </c>
      <c r="Q1211" s="22"/>
    </row>
    <row r="1212" spans="1:17" x14ac:dyDescent="0.3">
      <c r="A1212" t="s">
        <v>2342</v>
      </c>
      <c r="B1212" s="17">
        <v>43306</v>
      </c>
      <c r="C1212" t="s">
        <v>98</v>
      </c>
      <c r="D1212" t="s">
        <v>96</v>
      </c>
      <c r="E1212">
        <v>15</v>
      </c>
      <c r="F1212">
        <v>40</v>
      </c>
      <c r="G1212">
        <v>600</v>
      </c>
      <c r="H1212">
        <v>0.06</v>
      </c>
      <c r="I1212" t="s">
        <v>115</v>
      </c>
      <c r="J1212">
        <v>36</v>
      </c>
      <c r="Q1212" s="21"/>
    </row>
    <row r="1213" spans="1:17" x14ac:dyDescent="0.3">
      <c r="A1213" t="s">
        <v>2343</v>
      </c>
      <c r="B1213" s="17">
        <v>43306</v>
      </c>
      <c r="C1213" t="s">
        <v>98</v>
      </c>
      <c r="D1213" t="s">
        <v>106</v>
      </c>
      <c r="E1213">
        <v>13</v>
      </c>
      <c r="F1213">
        <v>40</v>
      </c>
      <c r="G1213">
        <v>520</v>
      </c>
      <c r="H1213">
        <v>0.09</v>
      </c>
      <c r="I1213" t="s">
        <v>116</v>
      </c>
      <c r="J1213">
        <v>46.8</v>
      </c>
      <c r="Q1213" s="22"/>
    </row>
    <row r="1214" spans="1:17" x14ac:dyDescent="0.3">
      <c r="A1214" t="s">
        <v>2344</v>
      </c>
      <c r="B1214" s="17">
        <v>43306</v>
      </c>
      <c r="C1214" t="s">
        <v>98</v>
      </c>
      <c r="D1214" t="s">
        <v>109</v>
      </c>
      <c r="E1214">
        <v>4</v>
      </c>
      <c r="F1214">
        <v>40</v>
      </c>
      <c r="G1214">
        <v>160</v>
      </c>
      <c r="H1214">
        <v>0.09</v>
      </c>
      <c r="I1214" t="s">
        <v>97</v>
      </c>
      <c r="J1214">
        <v>14.399999999999999</v>
      </c>
      <c r="Q1214" s="21"/>
    </row>
    <row r="1215" spans="1:17" x14ac:dyDescent="0.3">
      <c r="A1215" t="s">
        <v>2345</v>
      </c>
      <c r="B1215" s="17">
        <v>43306</v>
      </c>
      <c r="C1215" t="s">
        <v>101</v>
      </c>
      <c r="D1215" t="s">
        <v>106</v>
      </c>
      <c r="E1215">
        <v>18</v>
      </c>
      <c r="F1215">
        <v>230</v>
      </c>
      <c r="G1215">
        <v>4140</v>
      </c>
      <c r="H1215">
        <v>0.01</v>
      </c>
      <c r="I1215" t="s">
        <v>100</v>
      </c>
      <c r="J1215">
        <v>41.4</v>
      </c>
      <c r="Q1215" s="22"/>
    </row>
    <row r="1216" spans="1:17" x14ac:dyDescent="0.3">
      <c r="A1216" t="s">
        <v>2346</v>
      </c>
      <c r="B1216" s="17">
        <v>43306</v>
      </c>
      <c r="C1216" t="s">
        <v>108</v>
      </c>
      <c r="D1216" t="s">
        <v>96</v>
      </c>
      <c r="E1216">
        <v>7</v>
      </c>
      <c r="F1216">
        <v>16</v>
      </c>
      <c r="G1216">
        <v>112</v>
      </c>
      <c r="H1216">
        <v>0.02</v>
      </c>
      <c r="I1216" t="s">
        <v>102</v>
      </c>
      <c r="J1216">
        <v>2.2400000000000002</v>
      </c>
      <c r="Q1216" s="21"/>
    </row>
    <row r="1217" spans="1:17" x14ac:dyDescent="0.3">
      <c r="A1217" t="s">
        <v>2347</v>
      </c>
      <c r="B1217" s="17">
        <v>43306</v>
      </c>
      <c r="C1217" t="s">
        <v>108</v>
      </c>
      <c r="D1217" t="s">
        <v>104</v>
      </c>
      <c r="E1217">
        <v>6</v>
      </c>
      <c r="F1217">
        <v>16</v>
      </c>
      <c r="G1217">
        <v>96</v>
      </c>
      <c r="H1217">
        <v>7.0000000000000007E-2</v>
      </c>
      <c r="I1217" t="s">
        <v>103</v>
      </c>
      <c r="J1217">
        <v>6.7200000000000006</v>
      </c>
      <c r="Q1217" s="22"/>
    </row>
    <row r="1218" spans="1:17" x14ac:dyDescent="0.3">
      <c r="A1218" t="s">
        <v>2348</v>
      </c>
      <c r="B1218" s="17">
        <v>43306</v>
      </c>
      <c r="C1218" t="s">
        <v>101</v>
      </c>
      <c r="D1218" t="s">
        <v>106</v>
      </c>
      <c r="E1218">
        <v>8</v>
      </c>
      <c r="F1218">
        <v>230</v>
      </c>
      <c r="G1218">
        <v>1840</v>
      </c>
      <c r="H1218">
        <v>0.05</v>
      </c>
      <c r="I1218" t="s">
        <v>105</v>
      </c>
      <c r="J1218">
        <v>92</v>
      </c>
      <c r="Q1218" s="21"/>
    </row>
    <row r="1219" spans="1:17" x14ac:dyDescent="0.3">
      <c r="A1219" t="s">
        <v>2349</v>
      </c>
      <c r="B1219" s="17">
        <v>43306</v>
      </c>
      <c r="C1219" t="s">
        <v>108</v>
      </c>
      <c r="D1219" t="s">
        <v>104</v>
      </c>
      <c r="E1219">
        <v>12</v>
      </c>
      <c r="F1219">
        <v>16</v>
      </c>
      <c r="G1219">
        <v>192</v>
      </c>
      <c r="H1219">
        <v>0.11</v>
      </c>
      <c r="I1219" t="s">
        <v>107</v>
      </c>
      <c r="J1219">
        <v>21.12</v>
      </c>
      <c r="Q1219" s="22"/>
    </row>
    <row r="1220" spans="1:17" x14ac:dyDescent="0.3">
      <c r="A1220" t="s">
        <v>2350</v>
      </c>
      <c r="B1220" s="17">
        <v>43306</v>
      </c>
      <c r="C1220" t="s">
        <v>101</v>
      </c>
      <c r="D1220" t="s">
        <v>96</v>
      </c>
      <c r="E1220">
        <v>11</v>
      </c>
      <c r="F1220">
        <v>230</v>
      </c>
      <c r="G1220">
        <v>2530</v>
      </c>
      <c r="H1220">
        <v>0.02</v>
      </c>
      <c r="I1220" t="s">
        <v>100</v>
      </c>
      <c r="J1220">
        <v>50.6</v>
      </c>
      <c r="Q1220" s="21"/>
    </row>
    <row r="1221" spans="1:17" x14ac:dyDescent="0.3">
      <c r="A1221" t="s">
        <v>2351</v>
      </c>
      <c r="B1221" s="17">
        <v>43306</v>
      </c>
      <c r="C1221" t="s">
        <v>108</v>
      </c>
      <c r="D1221" t="s">
        <v>104</v>
      </c>
      <c r="E1221">
        <v>3</v>
      </c>
      <c r="F1221">
        <v>16</v>
      </c>
      <c r="G1221">
        <v>48</v>
      </c>
      <c r="H1221">
        <v>0.05</v>
      </c>
      <c r="I1221" t="s">
        <v>102</v>
      </c>
      <c r="J1221">
        <v>2.4000000000000004</v>
      </c>
      <c r="Q1221" s="22"/>
    </row>
    <row r="1222" spans="1:17" x14ac:dyDescent="0.3">
      <c r="A1222" t="s">
        <v>2352</v>
      </c>
      <c r="B1222" s="17">
        <v>43307</v>
      </c>
      <c r="C1222" t="s">
        <v>111</v>
      </c>
      <c r="D1222" t="s">
        <v>99</v>
      </c>
      <c r="E1222">
        <v>16</v>
      </c>
      <c r="F1222">
        <v>150</v>
      </c>
      <c r="G1222">
        <v>2400</v>
      </c>
      <c r="H1222">
        <v>0.05</v>
      </c>
      <c r="I1222" t="s">
        <v>103</v>
      </c>
      <c r="J1222">
        <v>120</v>
      </c>
      <c r="Q1222" s="21"/>
    </row>
    <row r="1223" spans="1:17" x14ac:dyDescent="0.3">
      <c r="A1223" t="s">
        <v>2353</v>
      </c>
      <c r="B1223" s="17">
        <v>43307</v>
      </c>
      <c r="C1223" t="s">
        <v>101</v>
      </c>
      <c r="D1223" t="s">
        <v>106</v>
      </c>
      <c r="E1223">
        <v>8</v>
      </c>
      <c r="F1223">
        <v>230</v>
      </c>
      <c r="G1223">
        <v>1840</v>
      </c>
      <c r="H1223">
        <v>0.01</v>
      </c>
      <c r="I1223" t="s">
        <v>105</v>
      </c>
      <c r="J1223">
        <v>18.400000000000002</v>
      </c>
      <c r="Q1223" s="22"/>
    </row>
    <row r="1224" spans="1:17" x14ac:dyDescent="0.3">
      <c r="A1224" t="s">
        <v>2354</v>
      </c>
      <c r="B1224" s="17">
        <v>43307</v>
      </c>
      <c r="C1224" t="s">
        <v>95</v>
      </c>
      <c r="D1224" t="s">
        <v>104</v>
      </c>
      <c r="E1224">
        <v>16</v>
      </c>
      <c r="F1224">
        <v>80</v>
      </c>
      <c r="G1224">
        <v>1280</v>
      </c>
      <c r="H1224">
        <v>0.04</v>
      </c>
      <c r="I1224" t="s">
        <v>107</v>
      </c>
      <c r="J1224">
        <v>51.2</v>
      </c>
      <c r="Q1224" s="21"/>
    </row>
    <row r="1225" spans="1:17" x14ac:dyDescent="0.3">
      <c r="A1225" t="s">
        <v>2355</v>
      </c>
      <c r="B1225" s="17">
        <v>43307</v>
      </c>
      <c r="C1225" t="s">
        <v>108</v>
      </c>
      <c r="D1225" t="s">
        <v>106</v>
      </c>
      <c r="E1225">
        <v>18</v>
      </c>
      <c r="F1225">
        <v>16</v>
      </c>
      <c r="G1225">
        <v>288</v>
      </c>
      <c r="H1225">
        <v>0.04</v>
      </c>
      <c r="I1225" t="s">
        <v>110</v>
      </c>
      <c r="J1225">
        <v>11.52</v>
      </c>
      <c r="Q1225" s="22"/>
    </row>
    <row r="1226" spans="1:17" x14ac:dyDescent="0.3">
      <c r="A1226" t="s">
        <v>2356</v>
      </c>
      <c r="B1226" s="17">
        <v>43307</v>
      </c>
      <c r="C1226" t="s">
        <v>98</v>
      </c>
      <c r="D1226" t="s">
        <v>109</v>
      </c>
      <c r="E1226">
        <v>14</v>
      </c>
      <c r="F1226">
        <v>40</v>
      </c>
      <c r="G1226">
        <v>560</v>
      </c>
      <c r="H1226">
        <v>0.11</v>
      </c>
      <c r="I1226" t="s">
        <v>112</v>
      </c>
      <c r="J1226">
        <v>61.6</v>
      </c>
      <c r="Q1226" s="21"/>
    </row>
    <row r="1227" spans="1:17" x14ac:dyDescent="0.3">
      <c r="A1227" t="s">
        <v>2357</v>
      </c>
      <c r="B1227" s="17">
        <v>43307</v>
      </c>
      <c r="C1227" t="s">
        <v>108</v>
      </c>
      <c r="D1227" t="s">
        <v>99</v>
      </c>
      <c r="E1227">
        <v>21</v>
      </c>
      <c r="F1227">
        <v>16</v>
      </c>
      <c r="G1227">
        <v>336</v>
      </c>
      <c r="H1227">
        <v>0.02</v>
      </c>
      <c r="I1227" t="s">
        <v>113</v>
      </c>
      <c r="J1227">
        <v>6.72</v>
      </c>
      <c r="Q1227" s="22"/>
    </row>
    <row r="1228" spans="1:17" x14ac:dyDescent="0.3">
      <c r="A1228" t="s">
        <v>2358</v>
      </c>
      <c r="B1228" s="17">
        <v>43307</v>
      </c>
      <c r="C1228" t="s">
        <v>108</v>
      </c>
      <c r="D1228" t="s">
        <v>99</v>
      </c>
      <c r="E1228">
        <v>7</v>
      </c>
      <c r="F1228">
        <v>16</v>
      </c>
      <c r="G1228">
        <v>112</v>
      </c>
      <c r="H1228">
        <v>0.08</v>
      </c>
      <c r="I1228" t="s">
        <v>114</v>
      </c>
      <c r="J1228">
        <v>8.9600000000000009</v>
      </c>
      <c r="Q1228" s="21"/>
    </row>
    <row r="1229" spans="1:17" x14ac:dyDescent="0.3">
      <c r="A1229" t="s">
        <v>2359</v>
      </c>
      <c r="B1229" s="17">
        <v>43307</v>
      </c>
      <c r="C1229" t="s">
        <v>95</v>
      </c>
      <c r="D1229" t="s">
        <v>104</v>
      </c>
      <c r="E1229">
        <v>7</v>
      </c>
      <c r="F1229">
        <v>80</v>
      </c>
      <c r="G1229">
        <v>560</v>
      </c>
      <c r="H1229">
        <v>0.05</v>
      </c>
      <c r="I1229" t="s">
        <v>115</v>
      </c>
      <c r="J1229">
        <v>28</v>
      </c>
      <c r="Q1229" s="22"/>
    </row>
    <row r="1230" spans="1:17" x14ac:dyDescent="0.3">
      <c r="A1230" t="s">
        <v>2360</v>
      </c>
      <c r="B1230" s="17">
        <v>43307</v>
      </c>
      <c r="C1230" t="s">
        <v>98</v>
      </c>
      <c r="D1230" t="s">
        <v>109</v>
      </c>
      <c r="E1230">
        <v>16</v>
      </c>
      <c r="F1230">
        <v>40</v>
      </c>
      <c r="G1230">
        <v>640</v>
      </c>
      <c r="H1230">
        <v>0.09</v>
      </c>
      <c r="I1230" t="s">
        <v>116</v>
      </c>
      <c r="J1230">
        <v>57.599999999999994</v>
      </c>
      <c r="Q1230" s="21"/>
    </row>
    <row r="1231" spans="1:17" x14ac:dyDescent="0.3">
      <c r="A1231" t="s">
        <v>2361</v>
      </c>
      <c r="B1231" s="17">
        <v>43307</v>
      </c>
      <c r="C1231" t="s">
        <v>101</v>
      </c>
      <c r="D1231" t="s">
        <v>109</v>
      </c>
      <c r="E1231">
        <v>22</v>
      </c>
      <c r="F1231">
        <v>230</v>
      </c>
      <c r="G1231">
        <v>5060</v>
      </c>
      <c r="H1231">
        <v>0.1</v>
      </c>
      <c r="I1231" t="s">
        <v>97</v>
      </c>
      <c r="J1231">
        <v>506</v>
      </c>
      <c r="Q1231" s="22"/>
    </row>
    <row r="1232" spans="1:17" x14ac:dyDescent="0.3">
      <c r="A1232" t="s">
        <v>2362</v>
      </c>
      <c r="B1232" s="17">
        <v>43307</v>
      </c>
      <c r="C1232" t="s">
        <v>98</v>
      </c>
      <c r="D1232" t="s">
        <v>99</v>
      </c>
      <c r="E1232">
        <v>4</v>
      </c>
      <c r="F1232">
        <v>40</v>
      </c>
      <c r="G1232">
        <v>160</v>
      </c>
      <c r="H1232">
        <v>0.03</v>
      </c>
      <c r="I1232" t="s">
        <v>100</v>
      </c>
      <c r="J1232">
        <v>4.8</v>
      </c>
      <c r="Q1232" s="21"/>
    </row>
    <row r="1233" spans="1:17" x14ac:dyDescent="0.3">
      <c r="A1233" t="s">
        <v>2363</v>
      </c>
      <c r="B1233" s="17">
        <v>43307</v>
      </c>
      <c r="C1233" t="s">
        <v>101</v>
      </c>
      <c r="D1233" t="s">
        <v>109</v>
      </c>
      <c r="E1233">
        <v>3</v>
      </c>
      <c r="F1233">
        <v>230</v>
      </c>
      <c r="G1233">
        <v>690</v>
      </c>
      <c r="H1233">
        <v>0.1</v>
      </c>
      <c r="I1233" t="s">
        <v>102</v>
      </c>
      <c r="J1233">
        <v>69</v>
      </c>
      <c r="Q1233" s="22"/>
    </row>
    <row r="1234" spans="1:17" x14ac:dyDescent="0.3">
      <c r="A1234" t="s">
        <v>2364</v>
      </c>
      <c r="B1234" s="17">
        <v>43307</v>
      </c>
      <c r="C1234" t="s">
        <v>95</v>
      </c>
      <c r="D1234" t="s">
        <v>99</v>
      </c>
      <c r="E1234">
        <v>14</v>
      </c>
      <c r="F1234">
        <v>80</v>
      </c>
      <c r="G1234">
        <v>1120</v>
      </c>
      <c r="H1234">
        <v>0.11</v>
      </c>
      <c r="I1234" t="s">
        <v>103</v>
      </c>
      <c r="J1234">
        <v>123.2</v>
      </c>
      <c r="Q1234" s="21"/>
    </row>
    <row r="1235" spans="1:17" x14ac:dyDescent="0.3">
      <c r="A1235" t="s">
        <v>2365</v>
      </c>
      <c r="B1235" s="17">
        <v>43308</v>
      </c>
      <c r="C1235" t="s">
        <v>98</v>
      </c>
      <c r="D1235" t="s">
        <v>109</v>
      </c>
      <c r="E1235">
        <v>21</v>
      </c>
      <c r="F1235">
        <v>40</v>
      </c>
      <c r="G1235">
        <v>840</v>
      </c>
      <c r="H1235">
        <v>0.01</v>
      </c>
      <c r="I1235" t="s">
        <v>105</v>
      </c>
      <c r="J1235">
        <v>8.4</v>
      </c>
      <c r="Q1235" s="22"/>
    </row>
    <row r="1236" spans="1:17" x14ac:dyDescent="0.3">
      <c r="A1236" t="s">
        <v>2366</v>
      </c>
      <c r="B1236" s="17">
        <v>43308</v>
      </c>
      <c r="C1236" t="s">
        <v>108</v>
      </c>
      <c r="D1236" t="s">
        <v>99</v>
      </c>
      <c r="E1236">
        <v>20</v>
      </c>
      <c r="F1236">
        <v>16</v>
      </c>
      <c r="G1236">
        <v>320</v>
      </c>
      <c r="H1236">
        <v>0.06</v>
      </c>
      <c r="I1236" t="s">
        <v>107</v>
      </c>
      <c r="J1236">
        <v>19.2</v>
      </c>
      <c r="Q1236" s="21"/>
    </row>
    <row r="1237" spans="1:17" x14ac:dyDescent="0.3">
      <c r="A1237" t="s">
        <v>2367</v>
      </c>
      <c r="B1237" s="17">
        <v>43308</v>
      </c>
      <c r="C1237" t="s">
        <v>95</v>
      </c>
      <c r="D1237" t="s">
        <v>109</v>
      </c>
      <c r="E1237">
        <v>22</v>
      </c>
      <c r="F1237">
        <v>80</v>
      </c>
      <c r="G1237">
        <v>1760</v>
      </c>
      <c r="H1237">
        <v>0.11</v>
      </c>
      <c r="I1237" t="s">
        <v>100</v>
      </c>
      <c r="J1237">
        <v>193.6</v>
      </c>
      <c r="Q1237" s="22"/>
    </row>
    <row r="1238" spans="1:17" x14ac:dyDescent="0.3">
      <c r="A1238" t="s">
        <v>2368</v>
      </c>
      <c r="B1238" s="17">
        <v>43308</v>
      </c>
      <c r="C1238" t="s">
        <v>98</v>
      </c>
      <c r="D1238" t="s">
        <v>96</v>
      </c>
      <c r="E1238">
        <v>7</v>
      </c>
      <c r="F1238">
        <v>40</v>
      </c>
      <c r="G1238">
        <v>280</v>
      </c>
      <c r="H1238">
        <v>0.1</v>
      </c>
      <c r="I1238" t="s">
        <v>102</v>
      </c>
      <c r="J1238">
        <v>28</v>
      </c>
      <c r="Q1238" s="21"/>
    </row>
    <row r="1239" spans="1:17" x14ac:dyDescent="0.3">
      <c r="A1239" t="s">
        <v>2369</v>
      </c>
      <c r="B1239" s="17">
        <v>43308</v>
      </c>
      <c r="C1239" t="s">
        <v>111</v>
      </c>
      <c r="D1239" t="s">
        <v>99</v>
      </c>
      <c r="E1239">
        <v>16</v>
      </c>
      <c r="F1239">
        <v>150</v>
      </c>
      <c r="G1239">
        <v>2400</v>
      </c>
      <c r="H1239">
        <v>0.05</v>
      </c>
      <c r="I1239" t="s">
        <v>103</v>
      </c>
      <c r="J1239">
        <v>120</v>
      </c>
      <c r="Q1239" s="22"/>
    </row>
    <row r="1240" spans="1:17" x14ac:dyDescent="0.3">
      <c r="A1240" t="s">
        <v>2370</v>
      </c>
      <c r="B1240" s="17">
        <v>43308</v>
      </c>
      <c r="C1240" t="s">
        <v>101</v>
      </c>
      <c r="D1240" t="s">
        <v>99</v>
      </c>
      <c r="E1240">
        <v>7</v>
      </c>
      <c r="F1240">
        <v>230</v>
      </c>
      <c r="G1240">
        <v>1610</v>
      </c>
      <c r="H1240">
        <v>0.05</v>
      </c>
      <c r="I1240" t="s">
        <v>105</v>
      </c>
      <c r="J1240">
        <v>80.5</v>
      </c>
      <c r="Q1240" s="21"/>
    </row>
    <row r="1241" spans="1:17" x14ac:dyDescent="0.3">
      <c r="A1241" t="s">
        <v>2371</v>
      </c>
      <c r="B1241" s="17">
        <v>43308</v>
      </c>
      <c r="C1241" t="s">
        <v>111</v>
      </c>
      <c r="D1241" t="s">
        <v>96</v>
      </c>
      <c r="E1241">
        <v>20</v>
      </c>
      <c r="F1241">
        <v>150</v>
      </c>
      <c r="G1241">
        <v>3000</v>
      </c>
      <c r="H1241">
        <v>0.03</v>
      </c>
      <c r="I1241" t="s">
        <v>107</v>
      </c>
      <c r="J1241">
        <v>90</v>
      </c>
      <c r="Q1241" s="22"/>
    </row>
    <row r="1242" spans="1:17" x14ac:dyDescent="0.3">
      <c r="A1242" t="s">
        <v>2372</v>
      </c>
      <c r="B1242" s="17">
        <v>43308</v>
      </c>
      <c r="C1242" t="s">
        <v>111</v>
      </c>
      <c r="D1242" t="s">
        <v>99</v>
      </c>
      <c r="E1242">
        <v>16</v>
      </c>
      <c r="F1242">
        <v>150</v>
      </c>
      <c r="G1242">
        <v>2400</v>
      </c>
      <c r="H1242">
        <v>0.03</v>
      </c>
      <c r="I1242" t="s">
        <v>110</v>
      </c>
      <c r="J1242">
        <v>72</v>
      </c>
      <c r="Q1242" s="21"/>
    </row>
    <row r="1243" spans="1:17" x14ac:dyDescent="0.3">
      <c r="A1243" t="s">
        <v>2373</v>
      </c>
      <c r="B1243" s="17">
        <v>43308</v>
      </c>
      <c r="C1243" t="s">
        <v>108</v>
      </c>
      <c r="D1243" t="s">
        <v>106</v>
      </c>
      <c r="E1243">
        <v>10</v>
      </c>
      <c r="F1243">
        <v>16</v>
      </c>
      <c r="G1243">
        <v>160</v>
      </c>
      <c r="H1243">
        <v>0.04</v>
      </c>
      <c r="I1243" t="s">
        <v>112</v>
      </c>
      <c r="J1243">
        <v>6.4</v>
      </c>
      <c r="Q1243" s="22"/>
    </row>
    <row r="1244" spans="1:17" x14ac:dyDescent="0.3">
      <c r="A1244" t="s">
        <v>2374</v>
      </c>
      <c r="B1244" s="17">
        <v>43308</v>
      </c>
      <c r="C1244" t="s">
        <v>95</v>
      </c>
      <c r="D1244" t="s">
        <v>109</v>
      </c>
      <c r="E1244">
        <v>6</v>
      </c>
      <c r="F1244">
        <v>80</v>
      </c>
      <c r="G1244">
        <v>480</v>
      </c>
      <c r="H1244">
        <v>0.09</v>
      </c>
      <c r="I1244" t="s">
        <v>113</v>
      </c>
      <c r="J1244">
        <v>43.199999999999996</v>
      </c>
      <c r="Q1244" s="21"/>
    </row>
    <row r="1245" spans="1:17" x14ac:dyDescent="0.3">
      <c r="A1245" t="s">
        <v>2375</v>
      </c>
      <c r="B1245" s="17">
        <v>43308</v>
      </c>
      <c r="C1245" t="s">
        <v>95</v>
      </c>
      <c r="D1245" t="s">
        <v>96</v>
      </c>
      <c r="E1245">
        <v>17</v>
      </c>
      <c r="F1245">
        <v>80</v>
      </c>
      <c r="G1245">
        <v>1360</v>
      </c>
      <c r="H1245">
        <v>0.09</v>
      </c>
      <c r="I1245" t="s">
        <v>114</v>
      </c>
      <c r="J1245">
        <v>122.39999999999999</v>
      </c>
      <c r="Q1245" s="22"/>
    </row>
    <row r="1246" spans="1:17" x14ac:dyDescent="0.3">
      <c r="A1246" t="s">
        <v>2376</v>
      </c>
      <c r="B1246" s="17">
        <v>43308</v>
      </c>
      <c r="C1246" t="s">
        <v>98</v>
      </c>
      <c r="D1246" t="s">
        <v>96</v>
      </c>
      <c r="E1246">
        <v>19</v>
      </c>
      <c r="F1246">
        <v>40</v>
      </c>
      <c r="G1246">
        <v>760</v>
      </c>
      <c r="H1246">
        <v>0.04</v>
      </c>
      <c r="I1246" t="s">
        <v>115</v>
      </c>
      <c r="J1246">
        <v>30.400000000000002</v>
      </c>
      <c r="Q1246" s="21"/>
    </row>
    <row r="1247" spans="1:17" x14ac:dyDescent="0.3">
      <c r="A1247" t="s">
        <v>2377</v>
      </c>
      <c r="B1247" s="17">
        <v>43308</v>
      </c>
      <c r="C1247" t="s">
        <v>98</v>
      </c>
      <c r="D1247" t="s">
        <v>109</v>
      </c>
      <c r="E1247">
        <v>16</v>
      </c>
      <c r="F1247">
        <v>40</v>
      </c>
      <c r="G1247">
        <v>640</v>
      </c>
      <c r="H1247">
        <v>0.09</v>
      </c>
      <c r="I1247" t="s">
        <v>116</v>
      </c>
      <c r="J1247">
        <v>57.599999999999994</v>
      </c>
      <c r="Q1247" s="22"/>
    </row>
    <row r="1248" spans="1:17" x14ac:dyDescent="0.3">
      <c r="A1248" t="s">
        <v>2378</v>
      </c>
      <c r="B1248" s="17">
        <v>43308</v>
      </c>
      <c r="C1248" t="s">
        <v>108</v>
      </c>
      <c r="D1248" t="s">
        <v>96</v>
      </c>
      <c r="E1248">
        <v>4</v>
      </c>
      <c r="F1248">
        <v>16</v>
      </c>
      <c r="G1248">
        <v>64</v>
      </c>
      <c r="H1248">
        <v>0.12</v>
      </c>
      <c r="I1248" t="s">
        <v>97</v>
      </c>
      <c r="J1248">
        <v>7.68</v>
      </c>
      <c r="Q1248" s="21"/>
    </row>
    <row r="1249" spans="1:17" x14ac:dyDescent="0.3">
      <c r="A1249" t="s">
        <v>2379</v>
      </c>
      <c r="B1249" s="17">
        <v>43308</v>
      </c>
      <c r="C1249" t="s">
        <v>111</v>
      </c>
      <c r="D1249" t="s">
        <v>106</v>
      </c>
      <c r="E1249">
        <v>9</v>
      </c>
      <c r="F1249">
        <v>150</v>
      </c>
      <c r="G1249">
        <v>1350</v>
      </c>
      <c r="H1249">
        <v>0.02</v>
      </c>
      <c r="I1249" t="s">
        <v>100</v>
      </c>
      <c r="J1249">
        <v>27</v>
      </c>
      <c r="Q1249" s="22"/>
    </row>
    <row r="1250" spans="1:17" x14ac:dyDescent="0.3">
      <c r="A1250" t="s">
        <v>2380</v>
      </c>
      <c r="B1250" s="17">
        <v>43308</v>
      </c>
      <c r="C1250" t="s">
        <v>108</v>
      </c>
      <c r="D1250" t="s">
        <v>96</v>
      </c>
      <c r="E1250">
        <v>11</v>
      </c>
      <c r="F1250">
        <v>16</v>
      </c>
      <c r="G1250">
        <v>176</v>
      </c>
      <c r="H1250">
        <v>0.09</v>
      </c>
      <c r="I1250" t="s">
        <v>102</v>
      </c>
      <c r="J1250">
        <v>15.84</v>
      </c>
      <c r="Q1250" s="21"/>
    </row>
    <row r="1251" spans="1:17" x14ac:dyDescent="0.3">
      <c r="A1251" t="s">
        <v>2381</v>
      </c>
      <c r="B1251" s="17">
        <v>43308</v>
      </c>
      <c r="C1251" t="s">
        <v>95</v>
      </c>
      <c r="D1251" t="s">
        <v>99</v>
      </c>
      <c r="E1251">
        <v>17</v>
      </c>
      <c r="F1251">
        <v>80</v>
      </c>
      <c r="G1251">
        <v>1360</v>
      </c>
      <c r="H1251">
        <v>0.03</v>
      </c>
      <c r="I1251" t="s">
        <v>103</v>
      </c>
      <c r="J1251">
        <v>40.799999999999997</v>
      </c>
      <c r="Q1251" s="22"/>
    </row>
    <row r="1252" spans="1:17" x14ac:dyDescent="0.3">
      <c r="A1252" t="s">
        <v>2382</v>
      </c>
      <c r="B1252" s="17">
        <v>43309</v>
      </c>
      <c r="C1252" t="s">
        <v>111</v>
      </c>
      <c r="D1252" t="s">
        <v>96</v>
      </c>
      <c r="E1252">
        <v>3</v>
      </c>
      <c r="F1252">
        <v>150</v>
      </c>
      <c r="G1252">
        <v>450</v>
      </c>
      <c r="H1252">
        <v>0.03</v>
      </c>
      <c r="I1252" t="s">
        <v>105</v>
      </c>
      <c r="J1252">
        <v>13.5</v>
      </c>
      <c r="Q1252" s="21"/>
    </row>
    <row r="1253" spans="1:17" x14ac:dyDescent="0.3">
      <c r="A1253" t="s">
        <v>2383</v>
      </c>
      <c r="B1253" s="17">
        <v>43309</v>
      </c>
      <c r="C1253" t="s">
        <v>101</v>
      </c>
      <c r="D1253" t="s">
        <v>106</v>
      </c>
      <c r="E1253">
        <v>2</v>
      </c>
      <c r="F1253">
        <v>230</v>
      </c>
      <c r="G1253">
        <v>460</v>
      </c>
      <c r="H1253">
        <v>0.08</v>
      </c>
      <c r="I1253" t="s">
        <v>107</v>
      </c>
      <c r="J1253">
        <v>36.800000000000004</v>
      </c>
      <c r="Q1253" s="22"/>
    </row>
    <row r="1254" spans="1:17" x14ac:dyDescent="0.3">
      <c r="A1254" t="s">
        <v>2384</v>
      </c>
      <c r="B1254" s="17">
        <v>43309</v>
      </c>
      <c r="C1254" t="s">
        <v>101</v>
      </c>
      <c r="D1254" t="s">
        <v>106</v>
      </c>
      <c r="E1254">
        <v>17</v>
      </c>
      <c r="F1254">
        <v>230</v>
      </c>
      <c r="G1254">
        <v>3910</v>
      </c>
      <c r="H1254">
        <v>0.12</v>
      </c>
      <c r="I1254" t="s">
        <v>100</v>
      </c>
      <c r="J1254">
        <v>469.2</v>
      </c>
      <c r="Q1254" s="21"/>
    </row>
    <row r="1255" spans="1:17" x14ac:dyDescent="0.3">
      <c r="A1255" t="s">
        <v>2385</v>
      </c>
      <c r="B1255" s="17">
        <v>43309</v>
      </c>
      <c r="C1255" t="s">
        <v>111</v>
      </c>
      <c r="D1255" t="s">
        <v>99</v>
      </c>
      <c r="E1255">
        <v>2</v>
      </c>
      <c r="F1255">
        <v>150</v>
      </c>
      <c r="G1255">
        <v>300</v>
      </c>
      <c r="H1255">
        <v>0.09</v>
      </c>
      <c r="I1255" t="s">
        <v>102</v>
      </c>
      <c r="J1255">
        <v>27</v>
      </c>
      <c r="Q1255" s="22"/>
    </row>
    <row r="1256" spans="1:17" x14ac:dyDescent="0.3">
      <c r="A1256" t="s">
        <v>2386</v>
      </c>
      <c r="B1256" s="17">
        <v>43309</v>
      </c>
      <c r="C1256" t="s">
        <v>98</v>
      </c>
      <c r="D1256" t="s">
        <v>106</v>
      </c>
      <c r="E1256">
        <v>18</v>
      </c>
      <c r="F1256">
        <v>40</v>
      </c>
      <c r="G1256">
        <v>720</v>
      </c>
      <c r="H1256">
        <v>0.06</v>
      </c>
      <c r="I1256" t="s">
        <v>103</v>
      </c>
      <c r="J1256">
        <v>43.199999999999996</v>
      </c>
      <c r="Q1256" s="21"/>
    </row>
    <row r="1257" spans="1:17" x14ac:dyDescent="0.3">
      <c r="A1257" t="s">
        <v>2387</v>
      </c>
      <c r="B1257" s="17">
        <v>43309</v>
      </c>
      <c r="C1257" t="s">
        <v>111</v>
      </c>
      <c r="D1257" t="s">
        <v>104</v>
      </c>
      <c r="E1257">
        <v>18</v>
      </c>
      <c r="F1257">
        <v>150</v>
      </c>
      <c r="G1257">
        <v>2700</v>
      </c>
      <c r="H1257">
        <v>0.06</v>
      </c>
      <c r="I1257" t="s">
        <v>105</v>
      </c>
      <c r="J1257">
        <v>162</v>
      </c>
      <c r="Q1257" s="22"/>
    </row>
    <row r="1258" spans="1:17" x14ac:dyDescent="0.3">
      <c r="A1258" t="s">
        <v>2388</v>
      </c>
      <c r="B1258" s="17">
        <v>43309</v>
      </c>
      <c r="C1258" t="s">
        <v>98</v>
      </c>
      <c r="D1258" t="s">
        <v>99</v>
      </c>
      <c r="E1258">
        <v>12</v>
      </c>
      <c r="F1258">
        <v>40</v>
      </c>
      <c r="G1258">
        <v>480</v>
      </c>
      <c r="H1258">
        <v>0.1</v>
      </c>
      <c r="I1258" t="s">
        <v>107</v>
      </c>
      <c r="J1258">
        <v>48</v>
      </c>
      <c r="Q1258" s="21"/>
    </row>
    <row r="1259" spans="1:17" x14ac:dyDescent="0.3">
      <c r="A1259" t="s">
        <v>2389</v>
      </c>
      <c r="B1259" s="17">
        <v>43309</v>
      </c>
      <c r="C1259" t="s">
        <v>95</v>
      </c>
      <c r="D1259" t="s">
        <v>96</v>
      </c>
      <c r="E1259">
        <v>21</v>
      </c>
      <c r="F1259">
        <v>80</v>
      </c>
      <c r="G1259">
        <v>1680</v>
      </c>
      <c r="H1259">
        <v>0.04</v>
      </c>
      <c r="I1259" t="s">
        <v>110</v>
      </c>
      <c r="J1259">
        <v>67.2</v>
      </c>
      <c r="Q1259" s="22"/>
    </row>
    <row r="1260" spans="1:17" x14ac:dyDescent="0.3">
      <c r="A1260" t="s">
        <v>2390</v>
      </c>
      <c r="B1260" s="17">
        <v>43309</v>
      </c>
      <c r="C1260" t="s">
        <v>98</v>
      </c>
      <c r="D1260" t="s">
        <v>109</v>
      </c>
      <c r="E1260">
        <v>3</v>
      </c>
      <c r="F1260">
        <v>40</v>
      </c>
      <c r="G1260">
        <v>120</v>
      </c>
      <c r="H1260">
        <v>0.03</v>
      </c>
      <c r="I1260" t="s">
        <v>112</v>
      </c>
      <c r="J1260">
        <v>3.5999999999999996</v>
      </c>
      <c r="Q1260" s="21"/>
    </row>
    <row r="1261" spans="1:17" x14ac:dyDescent="0.3">
      <c r="A1261" t="s">
        <v>2391</v>
      </c>
      <c r="B1261" s="17">
        <v>43309</v>
      </c>
      <c r="C1261" t="s">
        <v>95</v>
      </c>
      <c r="D1261" t="s">
        <v>109</v>
      </c>
      <c r="E1261">
        <v>22</v>
      </c>
      <c r="F1261">
        <v>80</v>
      </c>
      <c r="G1261">
        <v>1760</v>
      </c>
      <c r="H1261">
        <v>0.1</v>
      </c>
      <c r="I1261" t="s">
        <v>113</v>
      </c>
      <c r="J1261">
        <v>176</v>
      </c>
      <c r="Q1261" s="22"/>
    </row>
    <row r="1262" spans="1:17" x14ac:dyDescent="0.3">
      <c r="A1262" t="s">
        <v>2392</v>
      </c>
      <c r="B1262" s="17">
        <v>43309</v>
      </c>
      <c r="C1262" t="s">
        <v>98</v>
      </c>
      <c r="D1262" t="s">
        <v>109</v>
      </c>
      <c r="E1262">
        <v>16</v>
      </c>
      <c r="F1262">
        <v>40</v>
      </c>
      <c r="G1262">
        <v>640</v>
      </c>
      <c r="H1262">
        <v>0.11</v>
      </c>
      <c r="I1262" t="s">
        <v>114</v>
      </c>
      <c r="J1262">
        <v>70.400000000000006</v>
      </c>
      <c r="Q1262" s="21"/>
    </row>
    <row r="1263" spans="1:17" x14ac:dyDescent="0.3">
      <c r="A1263" t="s">
        <v>2393</v>
      </c>
      <c r="B1263" s="17">
        <v>43309</v>
      </c>
      <c r="C1263" t="s">
        <v>108</v>
      </c>
      <c r="D1263" t="s">
        <v>96</v>
      </c>
      <c r="E1263">
        <v>11</v>
      </c>
      <c r="F1263">
        <v>16</v>
      </c>
      <c r="G1263">
        <v>176</v>
      </c>
      <c r="H1263">
        <v>0.09</v>
      </c>
      <c r="I1263" t="s">
        <v>115</v>
      </c>
      <c r="J1263">
        <v>15.84</v>
      </c>
      <c r="Q1263" s="22"/>
    </row>
    <row r="1264" spans="1:17" x14ac:dyDescent="0.3">
      <c r="A1264" t="s">
        <v>2394</v>
      </c>
      <c r="B1264" s="17">
        <v>43310</v>
      </c>
      <c r="C1264" t="s">
        <v>95</v>
      </c>
      <c r="D1264" t="s">
        <v>104</v>
      </c>
      <c r="E1264">
        <v>10</v>
      </c>
      <c r="F1264">
        <v>80</v>
      </c>
      <c r="G1264">
        <v>800</v>
      </c>
      <c r="H1264">
        <v>0.08</v>
      </c>
      <c r="I1264" t="s">
        <v>116</v>
      </c>
      <c r="J1264">
        <v>64</v>
      </c>
      <c r="Q1264" s="21"/>
    </row>
    <row r="1265" spans="1:17" x14ac:dyDescent="0.3">
      <c r="A1265" t="s">
        <v>2395</v>
      </c>
      <c r="B1265" s="17">
        <v>43310</v>
      </c>
      <c r="C1265" t="s">
        <v>108</v>
      </c>
      <c r="D1265" t="s">
        <v>104</v>
      </c>
      <c r="E1265">
        <v>12</v>
      </c>
      <c r="F1265">
        <v>16</v>
      </c>
      <c r="G1265">
        <v>192</v>
      </c>
      <c r="H1265">
        <v>0.03</v>
      </c>
      <c r="I1265" t="s">
        <v>97</v>
      </c>
      <c r="J1265">
        <v>5.76</v>
      </c>
      <c r="Q1265" s="22"/>
    </row>
    <row r="1266" spans="1:17" x14ac:dyDescent="0.3">
      <c r="A1266" t="s">
        <v>2396</v>
      </c>
      <c r="B1266" s="17">
        <v>43310</v>
      </c>
      <c r="C1266" t="s">
        <v>111</v>
      </c>
      <c r="D1266" t="s">
        <v>96</v>
      </c>
      <c r="E1266">
        <v>8</v>
      </c>
      <c r="F1266">
        <v>150</v>
      </c>
      <c r="G1266">
        <v>1200</v>
      </c>
      <c r="H1266">
        <v>0.09</v>
      </c>
      <c r="I1266" t="s">
        <v>100</v>
      </c>
      <c r="J1266">
        <v>108</v>
      </c>
      <c r="Q1266" s="21"/>
    </row>
    <row r="1267" spans="1:17" x14ac:dyDescent="0.3">
      <c r="A1267" t="s">
        <v>2397</v>
      </c>
      <c r="B1267" s="17">
        <v>43310</v>
      </c>
      <c r="C1267" t="s">
        <v>98</v>
      </c>
      <c r="D1267" t="s">
        <v>109</v>
      </c>
      <c r="E1267">
        <v>10</v>
      </c>
      <c r="F1267">
        <v>40</v>
      </c>
      <c r="G1267">
        <v>400</v>
      </c>
      <c r="H1267">
        <v>0.03</v>
      </c>
      <c r="I1267" t="s">
        <v>102</v>
      </c>
      <c r="J1267">
        <v>12</v>
      </c>
      <c r="Q1267" s="22"/>
    </row>
    <row r="1268" spans="1:17" x14ac:dyDescent="0.3">
      <c r="A1268" t="s">
        <v>2398</v>
      </c>
      <c r="B1268" s="17">
        <v>43310</v>
      </c>
      <c r="C1268" t="s">
        <v>111</v>
      </c>
      <c r="D1268" t="s">
        <v>96</v>
      </c>
      <c r="E1268">
        <v>7</v>
      </c>
      <c r="F1268">
        <v>150</v>
      </c>
      <c r="G1268">
        <v>1050</v>
      </c>
      <c r="H1268">
        <v>0.02</v>
      </c>
      <c r="I1268" t="s">
        <v>103</v>
      </c>
      <c r="J1268">
        <v>21</v>
      </c>
      <c r="Q1268" s="21"/>
    </row>
    <row r="1269" spans="1:17" x14ac:dyDescent="0.3">
      <c r="A1269" t="s">
        <v>2399</v>
      </c>
      <c r="B1269" s="17">
        <v>43310</v>
      </c>
      <c r="C1269" t="s">
        <v>108</v>
      </c>
      <c r="D1269" t="s">
        <v>104</v>
      </c>
      <c r="E1269">
        <v>6</v>
      </c>
      <c r="F1269">
        <v>16</v>
      </c>
      <c r="G1269">
        <v>96</v>
      </c>
      <c r="H1269">
        <v>0.01</v>
      </c>
      <c r="I1269" t="s">
        <v>105</v>
      </c>
      <c r="J1269">
        <v>0.96</v>
      </c>
      <c r="Q1269" s="22"/>
    </row>
    <row r="1270" spans="1:17" x14ac:dyDescent="0.3">
      <c r="A1270" t="s">
        <v>2400</v>
      </c>
      <c r="B1270" s="17">
        <v>43310</v>
      </c>
      <c r="C1270" t="s">
        <v>95</v>
      </c>
      <c r="D1270" t="s">
        <v>106</v>
      </c>
      <c r="E1270">
        <v>15</v>
      </c>
      <c r="F1270">
        <v>80</v>
      </c>
      <c r="G1270">
        <v>1200</v>
      </c>
      <c r="H1270">
        <v>0.08</v>
      </c>
      <c r="I1270" t="s">
        <v>107</v>
      </c>
      <c r="J1270">
        <v>96</v>
      </c>
      <c r="Q1270" s="21"/>
    </row>
    <row r="1271" spans="1:17" x14ac:dyDescent="0.3">
      <c r="A1271" t="s">
        <v>2401</v>
      </c>
      <c r="B1271" s="17">
        <v>43310</v>
      </c>
      <c r="C1271" t="s">
        <v>108</v>
      </c>
      <c r="D1271" t="s">
        <v>109</v>
      </c>
      <c r="E1271">
        <v>13</v>
      </c>
      <c r="F1271">
        <v>16</v>
      </c>
      <c r="G1271">
        <v>208</v>
      </c>
      <c r="H1271">
        <v>7.0000000000000007E-2</v>
      </c>
      <c r="I1271" t="s">
        <v>100</v>
      </c>
      <c r="J1271">
        <v>14.560000000000002</v>
      </c>
      <c r="Q1271" s="22"/>
    </row>
    <row r="1272" spans="1:17" x14ac:dyDescent="0.3">
      <c r="A1272" t="s">
        <v>2402</v>
      </c>
      <c r="B1272" s="17">
        <v>43310</v>
      </c>
      <c r="C1272" t="s">
        <v>101</v>
      </c>
      <c r="D1272" t="s">
        <v>106</v>
      </c>
      <c r="E1272">
        <v>19</v>
      </c>
      <c r="F1272">
        <v>230</v>
      </c>
      <c r="G1272">
        <v>4370</v>
      </c>
      <c r="H1272">
        <v>0.06</v>
      </c>
      <c r="I1272" t="s">
        <v>102</v>
      </c>
      <c r="J1272">
        <v>262.2</v>
      </c>
      <c r="Q1272" s="21"/>
    </row>
    <row r="1273" spans="1:17" x14ac:dyDescent="0.3">
      <c r="A1273" t="s">
        <v>2403</v>
      </c>
      <c r="B1273" s="17">
        <v>43310</v>
      </c>
      <c r="C1273" t="s">
        <v>95</v>
      </c>
      <c r="D1273" t="s">
        <v>106</v>
      </c>
      <c r="E1273">
        <v>21</v>
      </c>
      <c r="F1273">
        <v>80</v>
      </c>
      <c r="G1273">
        <v>1680</v>
      </c>
      <c r="H1273">
        <v>0.05</v>
      </c>
      <c r="I1273" t="s">
        <v>103</v>
      </c>
      <c r="J1273">
        <v>84</v>
      </c>
      <c r="Q1273" s="22"/>
    </row>
    <row r="1274" spans="1:17" x14ac:dyDescent="0.3">
      <c r="A1274" t="s">
        <v>2404</v>
      </c>
      <c r="B1274" s="17">
        <v>43310</v>
      </c>
      <c r="C1274" t="s">
        <v>95</v>
      </c>
      <c r="D1274" t="s">
        <v>99</v>
      </c>
      <c r="E1274">
        <v>5</v>
      </c>
      <c r="F1274">
        <v>80</v>
      </c>
      <c r="G1274">
        <v>400</v>
      </c>
      <c r="H1274">
        <v>7.0000000000000007E-2</v>
      </c>
      <c r="I1274" t="s">
        <v>105</v>
      </c>
      <c r="J1274">
        <v>28.000000000000004</v>
      </c>
      <c r="Q1274" s="21"/>
    </row>
    <row r="1275" spans="1:17" x14ac:dyDescent="0.3">
      <c r="A1275" t="s">
        <v>2405</v>
      </c>
      <c r="B1275" s="17">
        <v>43310</v>
      </c>
      <c r="C1275" t="s">
        <v>108</v>
      </c>
      <c r="D1275" t="s">
        <v>104</v>
      </c>
      <c r="E1275">
        <v>8</v>
      </c>
      <c r="F1275">
        <v>16</v>
      </c>
      <c r="G1275">
        <v>128</v>
      </c>
      <c r="H1275">
        <v>0.03</v>
      </c>
      <c r="I1275" t="s">
        <v>107</v>
      </c>
      <c r="J1275">
        <v>3.84</v>
      </c>
      <c r="Q1275" s="22"/>
    </row>
    <row r="1276" spans="1:17" x14ac:dyDescent="0.3">
      <c r="A1276" t="s">
        <v>2406</v>
      </c>
      <c r="B1276" s="17">
        <v>43310</v>
      </c>
      <c r="C1276" t="s">
        <v>108</v>
      </c>
      <c r="D1276" t="s">
        <v>104</v>
      </c>
      <c r="E1276">
        <v>12</v>
      </c>
      <c r="F1276">
        <v>16</v>
      </c>
      <c r="G1276">
        <v>192</v>
      </c>
      <c r="H1276">
        <v>0.11</v>
      </c>
      <c r="I1276" t="s">
        <v>110</v>
      </c>
      <c r="J1276">
        <v>21.12</v>
      </c>
      <c r="Q1276" s="21"/>
    </row>
    <row r="1277" spans="1:17" x14ac:dyDescent="0.3">
      <c r="A1277" t="s">
        <v>2407</v>
      </c>
      <c r="B1277" s="17">
        <v>43310</v>
      </c>
      <c r="C1277" t="s">
        <v>95</v>
      </c>
      <c r="D1277" t="s">
        <v>106</v>
      </c>
      <c r="E1277">
        <v>22</v>
      </c>
      <c r="F1277">
        <v>80</v>
      </c>
      <c r="G1277">
        <v>1760</v>
      </c>
      <c r="H1277">
        <v>0.03</v>
      </c>
      <c r="I1277" t="s">
        <v>112</v>
      </c>
      <c r="J1277">
        <v>52.8</v>
      </c>
      <c r="Q1277" s="22"/>
    </row>
    <row r="1278" spans="1:17" x14ac:dyDescent="0.3">
      <c r="A1278" t="s">
        <v>2408</v>
      </c>
      <c r="B1278" s="17">
        <v>43310</v>
      </c>
      <c r="C1278" t="s">
        <v>98</v>
      </c>
      <c r="D1278" t="s">
        <v>96</v>
      </c>
      <c r="E1278">
        <v>5</v>
      </c>
      <c r="F1278">
        <v>40</v>
      </c>
      <c r="G1278">
        <v>200</v>
      </c>
      <c r="H1278">
        <v>0.09</v>
      </c>
      <c r="I1278" t="s">
        <v>113</v>
      </c>
      <c r="J1278">
        <v>18</v>
      </c>
      <c r="Q1278" s="21"/>
    </row>
    <row r="1279" spans="1:17" x14ac:dyDescent="0.3">
      <c r="A1279" t="s">
        <v>2409</v>
      </c>
      <c r="B1279" s="17">
        <v>43311</v>
      </c>
      <c r="C1279" t="s">
        <v>111</v>
      </c>
      <c r="D1279" t="s">
        <v>99</v>
      </c>
      <c r="E1279">
        <v>23</v>
      </c>
      <c r="F1279">
        <v>150</v>
      </c>
      <c r="G1279">
        <v>3450</v>
      </c>
      <c r="H1279">
        <v>0.11</v>
      </c>
      <c r="I1279" t="s">
        <v>114</v>
      </c>
      <c r="J1279">
        <v>379.5</v>
      </c>
      <c r="Q1279" s="22"/>
    </row>
    <row r="1280" spans="1:17" x14ac:dyDescent="0.3">
      <c r="A1280" t="s">
        <v>2410</v>
      </c>
      <c r="B1280" s="17">
        <v>43311</v>
      </c>
      <c r="C1280" t="s">
        <v>95</v>
      </c>
      <c r="D1280" t="s">
        <v>96</v>
      </c>
      <c r="E1280">
        <v>16</v>
      </c>
      <c r="F1280">
        <v>80</v>
      </c>
      <c r="G1280">
        <v>1280</v>
      </c>
      <c r="H1280">
        <v>0.03</v>
      </c>
      <c r="I1280" t="s">
        <v>115</v>
      </c>
      <c r="J1280">
        <v>38.4</v>
      </c>
      <c r="Q1280" s="21"/>
    </row>
    <row r="1281" spans="1:17" x14ac:dyDescent="0.3">
      <c r="A1281" t="s">
        <v>2411</v>
      </c>
      <c r="B1281" s="17">
        <v>43311</v>
      </c>
      <c r="C1281" t="s">
        <v>111</v>
      </c>
      <c r="D1281" t="s">
        <v>109</v>
      </c>
      <c r="E1281">
        <v>15</v>
      </c>
      <c r="F1281">
        <v>150</v>
      </c>
      <c r="G1281">
        <v>2250</v>
      </c>
      <c r="H1281">
        <v>7.0000000000000007E-2</v>
      </c>
      <c r="I1281" t="s">
        <v>116</v>
      </c>
      <c r="J1281">
        <v>157.50000000000003</v>
      </c>
      <c r="Q1281" s="22"/>
    </row>
    <row r="1282" spans="1:17" x14ac:dyDescent="0.3">
      <c r="A1282" t="s">
        <v>2412</v>
      </c>
      <c r="B1282" s="17">
        <v>43311</v>
      </c>
      <c r="C1282" t="s">
        <v>98</v>
      </c>
      <c r="D1282" t="s">
        <v>96</v>
      </c>
      <c r="E1282">
        <v>20</v>
      </c>
      <c r="F1282">
        <v>40</v>
      </c>
      <c r="G1282">
        <v>800</v>
      </c>
      <c r="H1282">
        <v>0.04</v>
      </c>
      <c r="I1282" t="s">
        <v>97</v>
      </c>
      <c r="J1282">
        <v>32</v>
      </c>
      <c r="Q1282" s="21"/>
    </row>
    <row r="1283" spans="1:17" x14ac:dyDescent="0.3">
      <c r="A1283" t="s">
        <v>2413</v>
      </c>
      <c r="B1283" s="17">
        <v>43311</v>
      </c>
      <c r="C1283" t="s">
        <v>101</v>
      </c>
      <c r="D1283" t="s">
        <v>104</v>
      </c>
      <c r="E1283">
        <v>10</v>
      </c>
      <c r="F1283">
        <v>230</v>
      </c>
      <c r="G1283">
        <v>2300</v>
      </c>
      <c r="H1283">
        <v>0.02</v>
      </c>
      <c r="I1283" t="s">
        <v>100</v>
      </c>
      <c r="J1283">
        <v>46</v>
      </c>
      <c r="Q1283" s="22"/>
    </row>
    <row r="1284" spans="1:17" x14ac:dyDescent="0.3">
      <c r="A1284" t="s">
        <v>2414</v>
      </c>
      <c r="B1284" s="17">
        <v>43311</v>
      </c>
      <c r="C1284" t="s">
        <v>95</v>
      </c>
      <c r="D1284" t="s">
        <v>99</v>
      </c>
      <c r="E1284">
        <v>9</v>
      </c>
      <c r="F1284">
        <v>80</v>
      </c>
      <c r="G1284">
        <v>720</v>
      </c>
      <c r="H1284">
        <v>0.03</v>
      </c>
      <c r="I1284" t="s">
        <v>102</v>
      </c>
      <c r="J1284">
        <v>21.599999999999998</v>
      </c>
      <c r="Q1284" s="21"/>
    </row>
    <row r="1285" spans="1:17" x14ac:dyDescent="0.3">
      <c r="A1285" t="s">
        <v>2415</v>
      </c>
      <c r="B1285" s="17">
        <v>43311</v>
      </c>
      <c r="C1285" t="s">
        <v>101</v>
      </c>
      <c r="D1285" t="s">
        <v>96</v>
      </c>
      <c r="E1285">
        <v>16</v>
      </c>
      <c r="F1285">
        <v>230</v>
      </c>
      <c r="G1285">
        <v>3680</v>
      </c>
      <c r="H1285">
        <v>7.0000000000000007E-2</v>
      </c>
      <c r="I1285" t="s">
        <v>103</v>
      </c>
      <c r="J1285">
        <v>257.60000000000002</v>
      </c>
      <c r="Q1285" s="22"/>
    </row>
    <row r="1286" spans="1:17" x14ac:dyDescent="0.3">
      <c r="A1286" t="s">
        <v>2416</v>
      </c>
      <c r="B1286" s="17">
        <v>43311</v>
      </c>
      <c r="C1286" t="s">
        <v>95</v>
      </c>
      <c r="D1286" t="s">
        <v>99</v>
      </c>
      <c r="E1286">
        <v>21</v>
      </c>
      <c r="F1286">
        <v>80</v>
      </c>
      <c r="G1286">
        <v>1680</v>
      </c>
      <c r="H1286">
        <v>0.04</v>
      </c>
      <c r="I1286" t="s">
        <v>105</v>
      </c>
      <c r="J1286">
        <v>67.2</v>
      </c>
      <c r="Q1286" s="21"/>
    </row>
    <row r="1287" spans="1:17" x14ac:dyDescent="0.3">
      <c r="A1287" t="s">
        <v>2417</v>
      </c>
      <c r="B1287" s="17">
        <v>43311</v>
      </c>
      <c r="C1287" t="s">
        <v>95</v>
      </c>
      <c r="D1287" t="s">
        <v>99</v>
      </c>
      <c r="E1287">
        <v>9</v>
      </c>
      <c r="F1287">
        <v>80</v>
      </c>
      <c r="G1287">
        <v>720</v>
      </c>
      <c r="H1287">
        <v>0.03</v>
      </c>
      <c r="I1287" t="s">
        <v>107</v>
      </c>
      <c r="J1287">
        <v>21.599999999999998</v>
      </c>
      <c r="Q1287" s="22"/>
    </row>
    <row r="1288" spans="1:17" x14ac:dyDescent="0.3">
      <c r="A1288" t="s">
        <v>2418</v>
      </c>
      <c r="B1288" s="17">
        <v>43311</v>
      </c>
      <c r="C1288" t="s">
        <v>98</v>
      </c>
      <c r="D1288" t="s">
        <v>99</v>
      </c>
      <c r="E1288">
        <v>4</v>
      </c>
      <c r="F1288">
        <v>40</v>
      </c>
      <c r="G1288">
        <v>160</v>
      </c>
      <c r="H1288">
        <v>0.12</v>
      </c>
      <c r="I1288" t="s">
        <v>100</v>
      </c>
      <c r="J1288">
        <v>19.2</v>
      </c>
      <c r="Q1288" s="21"/>
    </row>
    <row r="1289" spans="1:17" x14ac:dyDescent="0.3">
      <c r="A1289" t="s">
        <v>2419</v>
      </c>
      <c r="B1289" s="17">
        <v>43311</v>
      </c>
      <c r="C1289" t="s">
        <v>101</v>
      </c>
      <c r="D1289" t="s">
        <v>104</v>
      </c>
      <c r="E1289">
        <v>5</v>
      </c>
      <c r="F1289">
        <v>230</v>
      </c>
      <c r="G1289">
        <v>1150</v>
      </c>
      <c r="H1289">
        <v>0.01</v>
      </c>
      <c r="I1289" t="s">
        <v>102</v>
      </c>
      <c r="J1289">
        <v>11.5</v>
      </c>
      <c r="Q1289" s="22"/>
    </row>
    <row r="1290" spans="1:17" x14ac:dyDescent="0.3">
      <c r="A1290" t="s">
        <v>2420</v>
      </c>
      <c r="B1290" s="17">
        <v>43311</v>
      </c>
      <c r="C1290" t="s">
        <v>108</v>
      </c>
      <c r="D1290" t="s">
        <v>96</v>
      </c>
      <c r="E1290">
        <v>18</v>
      </c>
      <c r="F1290">
        <v>16</v>
      </c>
      <c r="G1290">
        <v>288</v>
      </c>
      <c r="H1290">
        <v>0.05</v>
      </c>
      <c r="I1290" t="s">
        <v>103</v>
      </c>
      <c r="J1290">
        <v>14.4</v>
      </c>
      <c r="Q1290" s="21"/>
    </row>
    <row r="1291" spans="1:17" x14ac:dyDescent="0.3">
      <c r="A1291" t="s">
        <v>2421</v>
      </c>
      <c r="B1291" s="17">
        <v>43312</v>
      </c>
      <c r="C1291" t="s">
        <v>95</v>
      </c>
      <c r="D1291" t="s">
        <v>104</v>
      </c>
      <c r="E1291">
        <v>6</v>
      </c>
      <c r="F1291">
        <v>80</v>
      </c>
      <c r="G1291">
        <v>480</v>
      </c>
      <c r="H1291">
        <v>0.01</v>
      </c>
      <c r="I1291" t="s">
        <v>105</v>
      </c>
      <c r="J1291">
        <v>4.8</v>
      </c>
      <c r="Q1291" s="22"/>
    </row>
    <row r="1292" spans="1:17" x14ac:dyDescent="0.3">
      <c r="A1292" t="s">
        <v>2422</v>
      </c>
      <c r="B1292" s="17">
        <v>43312</v>
      </c>
      <c r="C1292" t="s">
        <v>111</v>
      </c>
      <c r="D1292" t="s">
        <v>109</v>
      </c>
      <c r="E1292">
        <v>4</v>
      </c>
      <c r="F1292">
        <v>150</v>
      </c>
      <c r="G1292">
        <v>600</v>
      </c>
      <c r="H1292">
        <v>0.05</v>
      </c>
      <c r="I1292" t="s">
        <v>107</v>
      </c>
      <c r="J1292">
        <v>30</v>
      </c>
      <c r="Q1292" s="21"/>
    </row>
    <row r="1293" spans="1:17" x14ac:dyDescent="0.3">
      <c r="A1293" t="s">
        <v>2423</v>
      </c>
      <c r="B1293" s="17">
        <v>43312</v>
      </c>
      <c r="C1293" t="s">
        <v>101</v>
      </c>
      <c r="D1293" t="s">
        <v>109</v>
      </c>
      <c r="E1293">
        <v>21</v>
      </c>
      <c r="F1293">
        <v>230</v>
      </c>
      <c r="G1293">
        <v>4830</v>
      </c>
      <c r="H1293">
        <v>0.05</v>
      </c>
      <c r="I1293" t="s">
        <v>110</v>
      </c>
      <c r="J1293">
        <v>241.5</v>
      </c>
      <c r="Q1293" s="22"/>
    </row>
    <row r="1294" spans="1:17" x14ac:dyDescent="0.3">
      <c r="A1294" t="s">
        <v>2424</v>
      </c>
      <c r="B1294" s="17">
        <v>43312</v>
      </c>
      <c r="C1294" t="s">
        <v>111</v>
      </c>
      <c r="D1294" t="s">
        <v>96</v>
      </c>
      <c r="E1294">
        <v>4</v>
      </c>
      <c r="F1294">
        <v>150</v>
      </c>
      <c r="G1294">
        <v>600</v>
      </c>
      <c r="H1294">
        <v>0.06</v>
      </c>
      <c r="I1294" t="s">
        <v>112</v>
      </c>
      <c r="J1294">
        <v>36</v>
      </c>
      <c r="Q1294" s="21"/>
    </row>
    <row r="1295" spans="1:17" x14ac:dyDescent="0.3">
      <c r="A1295" t="s">
        <v>2425</v>
      </c>
      <c r="B1295" s="17">
        <v>43312</v>
      </c>
      <c r="C1295" t="s">
        <v>95</v>
      </c>
      <c r="D1295" t="s">
        <v>99</v>
      </c>
      <c r="E1295">
        <v>2</v>
      </c>
      <c r="F1295">
        <v>80</v>
      </c>
      <c r="G1295">
        <v>160</v>
      </c>
      <c r="H1295">
        <v>0.04</v>
      </c>
      <c r="I1295" t="s">
        <v>113</v>
      </c>
      <c r="J1295">
        <v>6.4</v>
      </c>
      <c r="Q1295" s="22"/>
    </row>
    <row r="1296" spans="1:17" x14ac:dyDescent="0.3">
      <c r="A1296" t="s">
        <v>2426</v>
      </c>
      <c r="B1296" s="17">
        <v>43312</v>
      </c>
      <c r="C1296" t="s">
        <v>108</v>
      </c>
      <c r="D1296" t="s">
        <v>99</v>
      </c>
      <c r="E1296">
        <v>5</v>
      </c>
      <c r="F1296">
        <v>16</v>
      </c>
      <c r="G1296">
        <v>80</v>
      </c>
      <c r="H1296">
        <v>0.11</v>
      </c>
      <c r="I1296" t="s">
        <v>114</v>
      </c>
      <c r="J1296">
        <v>8.8000000000000007</v>
      </c>
      <c r="Q1296" s="21"/>
    </row>
    <row r="1297" spans="1:17" x14ac:dyDescent="0.3">
      <c r="A1297" t="s">
        <v>2427</v>
      </c>
      <c r="B1297" s="17">
        <v>43312</v>
      </c>
      <c r="C1297" t="s">
        <v>111</v>
      </c>
      <c r="D1297" t="s">
        <v>109</v>
      </c>
      <c r="E1297">
        <v>23</v>
      </c>
      <c r="F1297">
        <v>150</v>
      </c>
      <c r="G1297">
        <v>3450</v>
      </c>
      <c r="H1297">
        <v>0.08</v>
      </c>
      <c r="I1297" t="s">
        <v>115</v>
      </c>
      <c r="J1297">
        <v>276</v>
      </c>
      <c r="Q1297" s="22"/>
    </row>
    <row r="1298" spans="1:17" x14ac:dyDescent="0.3">
      <c r="A1298" t="s">
        <v>2428</v>
      </c>
      <c r="B1298" s="17">
        <v>43312</v>
      </c>
      <c r="C1298" t="s">
        <v>95</v>
      </c>
      <c r="D1298" t="s">
        <v>99</v>
      </c>
      <c r="E1298">
        <v>3</v>
      </c>
      <c r="F1298">
        <v>80</v>
      </c>
      <c r="G1298">
        <v>240</v>
      </c>
      <c r="H1298">
        <v>0.02</v>
      </c>
      <c r="I1298" t="s">
        <v>116</v>
      </c>
      <c r="J1298">
        <v>4.8</v>
      </c>
      <c r="Q1298" s="21"/>
    </row>
    <row r="1299" spans="1:17" x14ac:dyDescent="0.3">
      <c r="A1299" t="s">
        <v>2429</v>
      </c>
      <c r="B1299" s="17">
        <v>43312</v>
      </c>
      <c r="C1299" t="s">
        <v>101</v>
      </c>
      <c r="D1299" t="s">
        <v>109</v>
      </c>
      <c r="E1299">
        <v>17</v>
      </c>
      <c r="F1299">
        <v>230</v>
      </c>
      <c r="G1299">
        <v>3910</v>
      </c>
      <c r="H1299">
        <v>0.11</v>
      </c>
      <c r="I1299" t="s">
        <v>97</v>
      </c>
      <c r="J1299">
        <v>430.1</v>
      </c>
      <c r="Q1299" s="22"/>
    </row>
    <row r="1300" spans="1:17" x14ac:dyDescent="0.3">
      <c r="A1300" t="s">
        <v>2430</v>
      </c>
      <c r="B1300" s="17">
        <v>43312</v>
      </c>
      <c r="C1300" t="s">
        <v>98</v>
      </c>
      <c r="D1300" t="s">
        <v>104</v>
      </c>
      <c r="E1300">
        <v>11</v>
      </c>
      <c r="F1300">
        <v>40</v>
      </c>
      <c r="G1300">
        <v>440</v>
      </c>
      <c r="H1300">
        <v>0.05</v>
      </c>
      <c r="I1300" t="s">
        <v>100</v>
      </c>
      <c r="J1300">
        <v>22</v>
      </c>
      <c r="Q1300" s="21"/>
    </row>
    <row r="1301" spans="1:17" x14ac:dyDescent="0.3">
      <c r="A1301" t="s">
        <v>2431</v>
      </c>
      <c r="B1301" s="17">
        <v>43312</v>
      </c>
      <c r="C1301" t="s">
        <v>98</v>
      </c>
      <c r="D1301" t="s">
        <v>104</v>
      </c>
      <c r="E1301">
        <v>13</v>
      </c>
      <c r="F1301">
        <v>40</v>
      </c>
      <c r="G1301">
        <v>520</v>
      </c>
      <c r="H1301">
        <v>0.02</v>
      </c>
      <c r="I1301" t="s">
        <v>103</v>
      </c>
      <c r="J1301">
        <v>10.4</v>
      </c>
      <c r="Q1301" s="22"/>
    </row>
    <row r="1302" spans="1:17" x14ac:dyDescent="0.3">
      <c r="Q1302" s="21"/>
    </row>
    <row r="1303" spans="1:17" x14ac:dyDescent="0.3">
      <c r="Q1303" s="22"/>
    </row>
  </sheetData>
  <pageMargins left="0.7" right="0.7" top="0.75" bottom="0.75" header="0.3" footer="0.3"/>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F0DE-C1AE-4E70-AD59-AEB112E91292}">
  <dimension ref="A2:M58"/>
  <sheetViews>
    <sheetView topLeftCell="A21" workbookViewId="0">
      <selection activeCell="C25" sqref="C25"/>
    </sheetView>
  </sheetViews>
  <sheetFormatPr defaultRowHeight="14.4" x14ac:dyDescent="0.3"/>
  <cols>
    <col min="1" max="1" width="16.21875" bestFit="1" customWidth="1"/>
    <col min="2" max="3" width="12.5546875" bestFit="1" customWidth="1"/>
    <col min="4" max="4" width="14.88671875" bestFit="1" customWidth="1"/>
    <col min="6" max="6" width="12.5546875" bestFit="1" customWidth="1"/>
    <col min="7" max="7" width="16.21875" bestFit="1" customWidth="1"/>
    <col min="9" max="9" width="12.5546875" bestFit="1" customWidth="1"/>
    <col min="10" max="10" width="22.88671875" bestFit="1" customWidth="1"/>
    <col min="12" max="12" width="12.5546875" bestFit="1" customWidth="1"/>
    <col min="13" max="13" width="15.88671875" bestFit="1" customWidth="1"/>
  </cols>
  <sheetData>
    <row r="2" spans="1:13" x14ac:dyDescent="0.3">
      <c r="A2" t="s">
        <v>2433</v>
      </c>
      <c r="C2" s="18" t="s">
        <v>1129</v>
      </c>
      <c r="D2" t="s">
        <v>2434</v>
      </c>
      <c r="L2" s="18" t="s">
        <v>1129</v>
      </c>
      <c r="M2" t="s">
        <v>2433</v>
      </c>
    </row>
    <row r="3" spans="1:13" x14ac:dyDescent="0.3">
      <c r="A3" s="32">
        <v>1300</v>
      </c>
      <c r="C3" s="19" t="s">
        <v>108</v>
      </c>
      <c r="D3" s="32">
        <v>3071</v>
      </c>
      <c r="L3" s="23">
        <v>43282</v>
      </c>
      <c r="M3" s="32">
        <v>39</v>
      </c>
    </row>
    <row r="4" spans="1:13" x14ac:dyDescent="0.3">
      <c r="C4" s="19" t="s">
        <v>101</v>
      </c>
      <c r="D4" s="32">
        <v>2648</v>
      </c>
      <c r="L4" s="23">
        <v>43283</v>
      </c>
      <c r="M4" s="32">
        <v>33</v>
      </c>
    </row>
    <row r="5" spans="1:13" x14ac:dyDescent="0.3">
      <c r="C5" s="19" t="s">
        <v>95</v>
      </c>
      <c r="D5" s="32">
        <v>3819</v>
      </c>
      <c r="L5" s="23">
        <v>43284</v>
      </c>
      <c r="M5" s="32">
        <v>36</v>
      </c>
    </row>
    <row r="6" spans="1:13" x14ac:dyDescent="0.3">
      <c r="A6" t="s">
        <v>2434</v>
      </c>
      <c r="C6" s="19" t="s">
        <v>111</v>
      </c>
      <c r="D6" s="32">
        <v>3067</v>
      </c>
      <c r="L6" s="23">
        <v>43285</v>
      </c>
      <c r="M6" s="32">
        <v>35</v>
      </c>
    </row>
    <row r="7" spans="1:13" x14ac:dyDescent="0.3">
      <c r="A7" s="32">
        <v>16632</v>
      </c>
      <c r="C7" s="19" t="s">
        <v>98</v>
      </c>
      <c r="D7" s="32">
        <v>4027</v>
      </c>
      <c r="L7" s="23">
        <v>43286</v>
      </c>
      <c r="M7" s="32">
        <v>42</v>
      </c>
    </row>
    <row r="8" spans="1:13" x14ac:dyDescent="0.3">
      <c r="C8" s="19" t="s">
        <v>1130</v>
      </c>
      <c r="D8" s="32">
        <v>16632</v>
      </c>
      <c r="L8" s="23">
        <v>43287</v>
      </c>
      <c r="M8" s="32">
        <v>47</v>
      </c>
    </row>
    <row r="9" spans="1:13" x14ac:dyDescent="0.3">
      <c r="L9" s="23">
        <v>43288</v>
      </c>
      <c r="M9" s="32">
        <v>53</v>
      </c>
    </row>
    <row r="10" spans="1:13" x14ac:dyDescent="0.3">
      <c r="A10" t="s">
        <v>2435</v>
      </c>
      <c r="L10" s="23">
        <v>43289</v>
      </c>
      <c r="M10" s="32">
        <v>50</v>
      </c>
    </row>
    <row r="11" spans="1:13" x14ac:dyDescent="0.3">
      <c r="A11" s="26">
        <v>1584826</v>
      </c>
      <c r="L11" s="23">
        <v>43290</v>
      </c>
      <c r="M11" s="32">
        <v>38</v>
      </c>
    </row>
    <row r="12" spans="1:13" x14ac:dyDescent="0.3">
      <c r="L12" s="23">
        <v>43291</v>
      </c>
      <c r="M12" s="32">
        <v>50</v>
      </c>
    </row>
    <row r="13" spans="1:13" x14ac:dyDescent="0.3">
      <c r="L13" s="23">
        <v>43292</v>
      </c>
      <c r="M13" s="32">
        <v>43</v>
      </c>
    </row>
    <row r="14" spans="1:13" x14ac:dyDescent="0.3">
      <c r="A14" t="s">
        <v>2436</v>
      </c>
      <c r="L14" s="23">
        <v>43293</v>
      </c>
      <c r="M14" s="32">
        <v>30</v>
      </c>
    </row>
    <row r="15" spans="1:13" x14ac:dyDescent="0.3">
      <c r="A15" s="26">
        <v>100157.03999999988</v>
      </c>
      <c r="L15" s="23">
        <v>43294</v>
      </c>
      <c r="M15" s="32">
        <v>48</v>
      </c>
    </row>
    <row r="16" spans="1:13" x14ac:dyDescent="0.3">
      <c r="L16" s="23">
        <v>43295</v>
      </c>
      <c r="M16" s="32">
        <v>46</v>
      </c>
    </row>
    <row r="17" spans="1:13" x14ac:dyDescent="0.3">
      <c r="C17" s="2" t="s">
        <v>2466</v>
      </c>
      <c r="F17" s="18" t="s">
        <v>1129</v>
      </c>
      <c r="G17" t="s">
        <v>2435</v>
      </c>
      <c r="I17" s="18" t="s">
        <v>1129</v>
      </c>
      <c r="J17" t="s">
        <v>2436</v>
      </c>
      <c r="L17" s="23">
        <v>43296</v>
      </c>
      <c r="M17" s="32">
        <v>45</v>
      </c>
    </row>
    <row r="18" spans="1:13" x14ac:dyDescent="0.3">
      <c r="A18" s="2" t="s">
        <v>2437</v>
      </c>
      <c r="C18">
        <f>COUNTA(B24:B25,B48:B61)-1</f>
        <v>12</v>
      </c>
      <c r="F18" s="19" t="s">
        <v>109</v>
      </c>
      <c r="G18" s="26">
        <v>306530</v>
      </c>
      <c r="I18" s="19" t="s">
        <v>109</v>
      </c>
      <c r="J18" s="26">
        <v>23576.700000000012</v>
      </c>
      <c r="L18" s="23">
        <v>43297</v>
      </c>
      <c r="M18" s="32">
        <v>48</v>
      </c>
    </row>
    <row r="19" spans="1:13" x14ac:dyDescent="0.3">
      <c r="A19" s="26">
        <f>GETPIVOTDATA("Total sales",$A$10)-GETPIVOTDATA("Total commission ",$A$14)</f>
        <v>1484668.9600000002</v>
      </c>
      <c r="F19" s="19" t="s">
        <v>96</v>
      </c>
      <c r="G19" s="26">
        <v>319900</v>
      </c>
      <c r="I19" s="19" t="s">
        <v>96</v>
      </c>
      <c r="J19" s="26">
        <v>17871.140000000018</v>
      </c>
      <c r="L19" s="23">
        <v>43298</v>
      </c>
      <c r="M19" s="32">
        <v>48</v>
      </c>
    </row>
    <row r="20" spans="1:13" x14ac:dyDescent="0.3">
      <c r="F20" s="19" t="s">
        <v>104</v>
      </c>
      <c r="G20" s="26">
        <v>307656</v>
      </c>
      <c r="I20" s="19" t="s">
        <v>104</v>
      </c>
      <c r="J20" s="26">
        <v>17621.360000000004</v>
      </c>
      <c r="L20" s="23">
        <v>43299</v>
      </c>
      <c r="M20" s="32">
        <v>41</v>
      </c>
    </row>
    <row r="21" spans="1:13" x14ac:dyDescent="0.3">
      <c r="A21" s="2"/>
      <c r="F21" s="19" t="s">
        <v>99</v>
      </c>
      <c r="G21" s="26">
        <v>321258</v>
      </c>
      <c r="I21" s="19" t="s">
        <v>99</v>
      </c>
      <c r="J21" s="26">
        <v>21012.360000000004</v>
      </c>
      <c r="L21" s="23">
        <v>43300</v>
      </c>
      <c r="M21" s="32">
        <v>44</v>
      </c>
    </row>
    <row r="22" spans="1:13" x14ac:dyDescent="0.3">
      <c r="A22" s="24"/>
      <c r="F22" s="19" t="s">
        <v>106</v>
      </c>
      <c r="G22" s="26">
        <v>329482</v>
      </c>
      <c r="I22" s="19" t="s">
        <v>106</v>
      </c>
      <c r="J22" s="26">
        <v>20075.480000000003</v>
      </c>
      <c r="L22" s="23">
        <v>43301</v>
      </c>
      <c r="M22" s="32">
        <v>34</v>
      </c>
    </row>
    <row r="23" spans="1:13" x14ac:dyDescent="0.3">
      <c r="B23" s="18" t="s">
        <v>1129</v>
      </c>
      <c r="C23" t="s">
        <v>2433</v>
      </c>
      <c r="F23" s="19" t="s">
        <v>1130</v>
      </c>
      <c r="G23" s="26">
        <v>1584826</v>
      </c>
      <c r="I23" s="19" t="s">
        <v>1130</v>
      </c>
      <c r="J23" s="26">
        <v>100157.04000000004</v>
      </c>
      <c r="L23" s="23">
        <v>43302</v>
      </c>
      <c r="M23" s="32">
        <v>47</v>
      </c>
    </row>
    <row r="24" spans="1:13" x14ac:dyDescent="0.3">
      <c r="B24" s="19" t="s">
        <v>107</v>
      </c>
      <c r="C24" s="32">
        <v>104</v>
      </c>
      <c r="L24" s="23">
        <v>43303</v>
      </c>
      <c r="M24" s="32">
        <v>38</v>
      </c>
    </row>
    <row r="25" spans="1:13" x14ac:dyDescent="0.3">
      <c r="B25" s="19" t="s">
        <v>103</v>
      </c>
      <c r="C25" s="32">
        <v>105</v>
      </c>
      <c r="L25" s="23">
        <v>43304</v>
      </c>
      <c r="M25" s="32">
        <v>39</v>
      </c>
    </row>
    <row r="26" spans="1:13" x14ac:dyDescent="0.3">
      <c r="B26" s="19" t="s">
        <v>2444</v>
      </c>
      <c r="C26" s="32"/>
      <c r="L26" s="23">
        <v>43305</v>
      </c>
      <c r="M26" s="32">
        <v>46</v>
      </c>
    </row>
    <row r="27" spans="1:13" x14ac:dyDescent="0.3">
      <c r="B27" s="19" t="s">
        <v>2445</v>
      </c>
      <c r="C27" s="32"/>
      <c r="L27" s="23">
        <v>43306</v>
      </c>
      <c r="M27" s="32">
        <v>49</v>
      </c>
    </row>
    <row r="28" spans="1:13" x14ac:dyDescent="0.3">
      <c r="B28" s="19" t="s">
        <v>2446</v>
      </c>
      <c r="C28" s="32"/>
      <c r="L28" s="23">
        <v>43307</v>
      </c>
      <c r="M28" s="32">
        <v>47</v>
      </c>
    </row>
    <row r="29" spans="1:13" x14ac:dyDescent="0.3">
      <c r="B29" s="19" t="s">
        <v>2447</v>
      </c>
      <c r="C29" s="32"/>
      <c r="L29" s="23">
        <v>43308</v>
      </c>
      <c r="M29" s="32">
        <v>52</v>
      </c>
    </row>
    <row r="30" spans="1:13" x14ac:dyDescent="0.3">
      <c r="B30" s="19" t="s">
        <v>2448</v>
      </c>
      <c r="C30" s="32"/>
      <c r="D30" s="19" t="s">
        <v>107</v>
      </c>
      <c r="E30">
        <v>104</v>
      </c>
      <c r="L30" s="23">
        <v>43309</v>
      </c>
      <c r="M30" s="32">
        <v>37</v>
      </c>
    </row>
    <row r="31" spans="1:13" x14ac:dyDescent="0.3">
      <c r="B31" s="19" t="s">
        <v>2449</v>
      </c>
      <c r="C31" s="32"/>
      <c r="D31" s="19" t="s">
        <v>103</v>
      </c>
      <c r="E31">
        <v>105</v>
      </c>
      <c r="L31" s="23">
        <v>43310</v>
      </c>
      <c r="M31" s="32">
        <v>42</v>
      </c>
    </row>
    <row r="32" spans="1:13" x14ac:dyDescent="0.3">
      <c r="B32" s="19" t="s">
        <v>2450</v>
      </c>
      <c r="C32" s="32"/>
      <c r="D32" s="19" t="s">
        <v>110</v>
      </c>
      <c r="E32">
        <v>120</v>
      </c>
      <c r="L32" s="23">
        <v>43311</v>
      </c>
      <c r="M32" s="32">
        <v>28</v>
      </c>
    </row>
    <row r="33" spans="2:13" x14ac:dyDescent="0.3">
      <c r="B33" s="19" t="s">
        <v>2451</v>
      </c>
      <c r="C33" s="32"/>
      <c r="D33" s="19" t="s">
        <v>113</v>
      </c>
      <c r="E33">
        <v>163</v>
      </c>
      <c r="L33" s="23">
        <v>43312</v>
      </c>
      <c r="M33" s="32">
        <v>25</v>
      </c>
    </row>
    <row r="34" spans="2:13" x14ac:dyDescent="0.3">
      <c r="B34" s="19" t="s">
        <v>2452</v>
      </c>
      <c r="C34" s="32"/>
      <c r="D34" s="19" t="s">
        <v>115</v>
      </c>
      <c r="E34">
        <v>68</v>
      </c>
      <c r="L34" s="23" t="s">
        <v>1130</v>
      </c>
      <c r="M34" s="32">
        <v>1300</v>
      </c>
    </row>
    <row r="35" spans="2:13" x14ac:dyDescent="0.3">
      <c r="B35" s="19" t="s">
        <v>2453</v>
      </c>
      <c r="C35" s="32"/>
      <c r="D35" s="19" t="s">
        <v>114</v>
      </c>
      <c r="E35">
        <v>119</v>
      </c>
    </row>
    <row r="36" spans="2:13" x14ac:dyDescent="0.3">
      <c r="B36" s="19" t="s">
        <v>2454</v>
      </c>
      <c r="C36" s="32"/>
      <c r="D36" s="19" t="s">
        <v>112</v>
      </c>
      <c r="E36">
        <v>119</v>
      </c>
    </row>
    <row r="37" spans="2:13" x14ac:dyDescent="0.3">
      <c r="B37" s="19" t="s">
        <v>2455</v>
      </c>
      <c r="C37" s="32"/>
      <c r="D37" s="19" t="s">
        <v>116</v>
      </c>
      <c r="E37">
        <v>68</v>
      </c>
    </row>
    <row r="38" spans="2:13" x14ac:dyDescent="0.3">
      <c r="B38" s="19" t="s">
        <v>2456</v>
      </c>
      <c r="C38" s="32"/>
      <c r="D38" s="19" t="s">
        <v>102</v>
      </c>
      <c r="E38">
        <v>150</v>
      </c>
    </row>
    <row r="39" spans="2:13" x14ac:dyDescent="0.3">
      <c r="B39" s="19" t="s">
        <v>2457</v>
      </c>
      <c r="C39" s="32"/>
      <c r="D39" s="19" t="s">
        <v>97</v>
      </c>
      <c r="E39">
        <v>76</v>
      </c>
    </row>
    <row r="40" spans="2:13" x14ac:dyDescent="0.3">
      <c r="B40" s="19" t="s">
        <v>2458</v>
      </c>
      <c r="C40" s="32"/>
      <c r="D40" s="19" t="s">
        <v>100</v>
      </c>
      <c r="E40">
        <v>105</v>
      </c>
    </row>
    <row r="41" spans="2:13" x14ac:dyDescent="0.3">
      <c r="B41" s="19" t="s">
        <v>2459</v>
      </c>
      <c r="C41" s="32"/>
      <c r="D41" s="19" t="s">
        <v>105</v>
      </c>
      <c r="E41">
        <v>103</v>
      </c>
    </row>
    <row r="42" spans="2:13" x14ac:dyDescent="0.3">
      <c r="B42" s="19" t="s">
        <v>2460</v>
      </c>
      <c r="C42" s="32"/>
    </row>
    <row r="43" spans="2:13" x14ac:dyDescent="0.3">
      <c r="B43" s="19" t="s">
        <v>2461</v>
      </c>
      <c r="C43" s="32"/>
    </row>
    <row r="44" spans="2:13" x14ac:dyDescent="0.3">
      <c r="B44" s="19" t="s">
        <v>2462</v>
      </c>
      <c r="C44" s="32"/>
    </row>
    <row r="45" spans="2:13" x14ac:dyDescent="0.3">
      <c r="B45" s="19" t="s">
        <v>2463</v>
      </c>
      <c r="C45" s="32"/>
    </row>
    <row r="46" spans="2:13" x14ac:dyDescent="0.3">
      <c r="B46" s="19" t="s">
        <v>2464</v>
      </c>
      <c r="C46" s="32"/>
    </row>
    <row r="47" spans="2:13" x14ac:dyDescent="0.3">
      <c r="B47" s="19" t="s">
        <v>2465</v>
      </c>
      <c r="C47" s="32"/>
    </row>
    <row r="48" spans="2:13" x14ac:dyDescent="0.3">
      <c r="B48" s="19" t="s">
        <v>110</v>
      </c>
      <c r="C48" s="32">
        <v>120</v>
      </c>
    </row>
    <row r="49" spans="2:3" x14ac:dyDescent="0.3">
      <c r="B49" s="19" t="s">
        <v>113</v>
      </c>
      <c r="C49" s="32">
        <v>163</v>
      </c>
    </row>
    <row r="50" spans="2:3" x14ac:dyDescent="0.3">
      <c r="B50" s="19" t="s">
        <v>115</v>
      </c>
      <c r="C50" s="32">
        <v>68</v>
      </c>
    </row>
    <row r="51" spans="2:3" x14ac:dyDescent="0.3">
      <c r="B51" s="19" t="s">
        <v>114</v>
      </c>
      <c r="C51" s="32">
        <v>119</v>
      </c>
    </row>
    <row r="52" spans="2:3" x14ac:dyDescent="0.3">
      <c r="B52" s="19" t="s">
        <v>112</v>
      </c>
      <c r="C52" s="32">
        <v>119</v>
      </c>
    </row>
    <row r="53" spans="2:3" x14ac:dyDescent="0.3">
      <c r="B53" s="19" t="s">
        <v>116</v>
      </c>
      <c r="C53" s="32">
        <v>68</v>
      </c>
    </row>
    <row r="54" spans="2:3" x14ac:dyDescent="0.3">
      <c r="B54" s="19" t="s">
        <v>102</v>
      </c>
      <c r="C54" s="32">
        <v>150</v>
      </c>
    </row>
    <row r="55" spans="2:3" x14ac:dyDescent="0.3">
      <c r="B55" s="19" t="s">
        <v>97</v>
      </c>
      <c r="C55" s="32">
        <v>76</v>
      </c>
    </row>
    <row r="56" spans="2:3" x14ac:dyDescent="0.3">
      <c r="B56" s="19" t="s">
        <v>100</v>
      </c>
      <c r="C56" s="32">
        <v>105</v>
      </c>
    </row>
    <row r="57" spans="2:3" x14ac:dyDescent="0.3">
      <c r="B57" s="19" t="s">
        <v>105</v>
      </c>
      <c r="C57" s="32">
        <v>103</v>
      </c>
    </row>
    <row r="58" spans="2:3" x14ac:dyDescent="0.3">
      <c r="B58" s="19" t="s">
        <v>1130</v>
      </c>
      <c r="C58" s="32">
        <v>1300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48F04-7C81-4BAA-BAB5-50E4C79F846E}">
  <dimension ref="A1:X50"/>
  <sheetViews>
    <sheetView tabSelected="1" workbookViewId="0">
      <selection activeCell="A28" sqref="A28"/>
    </sheetView>
  </sheetViews>
  <sheetFormatPr defaultRowHeight="14.4" x14ac:dyDescent="0.3"/>
  <cols>
    <col min="1" max="1" width="204.5546875" customWidth="1"/>
  </cols>
  <sheetData>
    <row r="1" spans="1:24" ht="79.8" customHeight="1" x14ac:dyDescent="1.1000000000000001">
      <c r="A1" s="29" t="s">
        <v>2467</v>
      </c>
      <c r="B1" s="25"/>
      <c r="C1" s="25"/>
      <c r="D1" s="25"/>
      <c r="E1" s="25"/>
      <c r="F1" s="25"/>
      <c r="G1" s="25"/>
      <c r="H1" s="25"/>
      <c r="I1" s="25"/>
      <c r="J1" s="25"/>
      <c r="K1" s="25"/>
      <c r="L1" s="25"/>
      <c r="M1" s="25"/>
      <c r="N1" s="25"/>
      <c r="O1" s="25"/>
      <c r="P1" s="25"/>
      <c r="Q1" s="25"/>
      <c r="R1" s="25"/>
      <c r="S1" s="25"/>
      <c r="T1" s="25"/>
      <c r="U1" s="25"/>
      <c r="V1" s="25"/>
      <c r="W1" s="25"/>
      <c r="X1" s="25"/>
    </row>
    <row r="2" spans="1:24" x14ac:dyDescent="0.3">
      <c r="A2" s="25"/>
      <c r="B2" s="25"/>
      <c r="C2" s="25"/>
      <c r="D2" s="25"/>
      <c r="E2" s="25"/>
      <c r="F2" s="25"/>
      <c r="G2" s="25"/>
      <c r="H2" s="25"/>
      <c r="I2" s="25"/>
      <c r="J2" s="25"/>
      <c r="K2" s="25"/>
      <c r="L2" s="25"/>
      <c r="M2" s="25"/>
      <c r="N2" s="25"/>
      <c r="O2" s="25"/>
      <c r="P2" s="25"/>
      <c r="Q2" s="25"/>
      <c r="R2" s="25"/>
      <c r="S2" s="25"/>
      <c r="T2" s="25"/>
      <c r="U2" s="25"/>
      <c r="V2" s="25"/>
      <c r="W2" s="25"/>
      <c r="X2" s="25"/>
    </row>
    <row r="3" spans="1:24" x14ac:dyDescent="0.3">
      <c r="A3" s="25"/>
      <c r="B3" s="25"/>
      <c r="C3" s="25"/>
      <c r="D3" s="25"/>
      <c r="E3" s="25"/>
      <c r="F3" s="25"/>
      <c r="G3" s="25"/>
      <c r="H3" s="25"/>
      <c r="I3" s="25"/>
      <c r="J3" s="25"/>
      <c r="K3" s="25"/>
      <c r="L3" s="25"/>
      <c r="M3" s="25"/>
      <c r="N3" s="25"/>
      <c r="O3" s="25"/>
      <c r="P3" s="25"/>
      <c r="Q3" s="25"/>
      <c r="R3" s="25"/>
      <c r="S3" s="25"/>
      <c r="T3" s="25"/>
      <c r="U3" s="25"/>
      <c r="V3" s="25"/>
      <c r="W3" s="25"/>
      <c r="X3" s="25"/>
    </row>
    <row r="4" spans="1:24" x14ac:dyDescent="0.3">
      <c r="A4" s="25"/>
      <c r="B4" s="25"/>
      <c r="C4" s="25"/>
      <c r="D4" s="25"/>
      <c r="E4" s="25"/>
      <c r="F4" s="25"/>
      <c r="G4" s="25"/>
      <c r="H4" s="25"/>
      <c r="I4" s="25"/>
      <c r="J4" s="25"/>
      <c r="K4" s="25"/>
      <c r="L4" s="25"/>
      <c r="M4" s="25"/>
      <c r="N4" s="25"/>
      <c r="O4" s="25"/>
      <c r="P4" s="25"/>
      <c r="Q4" s="25"/>
      <c r="R4" s="25"/>
      <c r="S4" s="25"/>
      <c r="T4" s="25"/>
      <c r="U4" s="25"/>
      <c r="V4" s="25"/>
      <c r="W4" s="25"/>
      <c r="X4" s="25"/>
    </row>
    <row r="5" spans="1:24" x14ac:dyDescent="0.3">
      <c r="A5" s="25"/>
      <c r="B5" s="25"/>
      <c r="C5" s="25"/>
      <c r="D5" s="25"/>
      <c r="E5" s="25"/>
      <c r="F5" s="25"/>
      <c r="G5" s="25"/>
      <c r="H5" s="25"/>
      <c r="I5" s="25"/>
      <c r="J5" s="25"/>
      <c r="K5" s="25"/>
      <c r="L5" s="25"/>
      <c r="M5" s="25"/>
      <c r="N5" s="25"/>
      <c r="O5" s="25"/>
      <c r="P5" s="25"/>
      <c r="Q5" s="25"/>
      <c r="R5" s="25"/>
      <c r="S5" s="25"/>
      <c r="T5" s="25"/>
      <c r="U5" s="25"/>
      <c r="V5" s="25"/>
      <c r="W5" s="25"/>
      <c r="X5" s="25"/>
    </row>
    <row r="6" spans="1:24" x14ac:dyDescent="0.3">
      <c r="A6" s="25"/>
      <c r="B6" s="25"/>
      <c r="C6" s="25"/>
      <c r="D6" s="25"/>
      <c r="E6" s="25"/>
      <c r="F6" s="25"/>
      <c r="G6" s="25"/>
      <c r="H6" s="25"/>
      <c r="I6" s="25"/>
      <c r="J6" s="25"/>
      <c r="K6" s="25"/>
      <c r="L6" s="25"/>
      <c r="M6" s="25"/>
      <c r="N6" s="25"/>
      <c r="O6" s="25"/>
      <c r="P6" s="25"/>
      <c r="Q6" s="25"/>
      <c r="R6" s="25"/>
      <c r="S6" s="25"/>
      <c r="T6" s="25"/>
      <c r="U6" s="25"/>
      <c r="V6" s="25"/>
      <c r="W6" s="25"/>
      <c r="X6" s="25"/>
    </row>
    <row r="7" spans="1:24" x14ac:dyDescent="0.3">
      <c r="A7" s="25"/>
      <c r="B7" s="25"/>
      <c r="C7" s="25"/>
      <c r="D7" s="25"/>
      <c r="E7" s="25"/>
      <c r="F7" s="25"/>
      <c r="G7" s="25"/>
      <c r="H7" s="25"/>
      <c r="I7" s="25"/>
      <c r="J7" s="25"/>
      <c r="K7" s="25"/>
      <c r="L7" s="25"/>
      <c r="M7" s="25"/>
      <c r="N7" s="25"/>
      <c r="O7" s="25"/>
      <c r="P7" s="25"/>
      <c r="Q7" s="25"/>
      <c r="R7" s="25"/>
      <c r="S7" s="25"/>
      <c r="T7" s="25"/>
      <c r="U7" s="25"/>
      <c r="V7" s="25"/>
      <c r="W7" s="25"/>
      <c r="X7" s="25"/>
    </row>
    <row r="8" spans="1:24" x14ac:dyDescent="0.3">
      <c r="A8" s="25"/>
      <c r="B8" s="25"/>
      <c r="C8" s="25"/>
      <c r="D8" s="25"/>
      <c r="E8" s="25"/>
      <c r="F8" s="25"/>
      <c r="G8" s="25"/>
      <c r="H8" s="25"/>
      <c r="I8" s="25"/>
      <c r="J8" s="25"/>
      <c r="K8" s="25"/>
      <c r="L8" s="25"/>
      <c r="M8" s="25"/>
      <c r="N8" s="25"/>
      <c r="O8" s="25"/>
      <c r="P8" s="25"/>
      <c r="Q8" s="25"/>
      <c r="R8" s="25"/>
      <c r="S8" s="25"/>
      <c r="T8" s="25"/>
      <c r="U8" s="25"/>
      <c r="V8" s="25"/>
      <c r="W8" s="25"/>
      <c r="X8" s="25"/>
    </row>
    <row r="9" spans="1:24" x14ac:dyDescent="0.3">
      <c r="A9" s="25"/>
      <c r="B9" s="25"/>
      <c r="C9" s="25"/>
      <c r="D9" s="25"/>
      <c r="E9" s="25"/>
      <c r="F9" s="25"/>
      <c r="G9" s="25"/>
      <c r="H9" s="25"/>
      <c r="I9" s="25"/>
      <c r="J9" s="25"/>
      <c r="K9" s="25"/>
      <c r="L9" s="25"/>
      <c r="M9" s="25"/>
      <c r="N9" s="25"/>
      <c r="O9" s="25"/>
      <c r="P9" s="25"/>
      <c r="Q9" s="25"/>
      <c r="R9" s="25"/>
      <c r="S9" s="25"/>
      <c r="T9" s="25"/>
      <c r="U9" s="25"/>
      <c r="V9" s="25"/>
      <c r="W9" s="25"/>
      <c r="X9" s="25"/>
    </row>
    <row r="10" spans="1:24"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row>
    <row r="11" spans="1:24"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row>
    <row r="12" spans="1:24"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row>
    <row r="13" spans="1:24"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row>
    <row r="14" spans="1:24"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row>
    <row r="15" spans="1:24"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row>
    <row r="16" spans="1:24"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row>
    <row r="17" spans="1:24"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row>
    <row r="18" spans="1:24"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row>
    <row r="19" spans="1:24"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row>
    <row r="20" spans="1:24" x14ac:dyDescent="0.3">
      <c r="A20" s="25"/>
      <c r="B20" s="25"/>
      <c r="C20" s="25"/>
      <c r="D20" s="25"/>
      <c r="E20" s="25"/>
      <c r="F20" s="25"/>
      <c r="G20" s="25"/>
      <c r="H20" s="25"/>
      <c r="I20" s="25"/>
      <c r="J20" s="25"/>
      <c r="K20" s="25"/>
      <c r="L20" s="25"/>
      <c r="M20" s="25"/>
      <c r="N20" s="25"/>
      <c r="O20" s="25"/>
      <c r="P20" s="25"/>
      <c r="Q20" s="25"/>
      <c r="R20" s="25"/>
      <c r="S20" s="25"/>
      <c r="T20" s="25"/>
      <c r="U20" s="25"/>
      <c r="V20" s="25"/>
      <c r="W20" s="25"/>
      <c r="X20" s="25"/>
    </row>
    <row r="21" spans="1:24" x14ac:dyDescent="0.3">
      <c r="A21" s="25"/>
      <c r="B21" s="25"/>
      <c r="C21" s="25"/>
      <c r="D21" s="25"/>
      <c r="E21" s="25"/>
      <c r="F21" s="25"/>
      <c r="G21" s="25"/>
      <c r="H21" s="25"/>
      <c r="I21" s="25"/>
      <c r="J21" s="25"/>
      <c r="K21" s="25"/>
      <c r="L21" s="25"/>
      <c r="M21" s="25"/>
      <c r="N21" s="25"/>
      <c r="O21" s="25"/>
      <c r="P21" s="25"/>
      <c r="Q21" s="25"/>
      <c r="R21" s="25"/>
      <c r="S21" s="25"/>
      <c r="T21" s="25"/>
      <c r="U21" s="25"/>
      <c r="V21" s="25"/>
      <c r="W21" s="25"/>
      <c r="X21" s="25"/>
    </row>
    <row r="22" spans="1:24" x14ac:dyDescent="0.3">
      <c r="A22" s="25"/>
      <c r="B22" s="25"/>
      <c r="C22" s="25"/>
      <c r="D22" s="25"/>
      <c r="E22" s="25"/>
      <c r="F22" s="25"/>
      <c r="G22" s="25"/>
      <c r="H22" s="25"/>
      <c r="I22" s="25"/>
      <c r="J22" s="25"/>
      <c r="K22" s="25"/>
      <c r="L22" s="25"/>
      <c r="M22" s="25"/>
      <c r="N22" s="25"/>
      <c r="O22" s="25"/>
      <c r="P22" s="25"/>
      <c r="Q22" s="25"/>
      <c r="R22" s="25"/>
      <c r="S22" s="25"/>
      <c r="T22" s="25"/>
      <c r="U22" s="25"/>
      <c r="V22" s="25"/>
      <c r="W22" s="25"/>
      <c r="X22" s="25"/>
    </row>
    <row r="23" spans="1:24" x14ac:dyDescent="0.3">
      <c r="A23" s="25"/>
      <c r="B23" s="25"/>
      <c r="C23" s="25"/>
      <c r="D23" s="25"/>
      <c r="E23" s="25"/>
      <c r="F23" s="25"/>
      <c r="G23" s="25"/>
      <c r="H23" s="25"/>
      <c r="I23" s="25"/>
      <c r="J23" s="25"/>
      <c r="K23" s="25"/>
      <c r="L23" s="25"/>
      <c r="M23" s="25"/>
      <c r="N23" s="25"/>
      <c r="O23" s="25"/>
      <c r="P23" s="25"/>
      <c r="Q23" s="25"/>
      <c r="R23" s="25"/>
      <c r="S23" s="25"/>
      <c r="T23" s="25"/>
      <c r="U23" s="25"/>
      <c r="V23" s="25"/>
      <c r="W23" s="25"/>
      <c r="X23" s="25"/>
    </row>
    <row r="24" spans="1:24" x14ac:dyDescent="0.3">
      <c r="A24" s="25"/>
      <c r="B24" s="25"/>
      <c r="C24" s="25"/>
      <c r="D24" s="25"/>
      <c r="E24" s="25"/>
      <c r="F24" s="25"/>
      <c r="G24" s="25"/>
      <c r="H24" s="25"/>
      <c r="I24" s="25"/>
      <c r="J24" s="25"/>
      <c r="K24" s="25"/>
      <c r="L24" s="25"/>
      <c r="M24" s="25"/>
      <c r="N24" s="25"/>
      <c r="O24" s="25"/>
      <c r="P24" s="25"/>
      <c r="Q24" s="25"/>
      <c r="R24" s="25"/>
      <c r="S24" s="25"/>
      <c r="T24" s="25"/>
      <c r="U24" s="25"/>
      <c r="V24" s="25"/>
      <c r="W24" s="25"/>
      <c r="X24" s="25"/>
    </row>
    <row r="25" spans="1:24" x14ac:dyDescent="0.3">
      <c r="A25" s="25"/>
      <c r="B25" s="25"/>
      <c r="C25" s="25"/>
      <c r="D25" s="25"/>
      <c r="E25" s="25"/>
      <c r="F25" s="25"/>
      <c r="G25" s="25"/>
      <c r="H25" s="25"/>
      <c r="I25" s="25"/>
      <c r="J25" s="25"/>
      <c r="K25" s="25"/>
      <c r="L25" s="25"/>
      <c r="M25" s="25"/>
      <c r="N25" s="25"/>
      <c r="O25" s="25"/>
      <c r="P25" s="25"/>
      <c r="Q25" s="25"/>
      <c r="R25" s="25"/>
      <c r="S25" s="25"/>
      <c r="T25" s="25"/>
      <c r="U25" s="25"/>
      <c r="V25" s="25"/>
      <c r="W25" s="25"/>
      <c r="X25" s="25"/>
    </row>
    <row r="26" spans="1:24" x14ac:dyDescent="0.3">
      <c r="A26" s="25"/>
      <c r="B26" s="25"/>
      <c r="C26" s="25"/>
      <c r="D26" s="25"/>
      <c r="E26" s="25"/>
      <c r="F26" s="25"/>
      <c r="G26" s="25"/>
      <c r="H26" s="25"/>
      <c r="I26" s="25"/>
      <c r="J26" s="25"/>
      <c r="K26" s="25"/>
      <c r="L26" s="25"/>
      <c r="M26" s="25"/>
      <c r="N26" s="25"/>
      <c r="O26" s="25"/>
      <c r="P26" s="25"/>
      <c r="Q26" s="25"/>
      <c r="R26" s="25"/>
      <c r="S26" s="25"/>
      <c r="T26" s="25"/>
      <c r="U26" s="25"/>
      <c r="V26" s="25"/>
      <c r="W26" s="25"/>
      <c r="X26" s="25"/>
    </row>
    <row r="27" spans="1:24" x14ac:dyDescent="0.3">
      <c r="A27" s="25"/>
      <c r="B27" s="25"/>
      <c r="C27" s="25"/>
      <c r="D27" s="25"/>
      <c r="E27" s="25"/>
      <c r="F27" s="25"/>
      <c r="G27" s="25"/>
      <c r="H27" s="25"/>
      <c r="I27" s="25"/>
      <c r="J27" s="25"/>
      <c r="K27" s="25"/>
      <c r="L27" s="25"/>
      <c r="M27" s="25"/>
      <c r="N27" s="25"/>
      <c r="O27" s="25"/>
      <c r="P27" s="25"/>
      <c r="Q27" s="25"/>
      <c r="R27" s="25"/>
      <c r="S27" s="25"/>
      <c r="T27" s="25"/>
      <c r="U27" s="25"/>
      <c r="V27" s="25"/>
      <c r="W27" s="25"/>
      <c r="X27" s="25"/>
    </row>
    <row r="28" spans="1:24" x14ac:dyDescent="0.3">
      <c r="A28" s="25"/>
      <c r="B28" s="25"/>
      <c r="C28" s="25"/>
      <c r="D28" s="25"/>
      <c r="E28" s="25"/>
      <c r="F28" s="25"/>
      <c r="G28" s="25"/>
      <c r="H28" s="25"/>
      <c r="I28" s="25"/>
      <c r="J28" s="25"/>
      <c r="K28" s="25"/>
      <c r="L28" s="25"/>
      <c r="M28" s="25"/>
      <c r="N28" s="25"/>
      <c r="O28" s="25"/>
      <c r="P28" s="25"/>
      <c r="Q28" s="25"/>
      <c r="R28" s="25"/>
      <c r="S28" s="25"/>
      <c r="T28" s="25"/>
      <c r="U28" s="25"/>
      <c r="V28" s="25"/>
      <c r="W28" s="25"/>
      <c r="X28" s="25"/>
    </row>
    <row r="29" spans="1:24" x14ac:dyDescent="0.3">
      <c r="A29" s="25"/>
      <c r="B29" s="25"/>
      <c r="C29" s="25"/>
      <c r="D29" s="25"/>
      <c r="E29" s="25"/>
      <c r="F29" s="25"/>
      <c r="G29" s="25"/>
      <c r="H29" s="25"/>
      <c r="I29" s="25"/>
      <c r="J29" s="25"/>
      <c r="K29" s="25"/>
      <c r="L29" s="25"/>
      <c r="M29" s="25"/>
      <c r="N29" s="25"/>
      <c r="O29" s="25"/>
      <c r="P29" s="25"/>
      <c r="Q29" s="25"/>
      <c r="R29" s="25"/>
      <c r="S29" s="25"/>
      <c r="T29" s="25"/>
      <c r="U29" s="25"/>
      <c r="V29" s="25"/>
      <c r="W29" s="25"/>
      <c r="X29" s="25"/>
    </row>
    <row r="30" spans="1:24" x14ac:dyDescent="0.3">
      <c r="A30" s="25"/>
      <c r="B30" s="25"/>
      <c r="C30" s="25"/>
      <c r="D30" s="25"/>
      <c r="E30" s="25"/>
      <c r="F30" s="25"/>
      <c r="G30" s="25"/>
      <c r="H30" s="25"/>
      <c r="I30" s="25"/>
      <c r="J30" s="25"/>
      <c r="K30" s="25"/>
      <c r="L30" s="25"/>
      <c r="M30" s="25"/>
      <c r="N30" s="25"/>
      <c r="O30" s="25"/>
      <c r="P30" s="25"/>
      <c r="Q30" s="25"/>
      <c r="R30" s="25"/>
      <c r="S30" s="25"/>
      <c r="T30" s="25"/>
      <c r="U30" s="25"/>
      <c r="V30" s="25"/>
      <c r="W30" s="25"/>
      <c r="X30" s="25"/>
    </row>
    <row r="31" spans="1:24" x14ac:dyDescent="0.3">
      <c r="A31" s="25"/>
      <c r="B31" s="25"/>
      <c r="C31" s="25"/>
      <c r="D31" s="25"/>
      <c r="E31" s="25"/>
      <c r="F31" s="25"/>
      <c r="G31" s="25"/>
      <c r="H31" s="25"/>
      <c r="I31" s="25"/>
      <c r="J31" s="25"/>
      <c r="K31" s="25"/>
      <c r="L31" s="25"/>
      <c r="M31" s="25"/>
      <c r="N31" s="25"/>
      <c r="O31" s="25"/>
      <c r="P31" s="25"/>
      <c r="Q31" s="25"/>
      <c r="R31" s="25"/>
      <c r="S31" s="25"/>
      <c r="T31" s="25"/>
      <c r="U31" s="25"/>
      <c r="V31" s="25"/>
      <c r="W31" s="25"/>
      <c r="X31" s="25"/>
    </row>
    <row r="32" spans="1:24" x14ac:dyDescent="0.3">
      <c r="A32" s="25"/>
      <c r="B32" s="25"/>
      <c r="C32" s="25"/>
      <c r="D32" s="25"/>
      <c r="E32" s="25"/>
      <c r="F32" s="25"/>
      <c r="G32" s="25"/>
      <c r="H32" s="25"/>
      <c r="I32" s="25"/>
      <c r="J32" s="25"/>
      <c r="K32" s="25"/>
      <c r="L32" s="25"/>
      <c r="M32" s="25"/>
      <c r="N32" s="25"/>
      <c r="O32" s="25"/>
      <c r="P32" s="25"/>
      <c r="Q32" s="25"/>
      <c r="R32" s="25"/>
      <c r="S32" s="25"/>
      <c r="T32" s="25"/>
      <c r="U32" s="25"/>
      <c r="V32" s="25"/>
      <c r="W32" s="25"/>
      <c r="X32" s="25"/>
    </row>
    <row r="33" spans="1:24" x14ac:dyDescent="0.3">
      <c r="A33" s="25"/>
      <c r="B33" s="25"/>
      <c r="C33" s="25"/>
      <c r="D33" s="25"/>
      <c r="E33" s="25"/>
      <c r="F33" s="25"/>
      <c r="G33" s="25"/>
      <c r="H33" s="25"/>
      <c r="I33" s="25"/>
      <c r="J33" s="25"/>
      <c r="K33" s="25"/>
      <c r="L33" s="25"/>
      <c r="M33" s="25"/>
      <c r="N33" s="25"/>
      <c r="O33" s="25"/>
      <c r="P33" s="25"/>
      <c r="Q33" s="25"/>
      <c r="R33" s="25"/>
      <c r="S33" s="25"/>
      <c r="T33" s="25"/>
      <c r="U33" s="25"/>
      <c r="V33" s="25"/>
      <c r="W33" s="25"/>
      <c r="X33" s="25"/>
    </row>
    <row r="34" spans="1:24" x14ac:dyDescent="0.3">
      <c r="A34" s="25"/>
      <c r="B34" s="25"/>
      <c r="C34" s="25"/>
      <c r="D34" s="25"/>
      <c r="E34" s="25"/>
      <c r="F34" s="25"/>
      <c r="G34" s="25"/>
      <c r="H34" s="25"/>
      <c r="I34" s="25"/>
      <c r="J34" s="25"/>
      <c r="K34" s="25"/>
      <c r="L34" s="25"/>
      <c r="M34" s="25"/>
      <c r="N34" s="25"/>
      <c r="O34" s="25"/>
      <c r="P34" s="25"/>
      <c r="Q34" s="25"/>
      <c r="R34" s="25"/>
      <c r="S34" s="25"/>
      <c r="T34" s="25"/>
      <c r="U34" s="25"/>
      <c r="V34" s="25"/>
      <c r="W34" s="25"/>
      <c r="X34" s="25"/>
    </row>
    <row r="35" spans="1:24"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row>
    <row r="36" spans="1:24"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row>
    <row r="37" spans="1:24"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row>
    <row r="38" spans="1:24"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row>
    <row r="39" spans="1:24"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row>
    <row r="40" spans="1:24"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row>
    <row r="41" spans="1:24"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row>
    <row r="42" spans="1:24"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row>
    <row r="43" spans="1:24"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row>
    <row r="44" spans="1:24"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row>
    <row r="45" spans="1:24"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row>
    <row r="46" spans="1:24"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row>
    <row r="47" spans="1:24"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row>
    <row r="48" spans="1:24"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row>
    <row r="49" spans="1:24"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row>
    <row r="50" spans="1:24"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A1297-73ED-4DA0-AB44-1F8790B8F2BA}">
  <dimension ref="A1:W32"/>
  <sheetViews>
    <sheetView showGridLines="0" workbookViewId="0">
      <selection activeCell="E12" sqref="E12"/>
    </sheetView>
  </sheetViews>
  <sheetFormatPr defaultRowHeight="14.4" x14ac:dyDescent="0.3"/>
  <cols>
    <col min="1" max="1" width="5.44140625" style="28" customWidth="1"/>
    <col min="2" max="2" width="4.44140625" style="28" customWidth="1"/>
    <col min="3" max="21" width="8.88671875" style="27"/>
    <col min="22" max="22" width="7" style="28" customWidth="1"/>
    <col min="23" max="23" width="5.109375" style="28" customWidth="1"/>
    <col min="24" max="16384" width="8.88671875" style="27"/>
  </cols>
  <sheetData>
    <row r="1" s="28" customFormat="1" x14ac:dyDescent="0.3"/>
    <row r="2" s="28" customFormat="1" x14ac:dyDescent="0.3"/>
    <row r="31" s="28" customFormat="1" x14ac:dyDescent="0.3"/>
    <row r="32" s="28" customFormat="1"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D33A92E-1EC4-42F6-9A7F-F73A22655F76}">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78208F91-D873-425C-9B5F-DFC279749609}">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1519E7E8-5E23-4007-BF9F-FE4336A39D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EMp Steps</vt:lpstr>
      <vt:lpstr>EMP RAW Data</vt:lpstr>
      <vt:lpstr>ETL emp </vt:lpstr>
      <vt:lpstr>Emp pivot T</vt:lpstr>
      <vt:lpstr>DASHBOARD Emp</vt:lpstr>
      <vt:lpstr>Sales ETL</vt:lpstr>
      <vt:lpstr>PIVOT T. sales</vt:lpstr>
      <vt:lpstr>DASHBOARD Sales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geeta torane</cp:lastModifiedBy>
  <dcterms:created xsi:type="dcterms:W3CDTF">2026-03-05T05:01:24Z</dcterms:created>
  <dcterms:modified xsi:type="dcterms:W3CDTF">2026-03-11T15:53:48Z</dcterms:modified>
</cp:coreProperties>
</file>